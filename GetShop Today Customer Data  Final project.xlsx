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omAgeSystems\Desktop\LEARNING TO LAND PORTFOLIO PROJECTS\"/>
    </mc:Choice>
  </mc:AlternateContent>
  <bookViews>
    <workbookView xWindow="0" yWindow="0" windowWidth="16815" windowHeight="7125" firstSheet="1" activeTab="3"/>
  </bookViews>
  <sheets>
    <sheet name="GetShop Today Customer Raw Data" sheetId="1" r:id="rId1"/>
    <sheet name="Cleaned" sheetId="2" r:id="rId2"/>
    <sheet name="Pivot Tables" sheetId="5" r:id="rId3"/>
    <sheet name="Dashboard1" sheetId="6" r:id="rId4"/>
    <sheet name="Data Cleaning Report" sheetId="4" r:id="rId5"/>
  </sheets>
  <definedNames>
    <definedName name="_xlnm._FilterDatabase" localSheetId="0" hidden="1">'GetShop Today Customer Raw Data'!$J$1:$J$1001</definedName>
    <definedName name="_xlchart.0" hidden="1">'Pivot Tables'!$H$52:$H$57</definedName>
    <definedName name="_xlchart.1" hidden="1">'Pivot Tables'!$I$51</definedName>
    <definedName name="_xlchart.2" hidden="1">'Pivot Tables'!$I$52:$I$57</definedName>
    <definedName name="Slicer_CustomerLocation">#N/A</definedName>
    <definedName name="Slicer_ProductCategory">#N/A</definedName>
    <definedName name="Slicer_ReferralSource">#N/A</definedName>
  </definedNames>
  <calcPr calcId="162913"/>
  <pivotCaches>
    <pivotCache cacheId="7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002" i="2" l="1"/>
  <c r="P2" i="2"/>
  <c r="C1002" i="2"/>
  <c r="G1002" i="2" l="1"/>
  <c r="H1002" i="2"/>
  <c r="F1002" i="2"/>
  <c r="C2" i="5"/>
  <c r="B2" i="5"/>
  <c r="D2" i="5"/>
  <c r="F2" i="5"/>
  <c r="E2" i="5"/>
  <c r="G2" i="5"/>
  <c r="E16" i="4" l="1"/>
  <c r="E15" i="4"/>
  <c r="E13" i="4"/>
  <c r="E12" i="4"/>
  <c r="E10" i="4"/>
  <c r="E9" i="4"/>
  <c r="E8" i="4"/>
  <c r="E7" i="4"/>
  <c r="E6" i="4"/>
  <c r="E5" i="4"/>
  <c r="E4" i="4"/>
  <c r="U1001" i="2"/>
  <c r="Q1001" i="2"/>
  <c r="P1001" i="2"/>
  <c r="O1001" i="2"/>
  <c r="N1001" i="2"/>
  <c r="U1000" i="2"/>
  <c r="Q1000" i="2"/>
  <c r="P1000" i="2"/>
  <c r="O1000" i="2"/>
  <c r="N1000" i="2"/>
  <c r="U999" i="2"/>
  <c r="R999" i="2"/>
  <c r="Q999" i="2"/>
  <c r="P999" i="2"/>
  <c r="O999" i="2"/>
  <c r="N999" i="2"/>
  <c r="U998" i="2"/>
  <c r="R998" i="2"/>
  <c r="Q998" i="2"/>
  <c r="P998" i="2"/>
  <c r="O998" i="2"/>
  <c r="N998" i="2"/>
  <c r="U997" i="2"/>
  <c r="R997" i="2"/>
  <c r="Q997" i="2"/>
  <c r="P997" i="2"/>
  <c r="O997" i="2"/>
  <c r="N997" i="2"/>
  <c r="U996" i="2"/>
  <c r="Q996" i="2"/>
  <c r="P996" i="2"/>
  <c r="O996" i="2"/>
  <c r="N996" i="2"/>
  <c r="U995" i="2"/>
  <c r="Q995" i="2"/>
  <c r="P995" i="2"/>
  <c r="O995" i="2"/>
  <c r="N995" i="2"/>
  <c r="U994" i="2"/>
  <c r="R994" i="2"/>
  <c r="Q994" i="2"/>
  <c r="P994" i="2"/>
  <c r="O994" i="2"/>
  <c r="N994" i="2"/>
  <c r="U993" i="2"/>
  <c r="Q993" i="2"/>
  <c r="P993" i="2"/>
  <c r="O993" i="2"/>
  <c r="N993" i="2"/>
  <c r="U992" i="2"/>
  <c r="Q992" i="2"/>
  <c r="P992" i="2"/>
  <c r="O992" i="2"/>
  <c r="N992" i="2"/>
  <c r="U991" i="2"/>
  <c r="Q991" i="2"/>
  <c r="P991" i="2"/>
  <c r="O991" i="2"/>
  <c r="N991" i="2"/>
  <c r="U990" i="2"/>
  <c r="R990" i="2"/>
  <c r="Q990" i="2"/>
  <c r="P990" i="2"/>
  <c r="O990" i="2"/>
  <c r="N990" i="2"/>
  <c r="U989" i="2"/>
  <c r="Q989" i="2"/>
  <c r="P989" i="2"/>
  <c r="O989" i="2"/>
  <c r="N989" i="2"/>
  <c r="U988" i="2"/>
  <c r="R988" i="2"/>
  <c r="Q988" i="2"/>
  <c r="P988" i="2"/>
  <c r="O988" i="2"/>
  <c r="N988" i="2"/>
  <c r="U987" i="2"/>
  <c r="Q987" i="2"/>
  <c r="P987" i="2"/>
  <c r="O987" i="2"/>
  <c r="N987" i="2"/>
  <c r="U986" i="2"/>
  <c r="Q986" i="2"/>
  <c r="P986" i="2"/>
  <c r="O986" i="2"/>
  <c r="N986" i="2"/>
  <c r="U985" i="2"/>
  <c r="R985" i="2"/>
  <c r="Q985" i="2"/>
  <c r="P985" i="2"/>
  <c r="O985" i="2"/>
  <c r="N985" i="2"/>
  <c r="U984" i="2"/>
  <c r="Q984" i="2"/>
  <c r="P984" i="2"/>
  <c r="O984" i="2"/>
  <c r="N984" i="2"/>
  <c r="U983" i="2"/>
  <c r="Q983" i="2"/>
  <c r="P983" i="2"/>
  <c r="O983" i="2"/>
  <c r="N983" i="2"/>
  <c r="U982" i="2"/>
  <c r="Q982" i="2"/>
  <c r="P982" i="2"/>
  <c r="O982" i="2"/>
  <c r="N982" i="2"/>
  <c r="U981" i="2"/>
  <c r="Q981" i="2"/>
  <c r="P981" i="2"/>
  <c r="O981" i="2"/>
  <c r="N981" i="2"/>
  <c r="U980" i="2"/>
  <c r="Q980" i="2"/>
  <c r="P980" i="2"/>
  <c r="O980" i="2"/>
  <c r="N980" i="2"/>
  <c r="U979" i="2"/>
  <c r="Q979" i="2"/>
  <c r="P979" i="2"/>
  <c r="O979" i="2"/>
  <c r="N979" i="2"/>
  <c r="U978" i="2"/>
  <c r="R978" i="2"/>
  <c r="Q978" i="2"/>
  <c r="P978" i="2"/>
  <c r="O978" i="2"/>
  <c r="N978" i="2"/>
  <c r="U977" i="2"/>
  <c r="Q977" i="2"/>
  <c r="P977" i="2"/>
  <c r="O977" i="2"/>
  <c r="N977" i="2"/>
  <c r="U976" i="2"/>
  <c r="Q976" i="2"/>
  <c r="P976" i="2"/>
  <c r="O976" i="2"/>
  <c r="N976" i="2"/>
  <c r="U975" i="2"/>
  <c r="R975" i="2"/>
  <c r="Q975" i="2"/>
  <c r="P975" i="2"/>
  <c r="O975" i="2"/>
  <c r="N975" i="2"/>
  <c r="U974" i="2"/>
  <c r="R974" i="2"/>
  <c r="Q974" i="2"/>
  <c r="P974" i="2"/>
  <c r="O974" i="2"/>
  <c r="N974" i="2"/>
  <c r="U973" i="2"/>
  <c r="Q973" i="2"/>
  <c r="P973" i="2"/>
  <c r="O973" i="2"/>
  <c r="N973" i="2"/>
  <c r="U972" i="2"/>
  <c r="Q972" i="2"/>
  <c r="P972" i="2"/>
  <c r="O972" i="2"/>
  <c r="N972" i="2"/>
  <c r="U971" i="2"/>
  <c r="Q971" i="2"/>
  <c r="P971" i="2"/>
  <c r="O971" i="2"/>
  <c r="N971" i="2"/>
  <c r="U970" i="2"/>
  <c r="R970" i="2"/>
  <c r="Q970" i="2"/>
  <c r="P970" i="2"/>
  <c r="O970" i="2"/>
  <c r="N970" i="2"/>
  <c r="U969" i="2"/>
  <c r="Q969" i="2"/>
  <c r="P969" i="2"/>
  <c r="O969" i="2"/>
  <c r="N969" i="2"/>
  <c r="U968" i="2"/>
  <c r="Q968" i="2"/>
  <c r="P968" i="2"/>
  <c r="O968" i="2"/>
  <c r="N968" i="2"/>
  <c r="U967" i="2"/>
  <c r="Q967" i="2"/>
  <c r="P967" i="2"/>
  <c r="O967" i="2"/>
  <c r="N967" i="2"/>
  <c r="U966" i="2"/>
  <c r="R966" i="2"/>
  <c r="Q966" i="2"/>
  <c r="P966" i="2"/>
  <c r="O966" i="2"/>
  <c r="N966" i="2"/>
  <c r="U965" i="2"/>
  <c r="Q965" i="2"/>
  <c r="P965" i="2"/>
  <c r="O965" i="2"/>
  <c r="N965" i="2"/>
  <c r="U964" i="2"/>
  <c r="Q964" i="2"/>
  <c r="P964" i="2"/>
  <c r="O964" i="2"/>
  <c r="N964" i="2"/>
  <c r="U963" i="2"/>
  <c r="Q963" i="2"/>
  <c r="P963" i="2"/>
  <c r="O963" i="2"/>
  <c r="N963" i="2"/>
  <c r="U962" i="2"/>
  <c r="Q962" i="2"/>
  <c r="P962" i="2"/>
  <c r="O962" i="2"/>
  <c r="N962" i="2"/>
  <c r="U961" i="2"/>
  <c r="Q961" i="2"/>
  <c r="P961" i="2"/>
  <c r="O961" i="2"/>
  <c r="N961" i="2"/>
  <c r="U960" i="2"/>
  <c r="Q960" i="2"/>
  <c r="P960" i="2"/>
  <c r="O960" i="2"/>
  <c r="N960" i="2"/>
  <c r="U959" i="2"/>
  <c r="Q959" i="2"/>
  <c r="P959" i="2"/>
  <c r="O959" i="2"/>
  <c r="N959" i="2"/>
  <c r="U958" i="2"/>
  <c r="R958" i="2"/>
  <c r="Q958" i="2"/>
  <c r="P958" i="2"/>
  <c r="O958" i="2"/>
  <c r="N958" i="2"/>
  <c r="U957" i="2"/>
  <c r="Q957" i="2"/>
  <c r="P957" i="2"/>
  <c r="O957" i="2"/>
  <c r="N957" i="2"/>
  <c r="U956" i="2"/>
  <c r="R956" i="2"/>
  <c r="Q956" i="2"/>
  <c r="P956" i="2"/>
  <c r="O956" i="2"/>
  <c r="N956" i="2"/>
  <c r="U955" i="2"/>
  <c r="Q955" i="2"/>
  <c r="P955" i="2"/>
  <c r="O955" i="2"/>
  <c r="N955" i="2"/>
  <c r="U954" i="2"/>
  <c r="Q954" i="2"/>
  <c r="P954" i="2"/>
  <c r="O954" i="2"/>
  <c r="N954" i="2"/>
  <c r="U953" i="2"/>
  <c r="Q953" i="2"/>
  <c r="P953" i="2"/>
  <c r="O953" i="2"/>
  <c r="N953" i="2"/>
  <c r="U952" i="2"/>
  <c r="R952" i="2"/>
  <c r="Q952" i="2"/>
  <c r="P952" i="2"/>
  <c r="O952" i="2"/>
  <c r="N952" i="2"/>
  <c r="U951" i="2"/>
  <c r="R951" i="2"/>
  <c r="Q951" i="2"/>
  <c r="P951" i="2"/>
  <c r="O951" i="2"/>
  <c r="N951" i="2"/>
  <c r="U950" i="2"/>
  <c r="R950" i="2"/>
  <c r="Q950" i="2"/>
  <c r="P950" i="2"/>
  <c r="O950" i="2"/>
  <c r="N950" i="2"/>
  <c r="U949" i="2"/>
  <c r="Q949" i="2"/>
  <c r="P949" i="2"/>
  <c r="O949" i="2"/>
  <c r="N949" i="2"/>
  <c r="U948" i="2"/>
  <c r="R948" i="2"/>
  <c r="Q948" i="2"/>
  <c r="P948" i="2"/>
  <c r="O948" i="2"/>
  <c r="N948" i="2"/>
  <c r="U947" i="2"/>
  <c r="Q947" i="2"/>
  <c r="P947" i="2"/>
  <c r="O947" i="2"/>
  <c r="N947" i="2"/>
  <c r="U946" i="2"/>
  <c r="R946" i="2"/>
  <c r="Q946" i="2"/>
  <c r="P946" i="2"/>
  <c r="O946" i="2"/>
  <c r="N946" i="2"/>
  <c r="U945" i="2"/>
  <c r="R945" i="2"/>
  <c r="Q945" i="2"/>
  <c r="P945" i="2"/>
  <c r="O945" i="2"/>
  <c r="N945" i="2"/>
  <c r="U944" i="2"/>
  <c r="Q944" i="2"/>
  <c r="P944" i="2"/>
  <c r="O944" i="2"/>
  <c r="N944" i="2"/>
  <c r="U943" i="2"/>
  <c r="Q943" i="2"/>
  <c r="P943" i="2"/>
  <c r="O943" i="2"/>
  <c r="N943" i="2"/>
  <c r="U942" i="2"/>
  <c r="R942" i="2"/>
  <c r="Q942" i="2"/>
  <c r="P942" i="2"/>
  <c r="O942" i="2"/>
  <c r="N942" i="2"/>
  <c r="U941" i="2"/>
  <c r="R941" i="2"/>
  <c r="Q941" i="2"/>
  <c r="P941" i="2"/>
  <c r="O941" i="2"/>
  <c r="N941" i="2"/>
  <c r="U940" i="2"/>
  <c r="R940" i="2"/>
  <c r="Q940" i="2"/>
  <c r="P940" i="2"/>
  <c r="O940" i="2"/>
  <c r="N940" i="2"/>
  <c r="U939" i="2"/>
  <c r="R939" i="2"/>
  <c r="Q939" i="2"/>
  <c r="P939" i="2"/>
  <c r="O939" i="2"/>
  <c r="N939" i="2"/>
  <c r="U938" i="2"/>
  <c r="Q938" i="2"/>
  <c r="P938" i="2"/>
  <c r="O938" i="2"/>
  <c r="N938" i="2"/>
  <c r="U937" i="2"/>
  <c r="R937" i="2"/>
  <c r="Q937" i="2"/>
  <c r="P937" i="2"/>
  <c r="O937" i="2"/>
  <c r="N937" i="2"/>
  <c r="U936" i="2"/>
  <c r="Q936" i="2"/>
  <c r="P936" i="2"/>
  <c r="O936" i="2"/>
  <c r="N936" i="2"/>
  <c r="U935" i="2"/>
  <c r="Q935" i="2"/>
  <c r="P935" i="2"/>
  <c r="O935" i="2"/>
  <c r="N935" i="2"/>
  <c r="U934" i="2"/>
  <c r="R934" i="2"/>
  <c r="Q934" i="2"/>
  <c r="P934" i="2"/>
  <c r="O934" i="2"/>
  <c r="N934" i="2"/>
  <c r="U933" i="2"/>
  <c r="R933" i="2"/>
  <c r="Q933" i="2"/>
  <c r="P933" i="2"/>
  <c r="O933" i="2"/>
  <c r="N933" i="2"/>
  <c r="U932" i="2"/>
  <c r="R932" i="2"/>
  <c r="Q932" i="2"/>
  <c r="P932" i="2"/>
  <c r="O932" i="2"/>
  <c r="N932" i="2"/>
  <c r="U931" i="2"/>
  <c r="Q931" i="2"/>
  <c r="P931" i="2"/>
  <c r="O931" i="2"/>
  <c r="N931" i="2"/>
  <c r="U930" i="2"/>
  <c r="Q930" i="2"/>
  <c r="P930" i="2"/>
  <c r="O930" i="2"/>
  <c r="N930" i="2"/>
  <c r="U929" i="2"/>
  <c r="Q929" i="2"/>
  <c r="P929" i="2"/>
  <c r="O929" i="2"/>
  <c r="N929" i="2"/>
  <c r="U928" i="2"/>
  <c r="Q928" i="2"/>
  <c r="P928" i="2"/>
  <c r="O928" i="2"/>
  <c r="N928" i="2"/>
  <c r="U927" i="2"/>
  <c r="R927" i="2"/>
  <c r="Q927" i="2"/>
  <c r="P927" i="2"/>
  <c r="O927" i="2"/>
  <c r="N927" i="2"/>
  <c r="U926" i="2"/>
  <c r="Q926" i="2"/>
  <c r="P926" i="2"/>
  <c r="O926" i="2"/>
  <c r="N926" i="2"/>
  <c r="U925" i="2"/>
  <c r="Q925" i="2"/>
  <c r="P925" i="2"/>
  <c r="O925" i="2"/>
  <c r="N925" i="2"/>
  <c r="U924" i="2"/>
  <c r="Q924" i="2"/>
  <c r="P924" i="2"/>
  <c r="O924" i="2"/>
  <c r="N924" i="2"/>
  <c r="U923" i="2"/>
  <c r="R923" i="2"/>
  <c r="Q923" i="2"/>
  <c r="P923" i="2"/>
  <c r="O923" i="2"/>
  <c r="N923" i="2"/>
  <c r="U922" i="2"/>
  <c r="R922" i="2"/>
  <c r="Q922" i="2"/>
  <c r="P922" i="2"/>
  <c r="O922" i="2"/>
  <c r="N922" i="2"/>
  <c r="U921" i="2"/>
  <c r="Q921" i="2"/>
  <c r="P921" i="2"/>
  <c r="O921" i="2"/>
  <c r="N921" i="2"/>
  <c r="U920" i="2"/>
  <c r="Q920" i="2"/>
  <c r="P920" i="2"/>
  <c r="O920" i="2"/>
  <c r="N920" i="2"/>
  <c r="U919" i="2"/>
  <c r="R919" i="2"/>
  <c r="Q919" i="2"/>
  <c r="P919" i="2"/>
  <c r="O919" i="2"/>
  <c r="N919" i="2"/>
  <c r="U918" i="2"/>
  <c r="Q918" i="2"/>
  <c r="P918" i="2"/>
  <c r="O918" i="2"/>
  <c r="N918" i="2"/>
  <c r="U917" i="2"/>
  <c r="Q917" i="2"/>
  <c r="P917" i="2"/>
  <c r="O917" i="2"/>
  <c r="N917" i="2"/>
  <c r="U916" i="2"/>
  <c r="R916" i="2"/>
  <c r="Q916" i="2"/>
  <c r="P916" i="2"/>
  <c r="O916" i="2"/>
  <c r="N916" i="2"/>
  <c r="U915" i="2"/>
  <c r="Q915" i="2"/>
  <c r="P915" i="2"/>
  <c r="O915" i="2"/>
  <c r="N915" i="2"/>
  <c r="U914" i="2"/>
  <c r="Q914" i="2"/>
  <c r="P914" i="2"/>
  <c r="O914" i="2"/>
  <c r="N914" i="2"/>
  <c r="U913" i="2"/>
  <c r="Q913" i="2"/>
  <c r="P913" i="2"/>
  <c r="O913" i="2"/>
  <c r="N913" i="2"/>
  <c r="U912" i="2"/>
  <c r="Q912" i="2"/>
  <c r="P912" i="2"/>
  <c r="O912" i="2"/>
  <c r="N912" i="2"/>
  <c r="U911" i="2"/>
  <c r="R911" i="2"/>
  <c r="Q911" i="2"/>
  <c r="P911" i="2"/>
  <c r="O911" i="2"/>
  <c r="N911" i="2"/>
  <c r="U910" i="2"/>
  <c r="Q910" i="2"/>
  <c r="P910" i="2"/>
  <c r="O910" i="2"/>
  <c r="N910" i="2"/>
  <c r="U909" i="2"/>
  <c r="Q909" i="2"/>
  <c r="P909" i="2"/>
  <c r="O909" i="2"/>
  <c r="N909" i="2"/>
  <c r="U908" i="2"/>
  <c r="Q908" i="2"/>
  <c r="P908" i="2"/>
  <c r="O908" i="2"/>
  <c r="N908" i="2"/>
  <c r="U907" i="2"/>
  <c r="Q907" i="2"/>
  <c r="P907" i="2"/>
  <c r="O907" i="2"/>
  <c r="N907" i="2"/>
  <c r="U906" i="2"/>
  <c r="R906" i="2"/>
  <c r="Q906" i="2"/>
  <c r="P906" i="2"/>
  <c r="O906" i="2"/>
  <c r="N906" i="2"/>
  <c r="U905" i="2"/>
  <c r="Q905" i="2"/>
  <c r="P905" i="2"/>
  <c r="O905" i="2"/>
  <c r="N905" i="2"/>
  <c r="U904" i="2"/>
  <c r="Q904" i="2"/>
  <c r="P904" i="2"/>
  <c r="O904" i="2"/>
  <c r="N904" i="2"/>
  <c r="U903" i="2"/>
  <c r="Q903" i="2"/>
  <c r="P903" i="2"/>
  <c r="O903" i="2"/>
  <c r="N903" i="2"/>
  <c r="U902" i="2"/>
  <c r="Q902" i="2"/>
  <c r="P902" i="2"/>
  <c r="O902" i="2"/>
  <c r="N902" i="2"/>
  <c r="U901" i="2"/>
  <c r="R901" i="2"/>
  <c r="Q901" i="2"/>
  <c r="P901" i="2"/>
  <c r="O901" i="2"/>
  <c r="N901" i="2"/>
  <c r="U900" i="2"/>
  <c r="R900" i="2"/>
  <c r="Q900" i="2"/>
  <c r="P900" i="2"/>
  <c r="O900" i="2"/>
  <c r="N900" i="2"/>
  <c r="U899" i="2"/>
  <c r="Q899" i="2"/>
  <c r="P899" i="2"/>
  <c r="O899" i="2"/>
  <c r="N899" i="2"/>
  <c r="U898" i="2"/>
  <c r="Q898" i="2"/>
  <c r="P898" i="2"/>
  <c r="O898" i="2"/>
  <c r="N898" i="2"/>
  <c r="U897" i="2"/>
  <c r="Q897" i="2"/>
  <c r="P897" i="2"/>
  <c r="O897" i="2"/>
  <c r="N897" i="2"/>
  <c r="U896" i="2"/>
  <c r="Q896" i="2"/>
  <c r="P896" i="2"/>
  <c r="O896" i="2"/>
  <c r="N896" i="2"/>
  <c r="U895" i="2"/>
  <c r="Q895" i="2"/>
  <c r="P895" i="2"/>
  <c r="O895" i="2"/>
  <c r="N895" i="2"/>
  <c r="U894" i="2"/>
  <c r="Q894" i="2"/>
  <c r="P894" i="2"/>
  <c r="O894" i="2"/>
  <c r="N894" i="2"/>
  <c r="U893" i="2"/>
  <c r="Q893" i="2"/>
  <c r="P893" i="2"/>
  <c r="O893" i="2"/>
  <c r="N893" i="2"/>
  <c r="U892" i="2"/>
  <c r="Q892" i="2"/>
  <c r="P892" i="2"/>
  <c r="O892" i="2"/>
  <c r="N892" i="2"/>
  <c r="U891" i="2"/>
  <c r="R891" i="2"/>
  <c r="Q891" i="2"/>
  <c r="P891" i="2"/>
  <c r="O891" i="2"/>
  <c r="N891" i="2"/>
  <c r="U890" i="2"/>
  <c r="Q890" i="2"/>
  <c r="P890" i="2"/>
  <c r="O890" i="2"/>
  <c r="N890" i="2"/>
  <c r="U889" i="2"/>
  <c r="R889" i="2"/>
  <c r="Q889" i="2"/>
  <c r="P889" i="2"/>
  <c r="O889" i="2"/>
  <c r="N889" i="2"/>
  <c r="U888" i="2"/>
  <c r="Q888" i="2"/>
  <c r="P888" i="2"/>
  <c r="O888" i="2"/>
  <c r="N888" i="2"/>
  <c r="U887" i="2"/>
  <c r="Q887" i="2"/>
  <c r="P887" i="2"/>
  <c r="O887" i="2"/>
  <c r="N887" i="2"/>
  <c r="U886" i="2"/>
  <c r="R886" i="2"/>
  <c r="Q886" i="2"/>
  <c r="P886" i="2"/>
  <c r="O886" i="2"/>
  <c r="N886" i="2"/>
  <c r="U885" i="2"/>
  <c r="R885" i="2"/>
  <c r="Q885" i="2"/>
  <c r="P885" i="2"/>
  <c r="O885" i="2"/>
  <c r="N885" i="2"/>
  <c r="U884" i="2"/>
  <c r="Q884" i="2"/>
  <c r="P884" i="2"/>
  <c r="O884" i="2"/>
  <c r="N884" i="2"/>
  <c r="U883" i="2"/>
  <c r="R883" i="2"/>
  <c r="Q883" i="2"/>
  <c r="P883" i="2"/>
  <c r="O883" i="2"/>
  <c r="N883" i="2"/>
  <c r="U882" i="2"/>
  <c r="R882" i="2"/>
  <c r="Q882" i="2"/>
  <c r="P882" i="2"/>
  <c r="O882" i="2"/>
  <c r="N882" i="2"/>
  <c r="U881" i="2"/>
  <c r="Q881" i="2"/>
  <c r="P881" i="2"/>
  <c r="O881" i="2"/>
  <c r="N881" i="2"/>
  <c r="U880" i="2"/>
  <c r="Q880" i="2"/>
  <c r="P880" i="2"/>
  <c r="O880" i="2"/>
  <c r="N880" i="2"/>
  <c r="U879" i="2"/>
  <c r="R879" i="2"/>
  <c r="Q879" i="2"/>
  <c r="P879" i="2"/>
  <c r="O879" i="2"/>
  <c r="N879" i="2"/>
  <c r="U878" i="2"/>
  <c r="Q878" i="2"/>
  <c r="P878" i="2"/>
  <c r="O878" i="2"/>
  <c r="N878" i="2"/>
  <c r="U877" i="2"/>
  <c r="Q877" i="2"/>
  <c r="P877" i="2"/>
  <c r="O877" i="2"/>
  <c r="N877" i="2"/>
  <c r="U876" i="2"/>
  <c r="Q876" i="2"/>
  <c r="P876" i="2"/>
  <c r="O876" i="2"/>
  <c r="N876" i="2"/>
  <c r="U875" i="2"/>
  <c r="Q875" i="2"/>
  <c r="P875" i="2"/>
  <c r="O875" i="2"/>
  <c r="N875" i="2"/>
  <c r="U874" i="2"/>
  <c r="R874" i="2"/>
  <c r="Q874" i="2"/>
  <c r="P874" i="2"/>
  <c r="O874" i="2"/>
  <c r="N874" i="2"/>
  <c r="U873" i="2"/>
  <c r="R873" i="2"/>
  <c r="Q873" i="2"/>
  <c r="P873" i="2"/>
  <c r="O873" i="2"/>
  <c r="N873" i="2"/>
  <c r="U872" i="2"/>
  <c r="R872" i="2"/>
  <c r="Q872" i="2"/>
  <c r="P872" i="2"/>
  <c r="O872" i="2"/>
  <c r="N872" i="2"/>
  <c r="U871" i="2"/>
  <c r="R871" i="2"/>
  <c r="Q871" i="2"/>
  <c r="P871" i="2"/>
  <c r="O871" i="2"/>
  <c r="N871" i="2"/>
  <c r="U870" i="2"/>
  <c r="Q870" i="2"/>
  <c r="P870" i="2"/>
  <c r="O870" i="2"/>
  <c r="N870" i="2"/>
  <c r="U869" i="2"/>
  <c r="R869" i="2"/>
  <c r="Q869" i="2"/>
  <c r="P869" i="2"/>
  <c r="O869" i="2"/>
  <c r="N869" i="2"/>
  <c r="U868" i="2"/>
  <c r="Q868" i="2"/>
  <c r="P868" i="2"/>
  <c r="O868" i="2"/>
  <c r="N868" i="2"/>
  <c r="U867" i="2"/>
  <c r="R867" i="2"/>
  <c r="Q867" i="2"/>
  <c r="P867" i="2"/>
  <c r="O867" i="2"/>
  <c r="N867" i="2"/>
  <c r="U866" i="2"/>
  <c r="Q866" i="2"/>
  <c r="P866" i="2"/>
  <c r="O866" i="2"/>
  <c r="N866" i="2"/>
  <c r="U865" i="2"/>
  <c r="R865" i="2"/>
  <c r="Q865" i="2"/>
  <c r="P865" i="2"/>
  <c r="O865" i="2"/>
  <c r="N865" i="2"/>
  <c r="U864" i="2"/>
  <c r="Q864" i="2"/>
  <c r="P864" i="2"/>
  <c r="O864" i="2"/>
  <c r="N864" i="2"/>
  <c r="U863" i="2"/>
  <c r="Q863" i="2"/>
  <c r="P863" i="2"/>
  <c r="O863" i="2"/>
  <c r="N863" i="2"/>
  <c r="U862" i="2"/>
  <c r="Q862" i="2"/>
  <c r="P862" i="2"/>
  <c r="O862" i="2"/>
  <c r="N862" i="2"/>
  <c r="U861" i="2"/>
  <c r="Q861" i="2"/>
  <c r="P861" i="2"/>
  <c r="O861" i="2"/>
  <c r="N861" i="2"/>
  <c r="U860" i="2"/>
  <c r="Q860" i="2"/>
  <c r="P860" i="2"/>
  <c r="O860" i="2"/>
  <c r="N860" i="2"/>
  <c r="U859" i="2"/>
  <c r="Q859" i="2"/>
  <c r="P859" i="2"/>
  <c r="O859" i="2"/>
  <c r="N859" i="2"/>
  <c r="U858" i="2"/>
  <c r="R858" i="2"/>
  <c r="Q858" i="2"/>
  <c r="P858" i="2"/>
  <c r="O858" i="2"/>
  <c r="N858" i="2"/>
  <c r="U857" i="2"/>
  <c r="Q857" i="2"/>
  <c r="P857" i="2"/>
  <c r="O857" i="2"/>
  <c r="N857" i="2"/>
  <c r="U856" i="2"/>
  <c r="R856" i="2"/>
  <c r="Q856" i="2"/>
  <c r="P856" i="2"/>
  <c r="O856" i="2"/>
  <c r="N856" i="2"/>
  <c r="U855" i="2"/>
  <c r="Q855" i="2"/>
  <c r="P855" i="2"/>
  <c r="O855" i="2"/>
  <c r="N855" i="2"/>
  <c r="U854" i="2"/>
  <c r="Q854" i="2"/>
  <c r="P854" i="2"/>
  <c r="O854" i="2"/>
  <c r="N854" i="2"/>
  <c r="U853" i="2"/>
  <c r="R853" i="2"/>
  <c r="Q853" i="2"/>
  <c r="P853" i="2"/>
  <c r="O853" i="2"/>
  <c r="N853" i="2"/>
  <c r="U852" i="2"/>
  <c r="Q852" i="2"/>
  <c r="P852" i="2"/>
  <c r="O852" i="2"/>
  <c r="N852" i="2"/>
  <c r="U851" i="2"/>
  <c r="Q851" i="2"/>
  <c r="P851" i="2"/>
  <c r="O851" i="2"/>
  <c r="N851" i="2"/>
  <c r="U850" i="2"/>
  <c r="Q850" i="2"/>
  <c r="P850" i="2"/>
  <c r="O850" i="2"/>
  <c r="N850" i="2"/>
  <c r="U849" i="2"/>
  <c r="R849" i="2"/>
  <c r="Q849" i="2"/>
  <c r="P849" i="2"/>
  <c r="O849" i="2"/>
  <c r="N849" i="2"/>
  <c r="U848" i="2"/>
  <c r="Q848" i="2"/>
  <c r="P848" i="2"/>
  <c r="O848" i="2"/>
  <c r="N848" i="2"/>
  <c r="U847" i="2"/>
  <c r="Q847" i="2"/>
  <c r="P847" i="2"/>
  <c r="O847" i="2"/>
  <c r="N847" i="2"/>
  <c r="U846" i="2"/>
  <c r="Q846" i="2"/>
  <c r="P846" i="2"/>
  <c r="O846" i="2"/>
  <c r="N846" i="2"/>
  <c r="U845" i="2"/>
  <c r="Q845" i="2"/>
  <c r="P845" i="2"/>
  <c r="O845" i="2"/>
  <c r="N845" i="2"/>
  <c r="U844" i="2"/>
  <c r="Q844" i="2"/>
  <c r="P844" i="2"/>
  <c r="O844" i="2"/>
  <c r="N844" i="2"/>
  <c r="U843" i="2"/>
  <c r="Q843" i="2"/>
  <c r="P843" i="2"/>
  <c r="O843" i="2"/>
  <c r="N843" i="2"/>
  <c r="U842" i="2"/>
  <c r="Q842" i="2"/>
  <c r="P842" i="2"/>
  <c r="O842" i="2"/>
  <c r="N842" i="2"/>
  <c r="U841" i="2"/>
  <c r="Q841" i="2"/>
  <c r="P841" i="2"/>
  <c r="O841" i="2"/>
  <c r="N841" i="2"/>
  <c r="U840" i="2"/>
  <c r="Q840" i="2"/>
  <c r="P840" i="2"/>
  <c r="O840" i="2"/>
  <c r="N840" i="2"/>
  <c r="U839" i="2"/>
  <c r="Q839" i="2"/>
  <c r="P839" i="2"/>
  <c r="O839" i="2"/>
  <c r="N839" i="2"/>
  <c r="U838" i="2"/>
  <c r="R838" i="2"/>
  <c r="Q838" i="2"/>
  <c r="P838" i="2"/>
  <c r="O838" i="2"/>
  <c r="N838" i="2"/>
  <c r="U837" i="2"/>
  <c r="R837" i="2"/>
  <c r="Q837" i="2"/>
  <c r="P837" i="2"/>
  <c r="O837" i="2"/>
  <c r="N837" i="2"/>
  <c r="U836" i="2"/>
  <c r="Q836" i="2"/>
  <c r="P836" i="2"/>
  <c r="O836" i="2"/>
  <c r="N836" i="2"/>
  <c r="U835" i="2"/>
  <c r="Q835" i="2"/>
  <c r="P835" i="2"/>
  <c r="O835" i="2"/>
  <c r="N835" i="2"/>
  <c r="U834" i="2"/>
  <c r="R834" i="2"/>
  <c r="Q834" i="2"/>
  <c r="P834" i="2"/>
  <c r="O834" i="2"/>
  <c r="N834" i="2"/>
  <c r="U833" i="2"/>
  <c r="Q833" i="2"/>
  <c r="P833" i="2"/>
  <c r="O833" i="2"/>
  <c r="N833" i="2"/>
  <c r="U832" i="2"/>
  <c r="Q832" i="2"/>
  <c r="P832" i="2"/>
  <c r="O832" i="2"/>
  <c r="N832" i="2"/>
  <c r="U831" i="2"/>
  <c r="R831" i="2"/>
  <c r="Q831" i="2"/>
  <c r="P831" i="2"/>
  <c r="O831" i="2"/>
  <c r="N831" i="2"/>
  <c r="U830" i="2"/>
  <c r="Q830" i="2"/>
  <c r="P830" i="2"/>
  <c r="O830" i="2"/>
  <c r="N830" i="2"/>
  <c r="U829" i="2"/>
  <c r="Q829" i="2"/>
  <c r="P829" i="2"/>
  <c r="O829" i="2"/>
  <c r="N829" i="2"/>
  <c r="U828" i="2"/>
  <c r="Q828" i="2"/>
  <c r="P828" i="2"/>
  <c r="O828" i="2"/>
  <c r="N828" i="2"/>
  <c r="U827" i="2"/>
  <c r="Q827" i="2"/>
  <c r="P827" i="2"/>
  <c r="O827" i="2"/>
  <c r="N827" i="2"/>
  <c r="U826" i="2"/>
  <c r="R826" i="2"/>
  <c r="Q826" i="2"/>
  <c r="P826" i="2"/>
  <c r="O826" i="2"/>
  <c r="N826" i="2"/>
  <c r="U825" i="2"/>
  <c r="R825" i="2"/>
  <c r="Q825" i="2"/>
  <c r="P825" i="2"/>
  <c r="O825" i="2"/>
  <c r="N825" i="2"/>
  <c r="U824" i="2"/>
  <c r="Q824" i="2"/>
  <c r="P824" i="2"/>
  <c r="O824" i="2"/>
  <c r="N824" i="2"/>
  <c r="U823" i="2"/>
  <c r="Q823" i="2"/>
  <c r="P823" i="2"/>
  <c r="O823" i="2"/>
  <c r="N823" i="2"/>
  <c r="U822" i="2"/>
  <c r="R822" i="2"/>
  <c r="Q822" i="2"/>
  <c r="P822" i="2"/>
  <c r="O822" i="2"/>
  <c r="N822" i="2"/>
  <c r="U821" i="2"/>
  <c r="R821" i="2"/>
  <c r="Q821" i="2"/>
  <c r="P821" i="2"/>
  <c r="O821" i="2"/>
  <c r="N821" i="2"/>
  <c r="U820" i="2"/>
  <c r="Q820" i="2"/>
  <c r="P820" i="2"/>
  <c r="O820" i="2"/>
  <c r="N820" i="2"/>
  <c r="U819" i="2"/>
  <c r="Q819" i="2"/>
  <c r="P819" i="2"/>
  <c r="O819" i="2"/>
  <c r="N819" i="2"/>
  <c r="U818" i="2"/>
  <c r="R818" i="2"/>
  <c r="Q818" i="2"/>
  <c r="P818" i="2"/>
  <c r="O818" i="2"/>
  <c r="N818" i="2"/>
  <c r="U817" i="2"/>
  <c r="Q817" i="2"/>
  <c r="P817" i="2"/>
  <c r="O817" i="2"/>
  <c r="N817" i="2"/>
  <c r="U816" i="2"/>
  <c r="Q816" i="2"/>
  <c r="P816" i="2"/>
  <c r="O816" i="2"/>
  <c r="N816" i="2"/>
  <c r="U815" i="2"/>
  <c r="R815" i="2"/>
  <c r="Q815" i="2"/>
  <c r="P815" i="2"/>
  <c r="O815" i="2"/>
  <c r="N815" i="2"/>
  <c r="U814" i="2"/>
  <c r="Q814" i="2"/>
  <c r="P814" i="2"/>
  <c r="O814" i="2"/>
  <c r="N814" i="2"/>
  <c r="U813" i="2"/>
  <c r="Q813" i="2"/>
  <c r="P813" i="2"/>
  <c r="O813" i="2"/>
  <c r="N813" i="2"/>
  <c r="U812" i="2"/>
  <c r="Q812" i="2"/>
  <c r="P812" i="2"/>
  <c r="O812" i="2"/>
  <c r="N812" i="2"/>
  <c r="U811" i="2"/>
  <c r="Q811" i="2"/>
  <c r="P811" i="2"/>
  <c r="O811" i="2"/>
  <c r="N811" i="2"/>
  <c r="U810" i="2"/>
  <c r="Q810" i="2"/>
  <c r="P810" i="2"/>
  <c r="O810" i="2"/>
  <c r="N810" i="2"/>
  <c r="U809" i="2"/>
  <c r="Q809" i="2"/>
  <c r="P809" i="2"/>
  <c r="O809" i="2"/>
  <c r="N809" i="2"/>
  <c r="U808" i="2"/>
  <c r="Q808" i="2"/>
  <c r="P808" i="2"/>
  <c r="O808" i="2"/>
  <c r="N808" i="2"/>
  <c r="U807" i="2"/>
  <c r="Q807" i="2"/>
  <c r="P807" i="2"/>
  <c r="O807" i="2"/>
  <c r="N807" i="2"/>
  <c r="U806" i="2"/>
  <c r="Q806" i="2"/>
  <c r="P806" i="2"/>
  <c r="O806" i="2"/>
  <c r="N806" i="2"/>
  <c r="U805" i="2"/>
  <c r="Q805" i="2"/>
  <c r="P805" i="2"/>
  <c r="O805" i="2"/>
  <c r="N805" i="2"/>
  <c r="U804" i="2"/>
  <c r="Q804" i="2"/>
  <c r="P804" i="2"/>
  <c r="O804" i="2"/>
  <c r="N804" i="2"/>
  <c r="U803" i="2"/>
  <c r="R803" i="2"/>
  <c r="Q803" i="2"/>
  <c r="P803" i="2"/>
  <c r="O803" i="2"/>
  <c r="N803" i="2"/>
  <c r="U802" i="2"/>
  <c r="T802" i="2"/>
  <c r="Q802" i="2"/>
  <c r="P802" i="2"/>
  <c r="O802" i="2"/>
  <c r="N802" i="2"/>
  <c r="U801" i="2"/>
  <c r="Q801" i="2"/>
  <c r="P801" i="2"/>
  <c r="O801" i="2"/>
  <c r="N801" i="2"/>
  <c r="U800" i="2"/>
  <c r="Q800" i="2"/>
  <c r="P800" i="2"/>
  <c r="O800" i="2"/>
  <c r="N800" i="2"/>
  <c r="U799" i="2"/>
  <c r="Q799" i="2"/>
  <c r="P799" i="2"/>
  <c r="O799" i="2"/>
  <c r="N799" i="2"/>
  <c r="U798" i="2"/>
  <c r="T798" i="2"/>
  <c r="Q798" i="2"/>
  <c r="P798" i="2"/>
  <c r="O798" i="2"/>
  <c r="N798" i="2"/>
  <c r="U797" i="2"/>
  <c r="R797" i="2"/>
  <c r="Q797" i="2"/>
  <c r="P797" i="2"/>
  <c r="O797" i="2"/>
  <c r="N797" i="2"/>
  <c r="U796" i="2"/>
  <c r="Q796" i="2"/>
  <c r="P796" i="2"/>
  <c r="O796" i="2"/>
  <c r="N796" i="2"/>
  <c r="U795" i="2"/>
  <c r="R795" i="2"/>
  <c r="Q795" i="2"/>
  <c r="P795" i="2"/>
  <c r="O795" i="2"/>
  <c r="N795" i="2"/>
  <c r="U794" i="2"/>
  <c r="Q794" i="2"/>
  <c r="P794" i="2"/>
  <c r="O794" i="2"/>
  <c r="N794" i="2"/>
  <c r="U793" i="2"/>
  <c r="Q793" i="2"/>
  <c r="P793" i="2"/>
  <c r="O793" i="2"/>
  <c r="N793" i="2"/>
  <c r="U792" i="2"/>
  <c r="Q792" i="2"/>
  <c r="P792" i="2"/>
  <c r="O792" i="2"/>
  <c r="N792" i="2"/>
  <c r="U791" i="2"/>
  <c r="R791" i="2"/>
  <c r="Q791" i="2"/>
  <c r="P791" i="2"/>
  <c r="O791" i="2"/>
  <c r="N791" i="2"/>
  <c r="U790" i="2"/>
  <c r="R790" i="2"/>
  <c r="Q790" i="2"/>
  <c r="P790" i="2"/>
  <c r="O790" i="2"/>
  <c r="N790" i="2"/>
  <c r="U789" i="2"/>
  <c r="Q789" i="2"/>
  <c r="P789" i="2"/>
  <c r="O789" i="2"/>
  <c r="N789" i="2"/>
  <c r="U788" i="2"/>
  <c r="R788" i="2"/>
  <c r="Q788" i="2"/>
  <c r="P788" i="2"/>
  <c r="O788" i="2"/>
  <c r="N788" i="2"/>
  <c r="U787" i="2"/>
  <c r="R787" i="2"/>
  <c r="Q787" i="2"/>
  <c r="P787" i="2"/>
  <c r="O787" i="2"/>
  <c r="N787" i="2"/>
  <c r="U786" i="2"/>
  <c r="Q786" i="2"/>
  <c r="P786" i="2"/>
  <c r="O786" i="2"/>
  <c r="N786" i="2"/>
  <c r="U785" i="2"/>
  <c r="Q785" i="2"/>
  <c r="P785" i="2"/>
  <c r="O785" i="2"/>
  <c r="N785" i="2"/>
  <c r="U784" i="2"/>
  <c r="Q784" i="2"/>
  <c r="P784" i="2"/>
  <c r="O784" i="2"/>
  <c r="N784" i="2"/>
  <c r="U783" i="2"/>
  <c r="Q783" i="2"/>
  <c r="P783" i="2"/>
  <c r="O783" i="2"/>
  <c r="N783" i="2"/>
  <c r="U782" i="2"/>
  <c r="Q782" i="2"/>
  <c r="P782" i="2"/>
  <c r="O782" i="2"/>
  <c r="N782" i="2"/>
  <c r="U781" i="2"/>
  <c r="Q781" i="2"/>
  <c r="P781" i="2"/>
  <c r="O781" i="2"/>
  <c r="N781" i="2"/>
  <c r="U780" i="2"/>
  <c r="Q780" i="2"/>
  <c r="P780" i="2"/>
  <c r="O780" i="2"/>
  <c r="N780" i="2"/>
  <c r="U779" i="2"/>
  <c r="Q779" i="2"/>
  <c r="P779" i="2"/>
  <c r="O779" i="2"/>
  <c r="N779" i="2"/>
  <c r="U778" i="2"/>
  <c r="Q778" i="2"/>
  <c r="P778" i="2"/>
  <c r="O778" i="2"/>
  <c r="N778" i="2"/>
  <c r="U777" i="2"/>
  <c r="R777" i="2"/>
  <c r="Q777" i="2"/>
  <c r="P777" i="2"/>
  <c r="O777" i="2"/>
  <c r="N777" i="2"/>
  <c r="U776" i="2"/>
  <c r="Q776" i="2"/>
  <c r="P776" i="2"/>
  <c r="O776" i="2"/>
  <c r="N776" i="2"/>
  <c r="U775" i="2"/>
  <c r="T775" i="2"/>
  <c r="Q775" i="2"/>
  <c r="P775" i="2"/>
  <c r="O775" i="2"/>
  <c r="N775" i="2"/>
  <c r="U774" i="2"/>
  <c r="R774" i="2"/>
  <c r="Q774" i="2"/>
  <c r="P774" i="2"/>
  <c r="O774" i="2"/>
  <c r="N774" i="2"/>
  <c r="U773" i="2"/>
  <c r="Q773" i="2"/>
  <c r="P773" i="2"/>
  <c r="O773" i="2"/>
  <c r="N773" i="2"/>
  <c r="U772" i="2"/>
  <c r="Q772" i="2"/>
  <c r="P772" i="2"/>
  <c r="O772" i="2"/>
  <c r="N772" i="2"/>
  <c r="U771" i="2"/>
  <c r="Q771" i="2"/>
  <c r="P771" i="2"/>
  <c r="O771" i="2"/>
  <c r="N771" i="2"/>
  <c r="U770" i="2"/>
  <c r="R770" i="2"/>
  <c r="Q770" i="2"/>
  <c r="P770" i="2"/>
  <c r="O770" i="2"/>
  <c r="N770" i="2"/>
  <c r="U769" i="2"/>
  <c r="R769" i="2"/>
  <c r="Q769" i="2"/>
  <c r="P769" i="2"/>
  <c r="O769" i="2"/>
  <c r="N769" i="2"/>
  <c r="U768" i="2"/>
  <c r="R768" i="2"/>
  <c r="Q768" i="2"/>
  <c r="P768" i="2"/>
  <c r="O768" i="2"/>
  <c r="N768" i="2"/>
  <c r="U767" i="2"/>
  <c r="Q767" i="2"/>
  <c r="P767" i="2"/>
  <c r="O767" i="2"/>
  <c r="N767" i="2"/>
  <c r="U766" i="2"/>
  <c r="Q766" i="2"/>
  <c r="P766" i="2"/>
  <c r="O766" i="2"/>
  <c r="N766" i="2"/>
  <c r="U765" i="2"/>
  <c r="R765" i="2"/>
  <c r="Q765" i="2"/>
  <c r="P765" i="2"/>
  <c r="O765" i="2"/>
  <c r="N765" i="2"/>
  <c r="U764" i="2"/>
  <c r="Q764" i="2"/>
  <c r="P764" i="2"/>
  <c r="O764" i="2"/>
  <c r="N764" i="2"/>
  <c r="U763" i="2"/>
  <c r="Q763" i="2"/>
  <c r="P763" i="2"/>
  <c r="O763" i="2"/>
  <c r="N763" i="2"/>
  <c r="U762" i="2"/>
  <c r="R762" i="2"/>
  <c r="Q762" i="2"/>
  <c r="P762" i="2"/>
  <c r="O762" i="2"/>
  <c r="N762" i="2"/>
  <c r="U761" i="2"/>
  <c r="R761" i="2"/>
  <c r="Q761" i="2"/>
  <c r="P761" i="2"/>
  <c r="O761" i="2"/>
  <c r="N761" i="2"/>
  <c r="U760" i="2"/>
  <c r="R760" i="2"/>
  <c r="Q760" i="2"/>
  <c r="P760" i="2"/>
  <c r="O760" i="2"/>
  <c r="N760" i="2"/>
  <c r="U759" i="2"/>
  <c r="Q759" i="2"/>
  <c r="P759" i="2"/>
  <c r="O759" i="2"/>
  <c r="N759" i="2"/>
  <c r="U758" i="2"/>
  <c r="Q758" i="2"/>
  <c r="P758" i="2"/>
  <c r="O758" i="2"/>
  <c r="N758" i="2"/>
  <c r="U757" i="2"/>
  <c r="Q757" i="2"/>
  <c r="P757" i="2"/>
  <c r="O757" i="2"/>
  <c r="N757" i="2"/>
  <c r="U756" i="2"/>
  <c r="Q756" i="2"/>
  <c r="P756" i="2"/>
  <c r="O756" i="2"/>
  <c r="N756" i="2"/>
  <c r="U755" i="2"/>
  <c r="Q755" i="2"/>
  <c r="P755" i="2"/>
  <c r="O755" i="2"/>
  <c r="N755" i="2"/>
  <c r="U754" i="2"/>
  <c r="Q754" i="2"/>
  <c r="P754" i="2"/>
  <c r="O754" i="2"/>
  <c r="N754" i="2"/>
  <c r="U753" i="2"/>
  <c r="Q753" i="2"/>
  <c r="P753" i="2"/>
  <c r="O753" i="2"/>
  <c r="N753" i="2"/>
  <c r="U752" i="2"/>
  <c r="Q752" i="2"/>
  <c r="P752" i="2"/>
  <c r="O752" i="2"/>
  <c r="N752" i="2"/>
  <c r="U751" i="2"/>
  <c r="Q751" i="2"/>
  <c r="P751" i="2"/>
  <c r="O751" i="2"/>
  <c r="N751" i="2"/>
  <c r="U750" i="2"/>
  <c r="Q750" i="2"/>
  <c r="P750" i="2"/>
  <c r="O750" i="2"/>
  <c r="N750" i="2"/>
  <c r="U749" i="2"/>
  <c r="Q749" i="2"/>
  <c r="P749" i="2"/>
  <c r="O749" i="2"/>
  <c r="N749" i="2"/>
  <c r="U748" i="2"/>
  <c r="Q748" i="2"/>
  <c r="P748" i="2"/>
  <c r="O748" i="2"/>
  <c r="N748" i="2"/>
  <c r="U747" i="2"/>
  <c r="Q747" i="2"/>
  <c r="P747" i="2"/>
  <c r="O747" i="2"/>
  <c r="N747" i="2"/>
  <c r="U746" i="2"/>
  <c r="Q746" i="2"/>
  <c r="P746" i="2"/>
  <c r="O746" i="2"/>
  <c r="N746" i="2"/>
  <c r="U745" i="2"/>
  <c r="Q745" i="2"/>
  <c r="P745" i="2"/>
  <c r="O745" i="2"/>
  <c r="N745" i="2"/>
  <c r="U744" i="2"/>
  <c r="Q744" i="2"/>
  <c r="P744" i="2"/>
  <c r="O744" i="2"/>
  <c r="N744" i="2"/>
  <c r="U743" i="2"/>
  <c r="Q743" i="2"/>
  <c r="P743" i="2"/>
  <c r="O743" i="2"/>
  <c r="N743" i="2"/>
  <c r="U742" i="2"/>
  <c r="Q742" i="2"/>
  <c r="P742" i="2"/>
  <c r="O742" i="2"/>
  <c r="N742" i="2"/>
  <c r="U741" i="2"/>
  <c r="R741" i="2"/>
  <c r="Q741" i="2"/>
  <c r="P741" i="2"/>
  <c r="O741" i="2"/>
  <c r="N741" i="2"/>
  <c r="U740" i="2"/>
  <c r="R740" i="2"/>
  <c r="Q740" i="2"/>
  <c r="P740" i="2"/>
  <c r="O740" i="2"/>
  <c r="N740" i="2"/>
  <c r="U739" i="2"/>
  <c r="Q739" i="2"/>
  <c r="P739" i="2"/>
  <c r="O739" i="2"/>
  <c r="N739" i="2"/>
  <c r="U738" i="2"/>
  <c r="Q738" i="2"/>
  <c r="P738" i="2"/>
  <c r="O738" i="2"/>
  <c r="N738" i="2"/>
  <c r="U737" i="2"/>
  <c r="Q737" i="2"/>
  <c r="P737" i="2"/>
  <c r="O737" i="2"/>
  <c r="N737" i="2"/>
  <c r="U736" i="2"/>
  <c r="Q736" i="2"/>
  <c r="P736" i="2"/>
  <c r="O736" i="2"/>
  <c r="N736" i="2"/>
  <c r="U735" i="2"/>
  <c r="R735" i="2"/>
  <c r="Q735" i="2"/>
  <c r="P735" i="2"/>
  <c r="O735" i="2"/>
  <c r="N735" i="2"/>
  <c r="U734" i="2"/>
  <c r="Q734" i="2"/>
  <c r="P734" i="2"/>
  <c r="O734" i="2"/>
  <c r="N734" i="2"/>
  <c r="U733" i="2"/>
  <c r="Q733" i="2"/>
  <c r="P733" i="2"/>
  <c r="O733" i="2"/>
  <c r="N733" i="2"/>
  <c r="U732" i="2"/>
  <c r="R732" i="2"/>
  <c r="Q732" i="2"/>
  <c r="P732" i="2"/>
  <c r="O732" i="2"/>
  <c r="N732" i="2"/>
  <c r="U731" i="2"/>
  <c r="Q731" i="2"/>
  <c r="P731" i="2"/>
  <c r="O731" i="2"/>
  <c r="N731" i="2"/>
  <c r="U730" i="2"/>
  <c r="Q730" i="2"/>
  <c r="P730" i="2"/>
  <c r="O730" i="2"/>
  <c r="N730" i="2"/>
  <c r="U729" i="2"/>
  <c r="T729" i="2"/>
  <c r="Q729" i="2"/>
  <c r="P729" i="2"/>
  <c r="O729" i="2"/>
  <c r="N729" i="2"/>
  <c r="U728" i="2"/>
  <c r="Q728" i="2"/>
  <c r="P728" i="2"/>
  <c r="O728" i="2"/>
  <c r="N728" i="2"/>
  <c r="U727" i="2"/>
  <c r="Q727" i="2"/>
  <c r="P727" i="2"/>
  <c r="O727" i="2"/>
  <c r="N727" i="2"/>
  <c r="U726" i="2"/>
  <c r="Q726" i="2"/>
  <c r="P726" i="2"/>
  <c r="O726" i="2"/>
  <c r="N726" i="2"/>
  <c r="U725" i="2"/>
  <c r="R725" i="2"/>
  <c r="Q725" i="2"/>
  <c r="P725" i="2"/>
  <c r="O725" i="2"/>
  <c r="N725" i="2"/>
  <c r="U724" i="2"/>
  <c r="R724" i="2"/>
  <c r="Q724" i="2"/>
  <c r="P724" i="2"/>
  <c r="O724" i="2"/>
  <c r="N724" i="2"/>
  <c r="U723" i="2"/>
  <c r="Q723" i="2"/>
  <c r="P723" i="2"/>
  <c r="O723" i="2"/>
  <c r="N723" i="2"/>
  <c r="U722" i="2"/>
  <c r="R722" i="2"/>
  <c r="Q722" i="2"/>
  <c r="P722" i="2"/>
  <c r="O722" i="2"/>
  <c r="N722" i="2"/>
  <c r="U721" i="2"/>
  <c r="Q721" i="2"/>
  <c r="P721" i="2"/>
  <c r="O721" i="2"/>
  <c r="N721" i="2"/>
  <c r="U720" i="2"/>
  <c r="Q720" i="2"/>
  <c r="P720" i="2"/>
  <c r="O720" i="2"/>
  <c r="N720" i="2"/>
  <c r="U719" i="2"/>
  <c r="Q719" i="2"/>
  <c r="P719" i="2"/>
  <c r="O719" i="2"/>
  <c r="N719" i="2"/>
  <c r="U718" i="2"/>
  <c r="R718" i="2"/>
  <c r="Q718" i="2"/>
  <c r="P718" i="2"/>
  <c r="O718" i="2"/>
  <c r="N718" i="2"/>
  <c r="U717" i="2"/>
  <c r="R717" i="2"/>
  <c r="Q717" i="2"/>
  <c r="P717" i="2"/>
  <c r="O717" i="2"/>
  <c r="N717" i="2"/>
  <c r="U716" i="2"/>
  <c r="Q716" i="2"/>
  <c r="P716" i="2"/>
  <c r="O716" i="2"/>
  <c r="N716" i="2"/>
  <c r="U715" i="2"/>
  <c r="R715" i="2"/>
  <c r="Q715" i="2"/>
  <c r="P715" i="2"/>
  <c r="O715" i="2"/>
  <c r="N715" i="2"/>
  <c r="U714" i="2"/>
  <c r="Q714" i="2"/>
  <c r="P714" i="2"/>
  <c r="O714" i="2"/>
  <c r="N714" i="2"/>
  <c r="U713" i="2"/>
  <c r="Q713" i="2"/>
  <c r="P713" i="2"/>
  <c r="O713" i="2"/>
  <c r="N713" i="2"/>
  <c r="U712" i="2"/>
  <c r="R712" i="2"/>
  <c r="Q712" i="2"/>
  <c r="P712" i="2"/>
  <c r="O712" i="2"/>
  <c r="N712" i="2"/>
  <c r="U711" i="2"/>
  <c r="Q711" i="2"/>
  <c r="P711" i="2"/>
  <c r="O711" i="2"/>
  <c r="N711" i="2"/>
  <c r="U710" i="2"/>
  <c r="Q710" i="2"/>
  <c r="P710" i="2"/>
  <c r="O710" i="2"/>
  <c r="N710" i="2"/>
  <c r="U709" i="2"/>
  <c r="Q709" i="2"/>
  <c r="P709" i="2"/>
  <c r="O709" i="2"/>
  <c r="N709" i="2"/>
  <c r="U708" i="2"/>
  <c r="Q708" i="2"/>
  <c r="P708" i="2"/>
  <c r="O708" i="2"/>
  <c r="N708" i="2"/>
  <c r="U707" i="2"/>
  <c r="R707" i="2"/>
  <c r="Q707" i="2"/>
  <c r="P707" i="2"/>
  <c r="O707" i="2"/>
  <c r="N707" i="2"/>
  <c r="U706" i="2"/>
  <c r="R706" i="2"/>
  <c r="Q706" i="2"/>
  <c r="P706" i="2"/>
  <c r="O706" i="2"/>
  <c r="N706" i="2"/>
  <c r="U705" i="2"/>
  <c r="Q705" i="2"/>
  <c r="P705" i="2"/>
  <c r="O705" i="2"/>
  <c r="N705" i="2"/>
  <c r="U704" i="2"/>
  <c r="Q704" i="2"/>
  <c r="P704" i="2"/>
  <c r="O704" i="2"/>
  <c r="N704" i="2"/>
  <c r="U703" i="2"/>
  <c r="R703" i="2"/>
  <c r="Q703" i="2"/>
  <c r="P703" i="2"/>
  <c r="O703" i="2"/>
  <c r="N703" i="2"/>
  <c r="U702" i="2"/>
  <c r="Q702" i="2"/>
  <c r="P702" i="2"/>
  <c r="O702" i="2"/>
  <c r="N702" i="2"/>
  <c r="U701" i="2"/>
  <c r="Q701" i="2"/>
  <c r="P701" i="2"/>
  <c r="O701" i="2"/>
  <c r="N701" i="2"/>
  <c r="U700" i="2"/>
  <c r="Q700" i="2"/>
  <c r="P700" i="2"/>
  <c r="O700" i="2"/>
  <c r="N700" i="2"/>
  <c r="U699" i="2"/>
  <c r="Q699" i="2"/>
  <c r="P699" i="2"/>
  <c r="O699" i="2"/>
  <c r="N699" i="2"/>
  <c r="U698" i="2"/>
  <c r="Q698" i="2"/>
  <c r="P698" i="2"/>
  <c r="O698" i="2"/>
  <c r="N698" i="2"/>
  <c r="U697" i="2"/>
  <c r="T697" i="2"/>
  <c r="R697" i="2"/>
  <c r="Q697" i="2"/>
  <c r="P697" i="2"/>
  <c r="O697" i="2"/>
  <c r="N697" i="2"/>
  <c r="U696" i="2"/>
  <c r="Q696" i="2"/>
  <c r="P696" i="2"/>
  <c r="O696" i="2"/>
  <c r="N696" i="2"/>
  <c r="U695" i="2"/>
  <c r="R695" i="2"/>
  <c r="Q695" i="2"/>
  <c r="P695" i="2"/>
  <c r="O695" i="2"/>
  <c r="N695" i="2"/>
  <c r="U694" i="2"/>
  <c r="Q694" i="2"/>
  <c r="P694" i="2"/>
  <c r="O694" i="2"/>
  <c r="N694" i="2"/>
  <c r="U693" i="2"/>
  <c r="Q693" i="2"/>
  <c r="P693" i="2"/>
  <c r="O693" i="2"/>
  <c r="N693" i="2"/>
  <c r="U692" i="2"/>
  <c r="Q692" i="2"/>
  <c r="P692" i="2"/>
  <c r="O692" i="2"/>
  <c r="N692" i="2"/>
  <c r="U691" i="2"/>
  <c r="R691" i="2"/>
  <c r="Q691" i="2"/>
  <c r="P691" i="2"/>
  <c r="O691" i="2"/>
  <c r="N691" i="2"/>
  <c r="U690" i="2"/>
  <c r="Q690" i="2"/>
  <c r="P690" i="2"/>
  <c r="O690" i="2"/>
  <c r="N690" i="2"/>
  <c r="U689" i="2"/>
  <c r="R689" i="2"/>
  <c r="Q689" i="2"/>
  <c r="P689" i="2"/>
  <c r="O689" i="2"/>
  <c r="N689" i="2"/>
  <c r="U688" i="2"/>
  <c r="R688" i="2"/>
  <c r="Q688" i="2"/>
  <c r="P688" i="2"/>
  <c r="O688" i="2"/>
  <c r="N688" i="2"/>
  <c r="U687" i="2"/>
  <c r="Q687" i="2"/>
  <c r="P687" i="2"/>
  <c r="O687" i="2"/>
  <c r="N687" i="2"/>
  <c r="U686" i="2"/>
  <c r="R686" i="2"/>
  <c r="Q686" i="2"/>
  <c r="P686" i="2"/>
  <c r="O686" i="2"/>
  <c r="N686" i="2"/>
  <c r="U685" i="2"/>
  <c r="Q685" i="2"/>
  <c r="P685" i="2"/>
  <c r="O685" i="2"/>
  <c r="N685" i="2"/>
  <c r="U684" i="2"/>
  <c r="Q684" i="2"/>
  <c r="P684" i="2"/>
  <c r="O684" i="2"/>
  <c r="N684" i="2"/>
  <c r="U683" i="2"/>
  <c r="Q683" i="2"/>
  <c r="P683" i="2"/>
  <c r="O683" i="2"/>
  <c r="N683" i="2"/>
  <c r="U682" i="2"/>
  <c r="R682" i="2"/>
  <c r="Q682" i="2"/>
  <c r="P682" i="2"/>
  <c r="O682" i="2"/>
  <c r="N682" i="2"/>
  <c r="U681" i="2"/>
  <c r="R681" i="2"/>
  <c r="Q681" i="2"/>
  <c r="P681" i="2"/>
  <c r="O681" i="2"/>
  <c r="N681" i="2"/>
  <c r="U680" i="2"/>
  <c r="R680" i="2"/>
  <c r="Q680" i="2"/>
  <c r="P680" i="2"/>
  <c r="O680" i="2"/>
  <c r="N680" i="2"/>
  <c r="U679" i="2"/>
  <c r="R679" i="2"/>
  <c r="Q679" i="2"/>
  <c r="P679" i="2"/>
  <c r="O679" i="2"/>
  <c r="N679" i="2"/>
  <c r="U678" i="2"/>
  <c r="Q678" i="2"/>
  <c r="P678" i="2"/>
  <c r="O678" i="2"/>
  <c r="N678" i="2"/>
  <c r="U677" i="2"/>
  <c r="Q677" i="2"/>
  <c r="P677" i="2"/>
  <c r="O677" i="2"/>
  <c r="N677" i="2"/>
  <c r="U676" i="2"/>
  <c r="Q676" i="2"/>
  <c r="P676" i="2"/>
  <c r="O676" i="2"/>
  <c r="N676" i="2"/>
  <c r="U675" i="2"/>
  <c r="Q675" i="2"/>
  <c r="P675" i="2"/>
  <c r="O675" i="2"/>
  <c r="N675" i="2"/>
  <c r="U674" i="2"/>
  <c r="Q674" i="2"/>
  <c r="P674" i="2"/>
  <c r="O674" i="2"/>
  <c r="N674" i="2"/>
  <c r="U673" i="2"/>
  <c r="Q673" i="2"/>
  <c r="P673" i="2"/>
  <c r="O673" i="2"/>
  <c r="N673" i="2"/>
  <c r="U672" i="2"/>
  <c r="Q672" i="2"/>
  <c r="P672" i="2"/>
  <c r="O672" i="2"/>
  <c r="N672" i="2"/>
  <c r="U671" i="2"/>
  <c r="Q671" i="2"/>
  <c r="P671" i="2"/>
  <c r="O671" i="2"/>
  <c r="N671" i="2"/>
  <c r="U670" i="2"/>
  <c r="Q670" i="2"/>
  <c r="P670" i="2"/>
  <c r="O670" i="2"/>
  <c r="N670" i="2"/>
  <c r="U669" i="2"/>
  <c r="Q669" i="2"/>
  <c r="P669" i="2"/>
  <c r="O669" i="2"/>
  <c r="N669" i="2"/>
  <c r="U668" i="2"/>
  <c r="Q668" i="2"/>
  <c r="P668" i="2"/>
  <c r="O668" i="2"/>
  <c r="N668" i="2"/>
  <c r="U667" i="2"/>
  <c r="Q667" i="2"/>
  <c r="P667" i="2"/>
  <c r="O667" i="2"/>
  <c r="N667" i="2"/>
  <c r="U666" i="2"/>
  <c r="Q666" i="2"/>
  <c r="P666" i="2"/>
  <c r="O666" i="2"/>
  <c r="N666" i="2"/>
  <c r="U665" i="2"/>
  <c r="Q665" i="2"/>
  <c r="P665" i="2"/>
  <c r="O665" i="2"/>
  <c r="N665" i="2"/>
  <c r="U664" i="2"/>
  <c r="Q664" i="2"/>
  <c r="P664" i="2"/>
  <c r="O664" i="2"/>
  <c r="N664" i="2"/>
  <c r="U663" i="2"/>
  <c r="R663" i="2"/>
  <c r="Q663" i="2"/>
  <c r="P663" i="2"/>
  <c r="O663" i="2"/>
  <c r="N663" i="2"/>
  <c r="U662" i="2"/>
  <c r="Q662" i="2"/>
  <c r="P662" i="2"/>
  <c r="O662" i="2"/>
  <c r="N662" i="2"/>
  <c r="U661" i="2"/>
  <c r="Q661" i="2"/>
  <c r="P661" i="2"/>
  <c r="O661" i="2"/>
  <c r="N661" i="2"/>
  <c r="U660" i="2"/>
  <c r="Q660" i="2"/>
  <c r="P660" i="2"/>
  <c r="O660" i="2"/>
  <c r="N660" i="2"/>
  <c r="U659" i="2"/>
  <c r="Q659" i="2"/>
  <c r="P659" i="2"/>
  <c r="O659" i="2"/>
  <c r="N659" i="2"/>
  <c r="U658" i="2"/>
  <c r="Q658" i="2"/>
  <c r="P658" i="2"/>
  <c r="O658" i="2"/>
  <c r="N658" i="2"/>
  <c r="U657" i="2"/>
  <c r="R657" i="2"/>
  <c r="Q657" i="2"/>
  <c r="P657" i="2"/>
  <c r="O657" i="2"/>
  <c r="N657" i="2"/>
  <c r="U656" i="2"/>
  <c r="Q656" i="2"/>
  <c r="P656" i="2"/>
  <c r="O656" i="2"/>
  <c r="N656" i="2"/>
  <c r="U655" i="2"/>
  <c r="R655" i="2"/>
  <c r="Q655" i="2"/>
  <c r="P655" i="2"/>
  <c r="O655" i="2"/>
  <c r="N655" i="2"/>
  <c r="U654" i="2"/>
  <c r="Q654" i="2"/>
  <c r="P654" i="2"/>
  <c r="O654" i="2"/>
  <c r="N654" i="2"/>
  <c r="U653" i="2"/>
  <c r="Q653" i="2"/>
  <c r="P653" i="2"/>
  <c r="O653" i="2"/>
  <c r="N653" i="2"/>
  <c r="U652" i="2"/>
  <c r="Q652" i="2"/>
  <c r="P652" i="2"/>
  <c r="O652" i="2"/>
  <c r="N652" i="2"/>
  <c r="U651" i="2"/>
  <c r="Q651" i="2"/>
  <c r="P651" i="2"/>
  <c r="O651" i="2"/>
  <c r="N651" i="2"/>
  <c r="U650" i="2"/>
  <c r="R650" i="2"/>
  <c r="Q650" i="2"/>
  <c r="P650" i="2"/>
  <c r="O650" i="2"/>
  <c r="N650" i="2"/>
  <c r="U649" i="2"/>
  <c r="Q649" i="2"/>
  <c r="P649" i="2"/>
  <c r="O649" i="2"/>
  <c r="N649" i="2"/>
  <c r="U648" i="2"/>
  <c r="Q648" i="2"/>
  <c r="P648" i="2"/>
  <c r="O648" i="2"/>
  <c r="N648" i="2"/>
  <c r="U647" i="2"/>
  <c r="R647" i="2"/>
  <c r="Q647" i="2"/>
  <c r="P647" i="2"/>
  <c r="O647" i="2"/>
  <c r="N647" i="2"/>
  <c r="U646" i="2"/>
  <c r="Q646" i="2"/>
  <c r="P646" i="2"/>
  <c r="O646" i="2"/>
  <c r="N646" i="2"/>
  <c r="U645" i="2"/>
  <c r="R645" i="2"/>
  <c r="Q645" i="2"/>
  <c r="P645" i="2"/>
  <c r="O645" i="2"/>
  <c r="N645" i="2"/>
  <c r="U644" i="2"/>
  <c r="Q644" i="2"/>
  <c r="P644" i="2"/>
  <c r="O644" i="2"/>
  <c r="N644" i="2"/>
  <c r="U643" i="2"/>
  <c r="Q643" i="2"/>
  <c r="P643" i="2"/>
  <c r="O643" i="2"/>
  <c r="N643" i="2"/>
  <c r="U642" i="2"/>
  <c r="Q642" i="2"/>
  <c r="P642" i="2"/>
  <c r="O642" i="2"/>
  <c r="N642" i="2"/>
  <c r="U641" i="2"/>
  <c r="Q641" i="2"/>
  <c r="P641" i="2"/>
  <c r="O641" i="2"/>
  <c r="N641" i="2"/>
  <c r="U640" i="2"/>
  <c r="Q640" i="2"/>
  <c r="P640" i="2"/>
  <c r="O640" i="2"/>
  <c r="N640" i="2"/>
  <c r="U639" i="2"/>
  <c r="Q639" i="2"/>
  <c r="P639" i="2"/>
  <c r="O639" i="2"/>
  <c r="N639" i="2"/>
  <c r="U638" i="2"/>
  <c r="Q638" i="2"/>
  <c r="P638" i="2"/>
  <c r="O638" i="2"/>
  <c r="N638" i="2"/>
  <c r="U637" i="2"/>
  <c r="Q637" i="2"/>
  <c r="P637" i="2"/>
  <c r="O637" i="2"/>
  <c r="N637" i="2"/>
  <c r="U636" i="2"/>
  <c r="R636" i="2"/>
  <c r="Q636" i="2"/>
  <c r="P636" i="2"/>
  <c r="O636" i="2"/>
  <c r="N636" i="2"/>
  <c r="U635" i="2"/>
  <c r="Q635" i="2"/>
  <c r="P635" i="2"/>
  <c r="O635" i="2"/>
  <c r="N635" i="2"/>
  <c r="U634" i="2"/>
  <c r="Q634" i="2"/>
  <c r="P634" i="2"/>
  <c r="O634" i="2"/>
  <c r="N634" i="2"/>
  <c r="U633" i="2"/>
  <c r="Q633" i="2"/>
  <c r="P633" i="2"/>
  <c r="O633" i="2"/>
  <c r="N633" i="2"/>
  <c r="U632" i="2"/>
  <c r="R632" i="2"/>
  <c r="Q632" i="2"/>
  <c r="P632" i="2"/>
  <c r="O632" i="2"/>
  <c r="N632" i="2"/>
  <c r="U631" i="2"/>
  <c r="Q631" i="2"/>
  <c r="P631" i="2"/>
  <c r="O631" i="2"/>
  <c r="N631" i="2"/>
  <c r="U630" i="2"/>
  <c r="Q630" i="2"/>
  <c r="P630" i="2"/>
  <c r="O630" i="2"/>
  <c r="N630" i="2"/>
  <c r="U629" i="2"/>
  <c r="Q629" i="2"/>
  <c r="P629" i="2"/>
  <c r="O629" i="2"/>
  <c r="N629" i="2"/>
  <c r="U628" i="2"/>
  <c r="Q628" i="2"/>
  <c r="P628" i="2"/>
  <c r="O628" i="2"/>
  <c r="N628" i="2"/>
  <c r="U627" i="2"/>
  <c r="Q627" i="2"/>
  <c r="P627" i="2"/>
  <c r="O627" i="2"/>
  <c r="N627" i="2"/>
  <c r="U626" i="2"/>
  <c r="Q626" i="2"/>
  <c r="P626" i="2"/>
  <c r="O626" i="2"/>
  <c r="N626" i="2"/>
  <c r="U625" i="2"/>
  <c r="R625" i="2"/>
  <c r="Q625" i="2"/>
  <c r="P625" i="2"/>
  <c r="O625" i="2"/>
  <c r="N625" i="2"/>
  <c r="U624" i="2"/>
  <c r="R624" i="2"/>
  <c r="Q624" i="2"/>
  <c r="P624" i="2"/>
  <c r="O624" i="2"/>
  <c r="N624" i="2"/>
  <c r="U623" i="2"/>
  <c r="R623" i="2"/>
  <c r="Q623" i="2"/>
  <c r="P623" i="2"/>
  <c r="O623" i="2"/>
  <c r="N623" i="2"/>
  <c r="U622" i="2"/>
  <c r="R622" i="2"/>
  <c r="Q622" i="2"/>
  <c r="P622" i="2"/>
  <c r="O622" i="2"/>
  <c r="N622" i="2"/>
  <c r="U621" i="2"/>
  <c r="Q621" i="2"/>
  <c r="P621" i="2"/>
  <c r="O621" i="2"/>
  <c r="N621" i="2"/>
  <c r="U620" i="2"/>
  <c r="Q620" i="2"/>
  <c r="P620" i="2"/>
  <c r="O620" i="2"/>
  <c r="N620" i="2"/>
  <c r="U619" i="2"/>
  <c r="Q619" i="2"/>
  <c r="P619" i="2"/>
  <c r="O619" i="2"/>
  <c r="N619" i="2"/>
  <c r="U618" i="2"/>
  <c r="R618" i="2"/>
  <c r="Q618" i="2"/>
  <c r="P618" i="2"/>
  <c r="O618" i="2"/>
  <c r="N618" i="2"/>
  <c r="U617" i="2"/>
  <c r="Q617" i="2"/>
  <c r="P617" i="2"/>
  <c r="O617" i="2"/>
  <c r="N617" i="2"/>
  <c r="U616" i="2"/>
  <c r="Q616" i="2"/>
  <c r="P616" i="2"/>
  <c r="O616" i="2"/>
  <c r="N616" i="2"/>
  <c r="U615" i="2"/>
  <c r="Q615" i="2"/>
  <c r="P615" i="2"/>
  <c r="O615" i="2"/>
  <c r="N615" i="2"/>
  <c r="U614" i="2"/>
  <c r="Q614" i="2"/>
  <c r="P614" i="2"/>
  <c r="O614" i="2"/>
  <c r="N614" i="2"/>
  <c r="U613" i="2"/>
  <c r="Q613" i="2"/>
  <c r="P613" i="2"/>
  <c r="O613" i="2"/>
  <c r="N613" i="2"/>
  <c r="U612" i="2"/>
  <c r="R612" i="2"/>
  <c r="Q612" i="2"/>
  <c r="P612" i="2"/>
  <c r="O612" i="2"/>
  <c r="N612" i="2"/>
  <c r="U611" i="2"/>
  <c r="Q611" i="2"/>
  <c r="P611" i="2"/>
  <c r="O611" i="2"/>
  <c r="N611" i="2"/>
  <c r="U610" i="2"/>
  <c r="R610" i="2"/>
  <c r="Q610" i="2"/>
  <c r="P610" i="2"/>
  <c r="O610" i="2"/>
  <c r="N610" i="2"/>
  <c r="U609" i="2"/>
  <c r="Q609" i="2"/>
  <c r="P609" i="2"/>
  <c r="O609" i="2"/>
  <c r="N609" i="2"/>
  <c r="U608" i="2"/>
  <c r="Q608" i="2"/>
  <c r="P608" i="2"/>
  <c r="O608" i="2"/>
  <c r="N608" i="2"/>
  <c r="U607" i="2"/>
  <c r="Q607" i="2"/>
  <c r="P607" i="2"/>
  <c r="O607" i="2"/>
  <c r="N607" i="2"/>
  <c r="U606" i="2"/>
  <c r="Q606" i="2"/>
  <c r="P606" i="2"/>
  <c r="O606" i="2"/>
  <c r="N606" i="2"/>
  <c r="U605" i="2"/>
  <c r="R605" i="2"/>
  <c r="Q605" i="2"/>
  <c r="P605" i="2"/>
  <c r="O605" i="2"/>
  <c r="N605" i="2"/>
  <c r="U604" i="2"/>
  <c r="R604" i="2"/>
  <c r="Q604" i="2"/>
  <c r="P604" i="2"/>
  <c r="O604" i="2"/>
  <c r="N604" i="2"/>
  <c r="U603" i="2"/>
  <c r="R603" i="2"/>
  <c r="Q603" i="2"/>
  <c r="P603" i="2"/>
  <c r="O603" i="2"/>
  <c r="N603" i="2"/>
  <c r="U602" i="2"/>
  <c r="Q602" i="2"/>
  <c r="P602" i="2"/>
  <c r="O602" i="2"/>
  <c r="N602" i="2"/>
  <c r="U601" i="2"/>
  <c r="R601" i="2"/>
  <c r="Q601" i="2"/>
  <c r="P601" i="2"/>
  <c r="O601" i="2"/>
  <c r="N601" i="2"/>
  <c r="U600" i="2"/>
  <c r="Q600" i="2"/>
  <c r="P600" i="2"/>
  <c r="O600" i="2"/>
  <c r="N600" i="2"/>
  <c r="U599" i="2"/>
  <c r="R599" i="2"/>
  <c r="Q599" i="2"/>
  <c r="P599" i="2"/>
  <c r="O599" i="2"/>
  <c r="N599" i="2"/>
  <c r="U598" i="2"/>
  <c r="Q598" i="2"/>
  <c r="P598" i="2"/>
  <c r="O598" i="2"/>
  <c r="N598" i="2"/>
  <c r="U597" i="2"/>
  <c r="T597" i="2"/>
  <c r="R597" i="2"/>
  <c r="Q597" i="2"/>
  <c r="P597" i="2"/>
  <c r="O597" i="2"/>
  <c r="N597" i="2"/>
  <c r="U596" i="2"/>
  <c r="Q596" i="2"/>
  <c r="P596" i="2"/>
  <c r="O596" i="2"/>
  <c r="N596" i="2"/>
  <c r="U595" i="2"/>
  <c r="R595" i="2"/>
  <c r="Q595" i="2"/>
  <c r="P595" i="2"/>
  <c r="O595" i="2"/>
  <c r="N595" i="2"/>
  <c r="U594" i="2"/>
  <c r="R594" i="2"/>
  <c r="Q594" i="2"/>
  <c r="P594" i="2"/>
  <c r="O594" i="2"/>
  <c r="N594" i="2"/>
  <c r="U593" i="2"/>
  <c r="Q593" i="2"/>
  <c r="P593" i="2"/>
  <c r="O593" i="2"/>
  <c r="N593" i="2"/>
  <c r="U592" i="2"/>
  <c r="R592" i="2"/>
  <c r="Q592" i="2"/>
  <c r="P592" i="2"/>
  <c r="O592" i="2"/>
  <c r="N592" i="2"/>
  <c r="U591" i="2"/>
  <c r="Q591" i="2"/>
  <c r="P591" i="2"/>
  <c r="O591" i="2"/>
  <c r="N591" i="2"/>
  <c r="U590" i="2"/>
  <c r="R590" i="2"/>
  <c r="Q590" i="2"/>
  <c r="P590" i="2"/>
  <c r="O590" i="2"/>
  <c r="N590" i="2"/>
  <c r="U589" i="2"/>
  <c r="R589" i="2"/>
  <c r="Q589" i="2"/>
  <c r="P589" i="2"/>
  <c r="O589" i="2"/>
  <c r="N589" i="2"/>
  <c r="U588" i="2"/>
  <c r="Q588" i="2"/>
  <c r="P588" i="2"/>
  <c r="O588" i="2"/>
  <c r="N588" i="2"/>
  <c r="U587" i="2"/>
  <c r="Q587" i="2"/>
  <c r="P587" i="2"/>
  <c r="O587" i="2"/>
  <c r="N587" i="2"/>
  <c r="U586" i="2"/>
  <c r="Q586" i="2"/>
  <c r="P586" i="2"/>
  <c r="O586" i="2"/>
  <c r="N586" i="2"/>
  <c r="U585" i="2"/>
  <c r="Q585" i="2"/>
  <c r="P585" i="2"/>
  <c r="O585" i="2"/>
  <c r="N585" i="2"/>
  <c r="U584" i="2"/>
  <c r="Q584" i="2"/>
  <c r="P584" i="2"/>
  <c r="O584" i="2"/>
  <c r="N584" i="2"/>
  <c r="U583" i="2"/>
  <c r="Q583" i="2"/>
  <c r="P583" i="2"/>
  <c r="O583" i="2"/>
  <c r="N583" i="2"/>
  <c r="U582" i="2"/>
  <c r="Q582" i="2"/>
  <c r="P582" i="2"/>
  <c r="O582" i="2"/>
  <c r="N582" i="2"/>
  <c r="U581" i="2"/>
  <c r="R581" i="2"/>
  <c r="Q581" i="2"/>
  <c r="P581" i="2"/>
  <c r="O581" i="2"/>
  <c r="N581" i="2"/>
  <c r="U580" i="2"/>
  <c r="Q580" i="2"/>
  <c r="P580" i="2"/>
  <c r="O580" i="2"/>
  <c r="N580" i="2"/>
  <c r="U579" i="2"/>
  <c r="Q579" i="2"/>
  <c r="P579" i="2"/>
  <c r="O579" i="2"/>
  <c r="N579" i="2"/>
  <c r="U578" i="2"/>
  <c r="R578" i="2"/>
  <c r="Q578" i="2"/>
  <c r="P578" i="2"/>
  <c r="O578" i="2"/>
  <c r="N578" i="2"/>
  <c r="U577" i="2"/>
  <c r="Q577" i="2"/>
  <c r="P577" i="2"/>
  <c r="O577" i="2"/>
  <c r="N577" i="2"/>
  <c r="U576" i="2"/>
  <c r="Q576" i="2"/>
  <c r="P576" i="2"/>
  <c r="O576" i="2"/>
  <c r="N576" i="2"/>
  <c r="U575" i="2"/>
  <c r="R575" i="2"/>
  <c r="Q575" i="2"/>
  <c r="P575" i="2"/>
  <c r="O575" i="2"/>
  <c r="N575" i="2"/>
  <c r="U574" i="2"/>
  <c r="Q574" i="2"/>
  <c r="P574" i="2"/>
  <c r="O574" i="2"/>
  <c r="N574" i="2"/>
  <c r="U573" i="2"/>
  <c r="R573" i="2"/>
  <c r="Q573" i="2"/>
  <c r="P573" i="2"/>
  <c r="O573" i="2"/>
  <c r="N573" i="2"/>
  <c r="U572" i="2"/>
  <c r="R572" i="2"/>
  <c r="Q572" i="2"/>
  <c r="P572" i="2"/>
  <c r="O572" i="2"/>
  <c r="N572" i="2"/>
  <c r="U571" i="2"/>
  <c r="Q571" i="2"/>
  <c r="P571" i="2"/>
  <c r="O571" i="2"/>
  <c r="N571" i="2"/>
  <c r="U570" i="2"/>
  <c r="Q570" i="2"/>
  <c r="P570" i="2"/>
  <c r="O570" i="2"/>
  <c r="N570" i="2"/>
  <c r="U569" i="2"/>
  <c r="R569" i="2"/>
  <c r="Q569" i="2"/>
  <c r="P569" i="2"/>
  <c r="O569" i="2"/>
  <c r="N569" i="2"/>
  <c r="U568" i="2"/>
  <c r="R568" i="2"/>
  <c r="Q568" i="2"/>
  <c r="P568" i="2"/>
  <c r="O568" i="2"/>
  <c r="N568" i="2"/>
  <c r="U567" i="2"/>
  <c r="R567" i="2"/>
  <c r="Q567" i="2"/>
  <c r="P567" i="2"/>
  <c r="O567" i="2"/>
  <c r="N567" i="2"/>
  <c r="U566" i="2"/>
  <c r="Q566" i="2"/>
  <c r="P566" i="2"/>
  <c r="O566" i="2"/>
  <c r="N566" i="2"/>
  <c r="U565" i="2"/>
  <c r="Q565" i="2"/>
  <c r="P565" i="2"/>
  <c r="O565" i="2"/>
  <c r="N565" i="2"/>
  <c r="U564" i="2"/>
  <c r="Q564" i="2"/>
  <c r="P564" i="2"/>
  <c r="O564" i="2"/>
  <c r="N564" i="2"/>
  <c r="U563" i="2"/>
  <c r="Q563" i="2"/>
  <c r="P563" i="2"/>
  <c r="O563" i="2"/>
  <c r="N563" i="2"/>
  <c r="U562" i="2"/>
  <c r="Q562" i="2"/>
  <c r="P562" i="2"/>
  <c r="O562" i="2"/>
  <c r="N562" i="2"/>
  <c r="U561" i="2"/>
  <c r="R561" i="2"/>
  <c r="Q561" i="2"/>
  <c r="P561" i="2"/>
  <c r="O561" i="2"/>
  <c r="N561" i="2"/>
  <c r="U560" i="2"/>
  <c r="Q560" i="2"/>
  <c r="P560" i="2"/>
  <c r="O560" i="2"/>
  <c r="N560" i="2"/>
  <c r="U559" i="2"/>
  <c r="R559" i="2"/>
  <c r="Q559" i="2"/>
  <c r="P559" i="2"/>
  <c r="O559" i="2"/>
  <c r="N559" i="2"/>
  <c r="U558" i="2"/>
  <c r="R558" i="2"/>
  <c r="Q558" i="2"/>
  <c r="P558" i="2"/>
  <c r="O558" i="2"/>
  <c r="N558" i="2"/>
  <c r="U557" i="2"/>
  <c r="R557" i="2"/>
  <c r="Q557" i="2"/>
  <c r="P557" i="2"/>
  <c r="O557" i="2"/>
  <c r="N557" i="2"/>
  <c r="U556" i="2"/>
  <c r="R556" i="2"/>
  <c r="Q556" i="2"/>
  <c r="P556" i="2"/>
  <c r="O556" i="2"/>
  <c r="N556" i="2"/>
  <c r="U555" i="2"/>
  <c r="R555" i="2"/>
  <c r="Q555" i="2"/>
  <c r="P555" i="2"/>
  <c r="O555" i="2"/>
  <c r="N555" i="2"/>
  <c r="U554" i="2"/>
  <c r="R554" i="2"/>
  <c r="Q554" i="2"/>
  <c r="P554" i="2"/>
  <c r="O554" i="2"/>
  <c r="N554" i="2"/>
  <c r="U553" i="2"/>
  <c r="T553" i="2"/>
  <c r="Q553" i="2"/>
  <c r="P553" i="2"/>
  <c r="O553" i="2"/>
  <c r="N553" i="2"/>
  <c r="U552" i="2"/>
  <c r="Q552" i="2"/>
  <c r="P552" i="2"/>
  <c r="O552" i="2"/>
  <c r="N552" i="2"/>
  <c r="U551" i="2"/>
  <c r="Q551" i="2"/>
  <c r="P551" i="2"/>
  <c r="O551" i="2"/>
  <c r="N551" i="2"/>
  <c r="U550" i="2"/>
  <c r="R550" i="2"/>
  <c r="Q550" i="2"/>
  <c r="P550" i="2"/>
  <c r="O550" i="2"/>
  <c r="N550" i="2"/>
  <c r="U549" i="2"/>
  <c r="R549" i="2"/>
  <c r="Q549" i="2"/>
  <c r="P549" i="2"/>
  <c r="O549" i="2"/>
  <c r="N549" i="2"/>
  <c r="U548" i="2"/>
  <c r="Q548" i="2"/>
  <c r="P548" i="2"/>
  <c r="O548" i="2"/>
  <c r="N548" i="2"/>
  <c r="U547" i="2"/>
  <c r="Q547" i="2"/>
  <c r="P547" i="2"/>
  <c r="O547" i="2"/>
  <c r="N547" i="2"/>
  <c r="U546" i="2"/>
  <c r="Q546" i="2"/>
  <c r="P546" i="2"/>
  <c r="O546" i="2"/>
  <c r="N546" i="2"/>
  <c r="U545" i="2"/>
  <c r="Q545" i="2"/>
  <c r="P545" i="2"/>
  <c r="O545" i="2"/>
  <c r="N545" i="2"/>
  <c r="U544" i="2"/>
  <c r="Q544" i="2"/>
  <c r="P544" i="2"/>
  <c r="O544" i="2"/>
  <c r="N544" i="2"/>
  <c r="U543" i="2"/>
  <c r="Q543" i="2"/>
  <c r="P543" i="2"/>
  <c r="O543" i="2"/>
  <c r="N543" i="2"/>
  <c r="U542" i="2"/>
  <c r="Q542" i="2"/>
  <c r="P542" i="2"/>
  <c r="O542" i="2"/>
  <c r="N542" i="2"/>
  <c r="U541" i="2"/>
  <c r="Q541" i="2"/>
  <c r="P541" i="2"/>
  <c r="O541" i="2"/>
  <c r="N541" i="2"/>
  <c r="U540" i="2"/>
  <c r="Q540" i="2"/>
  <c r="P540" i="2"/>
  <c r="O540" i="2"/>
  <c r="N540" i="2"/>
  <c r="U539" i="2"/>
  <c r="Q539" i="2"/>
  <c r="P539" i="2"/>
  <c r="O539" i="2"/>
  <c r="N539" i="2"/>
  <c r="U538" i="2"/>
  <c r="Q538" i="2"/>
  <c r="P538" i="2"/>
  <c r="O538" i="2"/>
  <c r="N538" i="2"/>
  <c r="U537" i="2"/>
  <c r="R537" i="2"/>
  <c r="Q537" i="2"/>
  <c r="P537" i="2"/>
  <c r="O537" i="2"/>
  <c r="N537" i="2"/>
  <c r="U536" i="2"/>
  <c r="Q536" i="2"/>
  <c r="P536" i="2"/>
  <c r="O536" i="2"/>
  <c r="N536" i="2"/>
  <c r="U535" i="2"/>
  <c r="R535" i="2"/>
  <c r="Q535" i="2"/>
  <c r="P535" i="2"/>
  <c r="O535" i="2"/>
  <c r="N535" i="2"/>
  <c r="U534" i="2"/>
  <c r="R534" i="2"/>
  <c r="Q534" i="2"/>
  <c r="P534" i="2"/>
  <c r="O534" i="2"/>
  <c r="N534" i="2"/>
  <c r="U533" i="2"/>
  <c r="Q533" i="2"/>
  <c r="P533" i="2"/>
  <c r="O533" i="2"/>
  <c r="N533" i="2"/>
  <c r="U532" i="2"/>
  <c r="Q532" i="2"/>
  <c r="P532" i="2"/>
  <c r="O532" i="2"/>
  <c r="N532" i="2"/>
  <c r="U531" i="2"/>
  <c r="Q531" i="2"/>
  <c r="P531" i="2"/>
  <c r="O531" i="2"/>
  <c r="N531" i="2"/>
  <c r="U530" i="2"/>
  <c r="R530" i="2"/>
  <c r="Q530" i="2"/>
  <c r="P530" i="2"/>
  <c r="O530" i="2"/>
  <c r="N530" i="2"/>
  <c r="U529" i="2"/>
  <c r="Q529" i="2"/>
  <c r="P529" i="2"/>
  <c r="O529" i="2"/>
  <c r="N529" i="2"/>
  <c r="U528" i="2"/>
  <c r="R528" i="2"/>
  <c r="Q528" i="2"/>
  <c r="P528" i="2"/>
  <c r="O528" i="2"/>
  <c r="N528" i="2"/>
  <c r="U527" i="2"/>
  <c r="Q527" i="2"/>
  <c r="P527" i="2"/>
  <c r="O527" i="2"/>
  <c r="N527" i="2"/>
  <c r="U526" i="2"/>
  <c r="Q526" i="2"/>
  <c r="P526" i="2"/>
  <c r="O526" i="2"/>
  <c r="N526" i="2"/>
  <c r="U525" i="2"/>
  <c r="Q525" i="2"/>
  <c r="P525" i="2"/>
  <c r="O525" i="2"/>
  <c r="N525" i="2"/>
  <c r="U524" i="2"/>
  <c r="R524" i="2"/>
  <c r="Q524" i="2"/>
  <c r="P524" i="2"/>
  <c r="O524" i="2"/>
  <c r="N524" i="2"/>
  <c r="U523" i="2"/>
  <c r="Q523" i="2"/>
  <c r="P523" i="2"/>
  <c r="O523" i="2"/>
  <c r="N523" i="2"/>
  <c r="U522" i="2"/>
  <c r="Q522" i="2"/>
  <c r="P522" i="2"/>
  <c r="O522" i="2"/>
  <c r="N522" i="2"/>
  <c r="U521" i="2"/>
  <c r="R521" i="2"/>
  <c r="Q521" i="2"/>
  <c r="P521" i="2"/>
  <c r="O521" i="2"/>
  <c r="N521" i="2"/>
  <c r="U520" i="2"/>
  <c r="Q520" i="2"/>
  <c r="P520" i="2"/>
  <c r="O520" i="2"/>
  <c r="N520" i="2"/>
  <c r="U519" i="2"/>
  <c r="Q519" i="2"/>
  <c r="P519" i="2"/>
  <c r="O519" i="2"/>
  <c r="N519" i="2"/>
  <c r="U518" i="2"/>
  <c r="R518" i="2"/>
  <c r="Q518" i="2"/>
  <c r="P518" i="2"/>
  <c r="O518" i="2"/>
  <c r="N518" i="2"/>
  <c r="U517" i="2"/>
  <c r="R517" i="2"/>
  <c r="Q517" i="2"/>
  <c r="P517" i="2"/>
  <c r="O517" i="2"/>
  <c r="N517" i="2"/>
  <c r="U516" i="2"/>
  <c r="Q516" i="2"/>
  <c r="P516" i="2"/>
  <c r="O516" i="2"/>
  <c r="N516" i="2"/>
  <c r="U515" i="2"/>
  <c r="R515" i="2"/>
  <c r="Q515" i="2"/>
  <c r="P515" i="2"/>
  <c r="O515" i="2"/>
  <c r="N515" i="2"/>
  <c r="U514" i="2"/>
  <c r="Q514" i="2"/>
  <c r="P514" i="2"/>
  <c r="O514" i="2"/>
  <c r="N514" i="2"/>
  <c r="U513" i="2"/>
  <c r="R513" i="2"/>
  <c r="Q513" i="2"/>
  <c r="P513" i="2"/>
  <c r="O513" i="2"/>
  <c r="N513" i="2"/>
  <c r="U512" i="2"/>
  <c r="Q512" i="2"/>
  <c r="P512" i="2"/>
  <c r="O512" i="2"/>
  <c r="N512" i="2"/>
  <c r="U511" i="2"/>
  <c r="Q511" i="2"/>
  <c r="P511" i="2"/>
  <c r="O511" i="2"/>
  <c r="N511" i="2"/>
  <c r="U510" i="2"/>
  <c r="Q510" i="2"/>
  <c r="P510" i="2"/>
  <c r="O510" i="2"/>
  <c r="N510" i="2"/>
  <c r="U509" i="2"/>
  <c r="R509" i="2"/>
  <c r="Q509" i="2"/>
  <c r="P509" i="2"/>
  <c r="O509" i="2"/>
  <c r="N509" i="2"/>
  <c r="U508" i="2"/>
  <c r="Q508" i="2"/>
  <c r="P508" i="2"/>
  <c r="O508" i="2"/>
  <c r="N508" i="2"/>
  <c r="U507" i="2"/>
  <c r="Q507" i="2"/>
  <c r="P507" i="2"/>
  <c r="O507" i="2"/>
  <c r="N507" i="2"/>
  <c r="U506" i="2"/>
  <c r="R506" i="2"/>
  <c r="Q506" i="2"/>
  <c r="P506" i="2"/>
  <c r="O506" i="2"/>
  <c r="N506" i="2"/>
  <c r="U505" i="2"/>
  <c r="Q505" i="2"/>
  <c r="P505" i="2"/>
  <c r="O505" i="2"/>
  <c r="N505" i="2"/>
  <c r="U504" i="2"/>
  <c r="Q504" i="2"/>
  <c r="P504" i="2"/>
  <c r="O504" i="2"/>
  <c r="N504" i="2"/>
  <c r="U503" i="2"/>
  <c r="Q503" i="2"/>
  <c r="P503" i="2"/>
  <c r="O503" i="2"/>
  <c r="N503" i="2"/>
  <c r="U502" i="2"/>
  <c r="Q502" i="2"/>
  <c r="P502" i="2"/>
  <c r="O502" i="2"/>
  <c r="N502" i="2"/>
  <c r="U501" i="2"/>
  <c r="Q501" i="2"/>
  <c r="P501" i="2"/>
  <c r="O501" i="2"/>
  <c r="N501" i="2"/>
  <c r="U500" i="2"/>
  <c r="R500" i="2"/>
  <c r="Q500" i="2"/>
  <c r="P500" i="2"/>
  <c r="O500" i="2"/>
  <c r="N500" i="2"/>
  <c r="U499" i="2"/>
  <c r="R499" i="2"/>
  <c r="Q499" i="2"/>
  <c r="P499" i="2"/>
  <c r="O499" i="2"/>
  <c r="N499" i="2"/>
  <c r="U498" i="2"/>
  <c r="Q498" i="2"/>
  <c r="P498" i="2"/>
  <c r="O498" i="2"/>
  <c r="N498" i="2"/>
  <c r="U497" i="2"/>
  <c r="Q497" i="2"/>
  <c r="P497" i="2"/>
  <c r="O497" i="2"/>
  <c r="N497" i="2"/>
  <c r="U496" i="2"/>
  <c r="Q496" i="2"/>
  <c r="P496" i="2"/>
  <c r="O496" i="2"/>
  <c r="N496" i="2"/>
  <c r="U495" i="2"/>
  <c r="Q495" i="2"/>
  <c r="P495" i="2"/>
  <c r="O495" i="2"/>
  <c r="N495" i="2"/>
  <c r="U494" i="2"/>
  <c r="R494" i="2"/>
  <c r="Q494" i="2"/>
  <c r="P494" i="2"/>
  <c r="O494" i="2"/>
  <c r="N494" i="2"/>
  <c r="U493" i="2"/>
  <c r="Q493" i="2"/>
  <c r="P493" i="2"/>
  <c r="O493" i="2"/>
  <c r="N493" i="2"/>
  <c r="U492" i="2"/>
  <c r="Q492" i="2"/>
  <c r="P492" i="2"/>
  <c r="O492" i="2"/>
  <c r="N492" i="2"/>
  <c r="U491" i="2"/>
  <c r="Q491" i="2"/>
  <c r="P491" i="2"/>
  <c r="O491" i="2"/>
  <c r="N491" i="2"/>
  <c r="U490" i="2"/>
  <c r="R490" i="2"/>
  <c r="Q490" i="2"/>
  <c r="P490" i="2"/>
  <c r="O490" i="2"/>
  <c r="N490" i="2"/>
  <c r="U489" i="2"/>
  <c r="R489" i="2"/>
  <c r="Q489" i="2"/>
  <c r="P489" i="2"/>
  <c r="O489" i="2"/>
  <c r="N489" i="2"/>
  <c r="U488" i="2"/>
  <c r="Q488" i="2"/>
  <c r="P488" i="2"/>
  <c r="O488" i="2"/>
  <c r="N488" i="2"/>
  <c r="U487" i="2"/>
  <c r="R487" i="2"/>
  <c r="Q487" i="2"/>
  <c r="P487" i="2"/>
  <c r="O487" i="2"/>
  <c r="N487" i="2"/>
  <c r="U486" i="2"/>
  <c r="R486" i="2"/>
  <c r="Q486" i="2"/>
  <c r="P486" i="2"/>
  <c r="O486" i="2"/>
  <c r="N486" i="2"/>
  <c r="U485" i="2"/>
  <c r="Q485" i="2"/>
  <c r="P485" i="2"/>
  <c r="O485" i="2"/>
  <c r="N485" i="2"/>
  <c r="U484" i="2"/>
  <c r="Q484" i="2"/>
  <c r="P484" i="2"/>
  <c r="O484" i="2"/>
  <c r="N484" i="2"/>
  <c r="U483" i="2"/>
  <c r="Q483" i="2"/>
  <c r="P483" i="2"/>
  <c r="O483" i="2"/>
  <c r="N483" i="2"/>
  <c r="U482" i="2"/>
  <c r="Q482" i="2"/>
  <c r="P482" i="2"/>
  <c r="O482" i="2"/>
  <c r="N482" i="2"/>
  <c r="U481" i="2"/>
  <c r="Q481" i="2"/>
  <c r="P481" i="2"/>
  <c r="O481" i="2"/>
  <c r="N481" i="2"/>
  <c r="U480" i="2"/>
  <c r="Q480" i="2"/>
  <c r="P480" i="2"/>
  <c r="O480" i="2"/>
  <c r="N480" i="2"/>
  <c r="U479" i="2"/>
  <c r="R479" i="2"/>
  <c r="Q479" i="2"/>
  <c r="P479" i="2"/>
  <c r="O479" i="2"/>
  <c r="N479" i="2"/>
  <c r="U478" i="2"/>
  <c r="Q478" i="2"/>
  <c r="P478" i="2"/>
  <c r="O478" i="2"/>
  <c r="N478" i="2"/>
  <c r="U477" i="2"/>
  <c r="Q477" i="2"/>
  <c r="P477" i="2"/>
  <c r="O477" i="2"/>
  <c r="N477" i="2"/>
  <c r="U476" i="2"/>
  <c r="Q476" i="2"/>
  <c r="P476" i="2"/>
  <c r="O476" i="2"/>
  <c r="N476" i="2"/>
  <c r="U475" i="2"/>
  <c r="Q475" i="2"/>
  <c r="P475" i="2"/>
  <c r="O475" i="2"/>
  <c r="N475" i="2"/>
  <c r="U474" i="2"/>
  <c r="Q474" i="2"/>
  <c r="P474" i="2"/>
  <c r="O474" i="2"/>
  <c r="N474" i="2"/>
  <c r="U473" i="2"/>
  <c r="Q473" i="2"/>
  <c r="P473" i="2"/>
  <c r="O473" i="2"/>
  <c r="N473" i="2"/>
  <c r="U472" i="2"/>
  <c r="Q472" i="2"/>
  <c r="P472" i="2"/>
  <c r="O472" i="2"/>
  <c r="N472" i="2"/>
  <c r="U471" i="2"/>
  <c r="R471" i="2"/>
  <c r="Q471" i="2"/>
  <c r="P471" i="2"/>
  <c r="O471" i="2"/>
  <c r="N471" i="2"/>
  <c r="U470" i="2"/>
  <c r="Q470" i="2"/>
  <c r="P470" i="2"/>
  <c r="O470" i="2"/>
  <c r="N470" i="2"/>
  <c r="U469" i="2"/>
  <c r="R469" i="2"/>
  <c r="Q469" i="2"/>
  <c r="P469" i="2"/>
  <c r="O469" i="2"/>
  <c r="N469" i="2"/>
  <c r="U468" i="2"/>
  <c r="Q468" i="2"/>
  <c r="P468" i="2"/>
  <c r="O468" i="2"/>
  <c r="N468" i="2"/>
  <c r="U467" i="2"/>
  <c r="T467" i="2"/>
  <c r="R467" i="2"/>
  <c r="Q467" i="2"/>
  <c r="P467" i="2"/>
  <c r="O467" i="2"/>
  <c r="N467" i="2"/>
  <c r="U466" i="2"/>
  <c r="R466" i="2"/>
  <c r="Q466" i="2"/>
  <c r="P466" i="2"/>
  <c r="O466" i="2"/>
  <c r="N466" i="2"/>
  <c r="U465" i="2"/>
  <c r="Q465" i="2"/>
  <c r="P465" i="2"/>
  <c r="O465" i="2"/>
  <c r="N465" i="2"/>
  <c r="U464" i="2"/>
  <c r="R464" i="2"/>
  <c r="Q464" i="2"/>
  <c r="P464" i="2"/>
  <c r="O464" i="2"/>
  <c r="N464" i="2"/>
  <c r="U463" i="2"/>
  <c r="Q463" i="2"/>
  <c r="P463" i="2"/>
  <c r="O463" i="2"/>
  <c r="N463" i="2"/>
  <c r="U462" i="2"/>
  <c r="Q462" i="2"/>
  <c r="P462" i="2"/>
  <c r="O462" i="2"/>
  <c r="N462" i="2"/>
  <c r="U461" i="2"/>
  <c r="T461" i="2"/>
  <c r="R461" i="2"/>
  <c r="Q461" i="2"/>
  <c r="P461" i="2"/>
  <c r="O461" i="2"/>
  <c r="N461" i="2"/>
  <c r="U460" i="2"/>
  <c r="Q460" i="2"/>
  <c r="P460" i="2"/>
  <c r="O460" i="2"/>
  <c r="N460" i="2"/>
  <c r="U459" i="2"/>
  <c r="Q459" i="2"/>
  <c r="P459" i="2"/>
  <c r="O459" i="2"/>
  <c r="N459" i="2"/>
  <c r="U458" i="2"/>
  <c r="R458" i="2"/>
  <c r="Q458" i="2"/>
  <c r="P458" i="2"/>
  <c r="O458" i="2"/>
  <c r="N458" i="2"/>
  <c r="U457" i="2"/>
  <c r="Q457" i="2"/>
  <c r="P457" i="2"/>
  <c r="O457" i="2"/>
  <c r="N457" i="2"/>
  <c r="U456" i="2"/>
  <c r="Q456" i="2"/>
  <c r="P456" i="2"/>
  <c r="O456" i="2"/>
  <c r="N456" i="2"/>
  <c r="U455" i="2"/>
  <c r="R455" i="2"/>
  <c r="Q455" i="2"/>
  <c r="P455" i="2"/>
  <c r="O455" i="2"/>
  <c r="N455" i="2"/>
  <c r="U454" i="2"/>
  <c r="R454" i="2"/>
  <c r="Q454" i="2"/>
  <c r="P454" i="2"/>
  <c r="O454" i="2"/>
  <c r="N454" i="2"/>
  <c r="U453" i="2"/>
  <c r="R453" i="2"/>
  <c r="Q453" i="2"/>
  <c r="P453" i="2"/>
  <c r="O453" i="2"/>
  <c r="N453" i="2"/>
  <c r="U452" i="2"/>
  <c r="R452" i="2"/>
  <c r="Q452" i="2"/>
  <c r="P452" i="2"/>
  <c r="O452" i="2"/>
  <c r="N452" i="2"/>
  <c r="U451" i="2"/>
  <c r="Q451" i="2"/>
  <c r="P451" i="2"/>
  <c r="O451" i="2"/>
  <c r="N451" i="2"/>
  <c r="U450" i="2"/>
  <c r="R450" i="2"/>
  <c r="Q450" i="2"/>
  <c r="P450" i="2"/>
  <c r="O450" i="2"/>
  <c r="N450" i="2"/>
  <c r="U449" i="2"/>
  <c r="Q449" i="2"/>
  <c r="P449" i="2"/>
  <c r="O449" i="2"/>
  <c r="N449" i="2"/>
  <c r="U448" i="2"/>
  <c r="R448" i="2"/>
  <c r="Q448" i="2"/>
  <c r="P448" i="2"/>
  <c r="O448" i="2"/>
  <c r="N448" i="2"/>
  <c r="U447" i="2"/>
  <c r="Q447" i="2"/>
  <c r="P447" i="2"/>
  <c r="O447" i="2"/>
  <c r="N447" i="2"/>
  <c r="U446" i="2"/>
  <c r="Q446" i="2"/>
  <c r="P446" i="2"/>
  <c r="O446" i="2"/>
  <c r="N446" i="2"/>
  <c r="U445" i="2"/>
  <c r="Q445" i="2"/>
  <c r="P445" i="2"/>
  <c r="O445" i="2"/>
  <c r="N445" i="2"/>
  <c r="U444" i="2"/>
  <c r="Q444" i="2"/>
  <c r="P444" i="2"/>
  <c r="O444" i="2"/>
  <c r="N444" i="2"/>
  <c r="U443" i="2"/>
  <c r="Q443" i="2"/>
  <c r="P443" i="2"/>
  <c r="O443" i="2"/>
  <c r="N443" i="2"/>
  <c r="U442" i="2"/>
  <c r="Q442" i="2"/>
  <c r="P442" i="2"/>
  <c r="O442" i="2"/>
  <c r="N442" i="2"/>
  <c r="U441" i="2"/>
  <c r="R441" i="2"/>
  <c r="Q441" i="2"/>
  <c r="P441" i="2"/>
  <c r="O441" i="2"/>
  <c r="N441" i="2"/>
  <c r="U440" i="2"/>
  <c r="Q440" i="2"/>
  <c r="P440" i="2"/>
  <c r="O440" i="2"/>
  <c r="N440" i="2"/>
  <c r="U439" i="2"/>
  <c r="Q439" i="2"/>
  <c r="P439" i="2"/>
  <c r="O439" i="2"/>
  <c r="N439" i="2"/>
  <c r="U438" i="2"/>
  <c r="Q438" i="2"/>
  <c r="P438" i="2"/>
  <c r="O438" i="2"/>
  <c r="N438" i="2"/>
  <c r="U437" i="2"/>
  <c r="Q437" i="2"/>
  <c r="P437" i="2"/>
  <c r="O437" i="2"/>
  <c r="N437" i="2"/>
  <c r="U436" i="2"/>
  <c r="R436" i="2"/>
  <c r="Q436" i="2"/>
  <c r="P436" i="2"/>
  <c r="O436" i="2"/>
  <c r="N436" i="2"/>
  <c r="U435" i="2"/>
  <c r="Q435" i="2"/>
  <c r="P435" i="2"/>
  <c r="O435" i="2"/>
  <c r="N435" i="2"/>
  <c r="U434" i="2"/>
  <c r="R434" i="2"/>
  <c r="Q434" i="2"/>
  <c r="P434" i="2"/>
  <c r="O434" i="2"/>
  <c r="N434" i="2"/>
  <c r="U433" i="2"/>
  <c r="Q433" i="2"/>
  <c r="P433" i="2"/>
  <c r="O433" i="2"/>
  <c r="N433" i="2"/>
  <c r="U432" i="2"/>
  <c r="R432" i="2"/>
  <c r="Q432" i="2"/>
  <c r="P432" i="2"/>
  <c r="O432" i="2"/>
  <c r="N432" i="2"/>
  <c r="U431" i="2"/>
  <c r="Q431" i="2"/>
  <c r="P431" i="2"/>
  <c r="O431" i="2"/>
  <c r="N431" i="2"/>
  <c r="U430" i="2"/>
  <c r="R430" i="2"/>
  <c r="Q430" i="2"/>
  <c r="P430" i="2"/>
  <c r="O430" i="2"/>
  <c r="N430" i="2"/>
  <c r="U429" i="2"/>
  <c r="Q429" i="2"/>
  <c r="P429" i="2"/>
  <c r="O429" i="2"/>
  <c r="N429" i="2"/>
  <c r="U428" i="2"/>
  <c r="R428" i="2"/>
  <c r="Q428" i="2"/>
  <c r="P428" i="2"/>
  <c r="O428" i="2"/>
  <c r="N428" i="2"/>
  <c r="U427" i="2"/>
  <c r="R427" i="2"/>
  <c r="Q427" i="2"/>
  <c r="P427" i="2"/>
  <c r="O427" i="2"/>
  <c r="N427" i="2"/>
  <c r="U426" i="2"/>
  <c r="R426" i="2"/>
  <c r="Q426" i="2"/>
  <c r="P426" i="2"/>
  <c r="O426" i="2"/>
  <c r="N426" i="2"/>
  <c r="U425" i="2"/>
  <c r="Q425" i="2"/>
  <c r="P425" i="2"/>
  <c r="O425" i="2"/>
  <c r="N425" i="2"/>
  <c r="U424" i="2"/>
  <c r="R424" i="2"/>
  <c r="Q424" i="2"/>
  <c r="P424" i="2"/>
  <c r="O424" i="2"/>
  <c r="N424" i="2"/>
  <c r="U423" i="2"/>
  <c r="R423" i="2"/>
  <c r="Q423" i="2"/>
  <c r="P423" i="2"/>
  <c r="O423" i="2"/>
  <c r="N423" i="2"/>
  <c r="U422" i="2"/>
  <c r="Q422" i="2"/>
  <c r="P422" i="2"/>
  <c r="O422" i="2"/>
  <c r="N422" i="2"/>
  <c r="U421" i="2"/>
  <c r="Q421" i="2"/>
  <c r="P421" i="2"/>
  <c r="O421" i="2"/>
  <c r="N421" i="2"/>
  <c r="U420" i="2"/>
  <c r="Q420" i="2"/>
  <c r="P420" i="2"/>
  <c r="O420" i="2"/>
  <c r="N420" i="2"/>
  <c r="U419" i="2"/>
  <c r="Q419" i="2"/>
  <c r="P419" i="2"/>
  <c r="O419" i="2"/>
  <c r="N419" i="2"/>
  <c r="U418" i="2"/>
  <c r="R418" i="2"/>
  <c r="Q418" i="2"/>
  <c r="P418" i="2"/>
  <c r="O418" i="2"/>
  <c r="N418" i="2"/>
  <c r="U417" i="2"/>
  <c r="R417" i="2"/>
  <c r="Q417" i="2"/>
  <c r="P417" i="2"/>
  <c r="O417" i="2"/>
  <c r="N417" i="2"/>
  <c r="U416" i="2"/>
  <c r="Q416" i="2"/>
  <c r="P416" i="2"/>
  <c r="O416" i="2"/>
  <c r="N416" i="2"/>
  <c r="U415" i="2"/>
  <c r="R415" i="2"/>
  <c r="Q415" i="2"/>
  <c r="P415" i="2"/>
  <c r="O415" i="2"/>
  <c r="N415" i="2"/>
  <c r="U414" i="2"/>
  <c r="Q414" i="2"/>
  <c r="P414" i="2"/>
  <c r="O414" i="2"/>
  <c r="N414" i="2"/>
  <c r="U413" i="2"/>
  <c r="Q413" i="2"/>
  <c r="P413" i="2"/>
  <c r="O413" i="2"/>
  <c r="N413" i="2"/>
  <c r="U412" i="2"/>
  <c r="T412" i="2"/>
  <c r="Q412" i="2"/>
  <c r="P412" i="2"/>
  <c r="O412" i="2"/>
  <c r="N412" i="2"/>
  <c r="U411" i="2"/>
  <c r="R411" i="2"/>
  <c r="Q411" i="2"/>
  <c r="P411" i="2"/>
  <c r="O411" i="2"/>
  <c r="N411" i="2"/>
  <c r="U410" i="2"/>
  <c r="R410" i="2"/>
  <c r="Q410" i="2"/>
  <c r="P410" i="2"/>
  <c r="O410" i="2"/>
  <c r="N410" i="2"/>
  <c r="U409" i="2"/>
  <c r="R409" i="2"/>
  <c r="Q409" i="2"/>
  <c r="P409" i="2"/>
  <c r="O409" i="2"/>
  <c r="N409" i="2"/>
  <c r="U408" i="2"/>
  <c r="Q408" i="2"/>
  <c r="P408" i="2"/>
  <c r="O408" i="2"/>
  <c r="N408" i="2"/>
  <c r="U407" i="2"/>
  <c r="R407" i="2"/>
  <c r="Q407" i="2"/>
  <c r="P407" i="2"/>
  <c r="O407" i="2"/>
  <c r="N407" i="2"/>
  <c r="U406" i="2"/>
  <c r="R406" i="2"/>
  <c r="Q406" i="2"/>
  <c r="P406" i="2"/>
  <c r="O406" i="2"/>
  <c r="N406" i="2"/>
  <c r="U405" i="2"/>
  <c r="R405" i="2"/>
  <c r="Q405" i="2"/>
  <c r="P405" i="2"/>
  <c r="O405" i="2"/>
  <c r="N405" i="2"/>
  <c r="U404" i="2"/>
  <c r="R404" i="2"/>
  <c r="Q404" i="2"/>
  <c r="P404" i="2"/>
  <c r="O404" i="2"/>
  <c r="N404" i="2"/>
  <c r="U403" i="2"/>
  <c r="Q403" i="2"/>
  <c r="P403" i="2"/>
  <c r="O403" i="2"/>
  <c r="N403" i="2"/>
  <c r="U402" i="2"/>
  <c r="Q402" i="2"/>
  <c r="P402" i="2"/>
  <c r="O402" i="2"/>
  <c r="N402" i="2"/>
  <c r="U401" i="2"/>
  <c r="Q401" i="2"/>
  <c r="P401" i="2"/>
  <c r="O401" i="2"/>
  <c r="N401" i="2"/>
  <c r="U400" i="2"/>
  <c r="Q400" i="2"/>
  <c r="P400" i="2"/>
  <c r="O400" i="2"/>
  <c r="N400" i="2"/>
  <c r="U399" i="2"/>
  <c r="Q399" i="2"/>
  <c r="P399" i="2"/>
  <c r="O399" i="2"/>
  <c r="N399" i="2"/>
  <c r="U398" i="2"/>
  <c r="R398" i="2"/>
  <c r="Q398" i="2"/>
  <c r="P398" i="2"/>
  <c r="O398" i="2"/>
  <c r="N398" i="2"/>
  <c r="U397" i="2"/>
  <c r="R397" i="2"/>
  <c r="Q397" i="2"/>
  <c r="P397" i="2"/>
  <c r="O397" i="2"/>
  <c r="N397" i="2"/>
  <c r="U396" i="2"/>
  <c r="R396" i="2"/>
  <c r="Q396" i="2"/>
  <c r="P396" i="2"/>
  <c r="O396" i="2"/>
  <c r="N396" i="2"/>
  <c r="U395" i="2"/>
  <c r="Q395" i="2"/>
  <c r="P395" i="2"/>
  <c r="O395" i="2"/>
  <c r="N395" i="2"/>
  <c r="U394" i="2"/>
  <c r="Q394" i="2"/>
  <c r="P394" i="2"/>
  <c r="O394" i="2"/>
  <c r="N394" i="2"/>
  <c r="U393" i="2"/>
  <c r="Q393" i="2"/>
  <c r="P393" i="2"/>
  <c r="O393" i="2"/>
  <c r="N393" i="2"/>
  <c r="U392" i="2"/>
  <c r="Q392" i="2"/>
  <c r="P392" i="2"/>
  <c r="O392" i="2"/>
  <c r="N392" i="2"/>
  <c r="U391" i="2"/>
  <c r="Q391" i="2"/>
  <c r="P391" i="2"/>
  <c r="O391" i="2"/>
  <c r="N391" i="2"/>
  <c r="U390" i="2"/>
  <c r="R390" i="2"/>
  <c r="Q390" i="2"/>
  <c r="P390" i="2"/>
  <c r="O390" i="2"/>
  <c r="N390" i="2"/>
  <c r="U389" i="2"/>
  <c r="R389" i="2"/>
  <c r="Q389" i="2"/>
  <c r="P389" i="2"/>
  <c r="O389" i="2"/>
  <c r="N389" i="2"/>
  <c r="U388" i="2"/>
  <c r="Q388" i="2"/>
  <c r="P388" i="2"/>
  <c r="O388" i="2"/>
  <c r="N388" i="2"/>
  <c r="U387" i="2"/>
  <c r="R387" i="2"/>
  <c r="Q387" i="2"/>
  <c r="P387" i="2"/>
  <c r="O387" i="2"/>
  <c r="N387" i="2"/>
  <c r="U386" i="2"/>
  <c r="R386" i="2"/>
  <c r="Q386" i="2"/>
  <c r="P386" i="2"/>
  <c r="O386" i="2"/>
  <c r="N386" i="2"/>
  <c r="U385" i="2"/>
  <c r="Q385" i="2"/>
  <c r="P385" i="2"/>
  <c r="O385" i="2"/>
  <c r="N385" i="2"/>
  <c r="U384" i="2"/>
  <c r="R384" i="2"/>
  <c r="Q384" i="2"/>
  <c r="P384" i="2"/>
  <c r="O384" i="2"/>
  <c r="N384" i="2"/>
  <c r="U383" i="2"/>
  <c r="R383" i="2"/>
  <c r="Q383" i="2"/>
  <c r="P383" i="2"/>
  <c r="O383" i="2"/>
  <c r="N383" i="2"/>
  <c r="U382" i="2"/>
  <c r="R382" i="2"/>
  <c r="Q382" i="2"/>
  <c r="P382" i="2"/>
  <c r="O382" i="2"/>
  <c r="N382" i="2"/>
  <c r="U381" i="2"/>
  <c r="Q381" i="2"/>
  <c r="P381" i="2"/>
  <c r="O381" i="2"/>
  <c r="N381" i="2"/>
  <c r="U380" i="2"/>
  <c r="Q380" i="2"/>
  <c r="P380" i="2"/>
  <c r="O380" i="2"/>
  <c r="N380" i="2"/>
  <c r="U379" i="2"/>
  <c r="Q379" i="2"/>
  <c r="P379" i="2"/>
  <c r="O379" i="2"/>
  <c r="N379" i="2"/>
  <c r="U378" i="2"/>
  <c r="R378" i="2"/>
  <c r="Q378" i="2"/>
  <c r="P378" i="2"/>
  <c r="O378" i="2"/>
  <c r="N378" i="2"/>
  <c r="U377" i="2"/>
  <c r="R377" i="2"/>
  <c r="Q377" i="2"/>
  <c r="P377" i="2"/>
  <c r="O377" i="2"/>
  <c r="N377" i="2"/>
  <c r="U376" i="2"/>
  <c r="Q376" i="2"/>
  <c r="P376" i="2"/>
  <c r="O376" i="2"/>
  <c r="N376" i="2"/>
  <c r="U375" i="2"/>
  <c r="R375" i="2"/>
  <c r="Q375" i="2"/>
  <c r="P375" i="2"/>
  <c r="O375" i="2"/>
  <c r="N375" i="2"/>
  <c r="U374" i="2"/>
  <c r="Q374" i="2"/>
  <c r="P374" i="2"/>
  <c r="O374" i="2"/>
  <c r="N374" i="2"/>
  <c r="U373" i="2"/>
  <c r="Q373" i="2"/>
  <c r="P373" i="2"/>
  <c r="O373" i="2"/>
  <c r="N373" i="2"/>
  <c r="U372" i="2"/>
  <c r="R372" i="2"/>
  <c r="Q372" i="2"/>
  <c r="P372" i="2"/>
  <c r="O372" i="2"/>
  <c r="N372" i="2"/>
  <c r="U371" i="2"/>
  <c r="R371" i="2"/>
  <c r="Q371" i="2"/>
  <c r="P371" i="2"/>
  <c r="O371" i="2"/>
  <c r="N371" i="2"/>
  <c r="U370" i="2"/>
  <c r="Q370" i="2"/>
  <c r="P370" i="2"/>
  <c r="O370" i="2"/>
  <c r="N370" i="2"/>
  <c r="U369" i="2"/>
  <c r="Q369" i="2"/>
  <c r="P369" i="2"/>
  <c r="O369" i="2"/>
  <c r="N369" i="2"/>
  <c r="U368" i="2"/>
  <c r="R368" i="2"/>
  <c r="Q368" i="2"/>
  <c r="P368" i="2"/>
  <c r="O368" i="2"/>
  <c r="N368" i="2"/>
  <c r="U367" i="2"/>
  <c r="R367" i="2"/>
  <c r="Q367" i="2"/>
  <c r="P367" i="2"/>
  <c r="O367" i="2"/>
  <c r="N367" i="2"/>
  <c r="U366" i="2"/>
  <c r="Q366" i="2"/>
  <c r="P366" i="2"/>
  <c r="O366" i="2"/>
  <c r="N366" i="2"/>
  <c r="U365" i="2"/>
  <c r="R365" i="2"/>
  <c r="Q365" i="2"/>
  <c r="P365" i="2"/>
  <c r="O365" i="2"/>
  <c r="N365" i="2"/>
  <c r="U364" i="2"/>
  <c r="R364" i="2"/>
  <c r="Q364" i="2"/>
  <c r="P364" i="2"/>
  <c r="O364" i="2"/>
  <c r="N364" i="2"/>
  <c r="U363" i="2"/>
  <c r="Q363" i="2"/>
  <c r="P363" i="2"/>
  <c r="O363" i="2"/>
  <c r="N363" i="2"/>
  <c r="U362" i="2"/>
  <c r="Q362" i="2"/>
  <c r="P362" i="2"/>
  <c r="O362" i="2"/>
  <c r="N362" i="2"/>
  <c r="U361" i="2"/>
  <c r="Q361" i="2"/>
  <c r="P361" i="2"/>
  <c r="O361" i="2"/>
  <c r="N361" i="2"/>
  <c r="U360" i="2"/>
  <c r="Q360" i="2"/>
  <c r="P360" i="2"/>
  <c r="O360" i="2"/>
  <c r="N360" i="2"/>
  <c r="U359" i="2"/>
  <c r="R359" i="2"/>
  <c r="Q359" i="2"/>
  <c r="P359" i="2"/>
  <c r="O359" i="2"/>
  <c r="N359" i="2"/>
  <c r="U358" i="2"/>
  <c r="R358" i="2"/>
  <c r="Q358" i="2"/>
  <c r="P358" i="2"/>
  <c r="O358" i="2"/>
  <c r="N358" i="2"/>
  <c r="U357" i="2"/>
  <c r="R357" i="2"/>
  <c r="Q357" i="2"/>
  <c r="P357" i="2"/>
  <c r="O357" i="2"/>
  <c r="N357" i="2"/>
  <c r="U356" i="2"/>
  <c r="Q356" i="2"/>
  <c r="P356" i="2"/>
  <c r="O356" i="2"/>
  <c r="N356" i="2"/>
  <c r="U355" i="2"/>
  <c r="Q355" i="2"/>
  <c r="P355" i="2"/>
  <c r="O355" i="2"/>
  <c r="N355" i="2"/>
  <c r="U354" i="2"/>
  <c r="Q354" i="2"/>
  <c r="P354" i="2"/>
  <c r="O354" i="2"/>
  <c r="N354" i="2"/>
  <c r="U353" i="2"/>
  <c r="Q353" i="2"/>
  <c r="P353" i="2"/>
  <c r="O353" i="2"/>
  <c r="N353" i="2"/>
  <c r="U352" i="2"/>
  <c r="Q352" i="2"/>
  <c r="P352" i="2"/>
  <c r="O352" i="2"/>
  <c r="N352" i="2"/>
  <c r="U351" i="2"/>
  <c r="R351" i="2"/>
  <c r="Q351" i="2"/>
  <c r="P351" i="2"/>
  <c r="O351" i="2"/>
  <c r="N351" i="2"/>
  <c r="U350" i="2"/>
  <c r="Q350" i="2"/>
  <c r="P350" i="2"/>
  <c r="O350" i="2"/>
  <c r="N350" i="2"/>
  <c r="U349" i="2"/>
  <c r="R349" i="2"/>
  <c r="Q349" i="2"/>
  <c r="P349" i="2"/>
  <c r="O349" i="2"/>
  <c r="N349" i="2"/>
  <c r="U348" i="2"/>
  <c r="Q348" i="2"/>
  <c r="P348" i="2"/>
  <c r="O348" i="2"/>
  <c r="N348" i="2"/>
  <c r="U347" i="2"/>
  <c r="R347" i="2"/>
  <c r="Q347" i="2"/>
  <c r="P347" i="2"/>
  <c r="O347" i="2"/>
  <c r="N347" i="2"/>
  <c r="U346" i="2"/>
  <c r="R346" i="2"/>
  <c r="Q346" i="2"/>
  <c r="P346" i="2"/>
  <c r="O346" i="2"/>
  <c r="N346" i="2"/>
  <c r="U345" i="2"/>
  <c r="R345" i="2"/>
  <c r="Q345" i="2"/>
  <c r="P345" i="2"/>
  <c r="O345" i="2"/>
  <c r="N345" i="2"/>
  <c r="U344" i="2"/>
  <c r="R344" i="2"/>
  <c r="Q344" i="2"/>
  <c r="P344" i="2"/>
  <c r="O344" i="2"/>
  <c r="N344" i="2"/>
  <c r="U343" i="2"/>
  <c r="Q343" i="2"/>
  <c r="P343" i="2"/>
  <c r="O343" i="2"/>
  <c r="N343" i="2"/>
  <c r="U342" i="2"/>
  <c r="Q342" i="2"/>
  <c r="P342" i="2"/>
  <c r="O342" i="2"/>
  <c r="N342" i="2"/>
  <c r="U341" i="2"/>
  <c r="Q341" i="2"/>
  <c r="P341" i="2"/>
  <c r="O341" i="2"/>
  <c r="N341" i="2"/>
  <c r="U340" i="2"/>
  <c r="Q340" i="2"/>
  <c r="P340" i="2"/>
  <c r="O340" i="2"/>
  <c r="N340" i="2"/>
  <c r="U339" i="2"/>
  <c r="R339" i="2"/>
  <c r="Q339" i="2"/>
  <c r="P339" i="2"/>
  <c r="O339" i="2"/>
  <c r="N339" i="2"/>
  <c r="U338" i="2"/>
  <c r="Q338" i="2"/>
  <c r="P338" i="2"/>
  <c r="O338" i="2"/>
  <c r="N338" i="2"/>
  <c r="U337" i="2"/>
  <c r="Q337" i="2"/>
  <c r="P337" i="2"/>
  <c r="O337" i="2"/>
  <c r="N337" i="2"/>
  <c r="U336" i="2"/>
  <c r="R336" i="2"/>
  <c r="Q336" i="2"/>
  <c r="P336" i="2"/>
  <c r="O336" i="2"/>
  <c r="N336" i="2"/>
  <c r="U335" i="2"/>
  <c r="Q335" i="2"/>
  <c r="P335" i="2"/>
  <c r="O335" i="2"/>
  <c r="N335" i="2"/>
  <c r="U334" i="2"/>
  <c r="Q334" i="2"/>
  <c r="P334" i="2"/>
  <c r="O334" i="2"/>
  <c r="N334" i="2"/>
  <c r="U333" i="2"/>
  <c r="Q333" i="2"/>
  <c r="P333" i="2"/>
  <c r="O333" i="2"/>
  <c r="N333" i="2"/>
  <c r="U332" i="2"/>
  <c r="Q332" i="2"/>
  <c r="P332" i="2"/>
  <c r="O332" i="2"/>
  <c r="N332" i="2"/>
  <c r="U331" i="2"/>
  <c r="Q331" i="2"/>
  <c r="P331" i="2"/>
  <c r="O331" i="2"/>
  <c r="N331" i="2"/>
  <c r="U330" i="2"/>
  <c r="Q330" i="2"/>
  <c r="P330" i="2"/>
  <c r="O330" i="2"/>
  <c r="N330" i="2"/>
  <c r="U329" i="2"/>
  <c r="Q329" i="2"/>
  <c r="P329" i="2"/>
  <c r="O329" i="2"/>
  <c r="N329" i="2"/>
  <c r="U328" i="2"/>
  <c r="Q328" i="2"/>
  <c r="P328" i="2"/>
  <c r="O328" i="2"/>
  <c r="N328" i="2"/>
  <c r="U327" i="2"/>
  <c r="Q327" i="2"/>
  <c r="P327" i="2"/>
  <c r="O327" i="2"/>
  <c r="N327" i="2"/>
  <c r="U326" i="2"/>
  <c r="R326" i="2"/>
  <c r="Q326" i="2"/>
  <c r="P326" i="2"/>
  <c r="O326" i="2"/>
  <c r="N326" i="2"/>
  <c r="U325" i="2"/>
  <c r="Q325" i="2"/>
  <c r="P325" i="2"/>
  <c r="O325" i="2"/>
  <c r="N325" i="2"/>
  <c r="U324" i="2"/>
  <c r="Q324" i="2"/>
  <c r="P324" i="2"/>
  <c r="O324" i="2"/>
  <c r="N324" i="2"/>
  <c r="U323" i="2"/>
  <c r="Q323" i="2"/>
  <c r="P323" i="2"/>
  <c r="O323" i="2"/>
  <c r="N323" i="2"/>
  <c r="U322" i="2"/>
  <c r="Q322" i="2"/>
  <c r="P322" i="2"/>
  <c r="O322" i="2"/>
  <c r="N322" i="2"/>
  <c r="U321" i="2"/>
  <c r="Q321" i="2"/>
  <c r="P321" i="2"/>
  <c r="O321" i="2"/>
  <c r="N321" i="2"/>
  <c r="U320" i="2"/>
  <c r="R320" i="2"/>
  <c r="Q320" i="2"/>
  <c r="P320" i="2"/>
  <c r="O320" i="2"/>
  <c r="N320" i="2"/>
  <c r="U319" i="2"/>
  <c r="R319" i="2"/>
  <c r="Q319" i="2"/>
  <c r="P319" i="2"/>
  <c r="O319" i="2"/>
  <c r="N319" i="2"/>
  <c r="U318" i="2"/>
  <c r="R318" i="2"/>
  <c r="Q318" i="2"/>
  <c r="P318" i="2"/>
  <c r="O318" i="2"/>
  <c r="N318" i="2"/>
  <c r="U317" i="2"/>
  <c r="R317" i="2"/>
  <c r="Q317" i="2"/>
  <c r="P317" i="2"/>
  <c r="O317" i="2"/>
  <c r="N317" i="2"/>
  <c r="U316" i="2"/>
  <c r="R316" i="2"/>
  <c r="Q316" i="2"/>
  <c r="P316" i="2"/>
  <c r="O316" i="2"/>
  <c r="N316" i="2"/>
  <c r="U315" i="2"/>
  <c r="Q315" i="2"/>
  <c r="P315" i="2"/>
  <c r="O315" i="2"/>
  <c r="N315" i="2"/>
  <c r="U314" i="2"/>
  <c r="Q314" i="2"/>
  <c r="P314" i="2"/>
  <c r="O314" i="2"/>
  <c r="N314" i="2"/>
  <c r="U313" i="2"/>
  <c r="R313" i="2"/>
  <c r="Q313" i="2"/>
  <c r="P313" i="2"/>
  <c r="O313" i="2"/>
  <c r="N313" i="2"/>
  <c r="U312" i="2"/>
  <c r="Q312" i="2"/>
  <c r="P312" i="2"/>
  <c r="O312" i="2"/>
  <c r="N312" i="2"/>
  <c r="U311" i="2"/>
  <c r="Q311" i="2"/>
  <c r="P311" i="2"/>
  <c r="O311" i="2"/>
  <c r="N311" i="2"/>
  <c r="U310" i="2"/>
  <c r="R310" i="2"/>
  <c r="Q310" i="2"/>
  <c r="P310" i="2"/>
  <c r="O310" i="2"/>
  <c r="N310" i="2"/>
  <c r="U309" i="2"/>
  <c r="Q309" i="2"/>
  <c r="P309" i="2"/>
  <c r="O309" i="2"/>
  <c r="N309" i="2"/>
  <c r="U308" i="2"/>
  <c r="Q308" i="2"/>
  <c r="P308" i="2"/>
  <c r="O308" i="2"/>
  <c r="N308" i="2"/>
  <c r="U307" i="2"/>
  <c r="R307" i="2"/>
  <c r="Q307" i="2"/>
  <c r="P307" i="2"/>
  <c r="O307" i="2"/>
  <c r="N307" i="2"/>
  <c r="U306" i="2"/>
  <c r="Q306" i="2"/>
  <c r="P306" i="2"/>
  <c r="O306" i="2"/>
  <c r="N306" i="2"/>
  <c r="U305" i="2"/>
  <c r="R305" i="2"/>
  <c r="Q305" i="2"/>
  <c r="P305" i="2"/>
  <c r="O305" i="2"/>
  <c r="N305" i="2"/>
  <c r="U304" i="2"/>
  <c r="Q304" i="2"/>
  <c r="P304" i="2"/>
  <c r="O304" i="2"/>
  <c r="N304" i="2"/>
  <c r="U303" i="2"/>
  <c r="Q303" i="2"/>
  <c r="P303" i="2"/>
  <c r="O303" i="2"/>
  <c r="N303" i="2"/>
  <c r="U302" i="2"/>
  <c r="R302" i="2"/>
  <c r="Q302" i="2"/>
  <c r="P302" i="2"/>
  <c r="O302" i="2"/>
  <c r="N302" i="2"/>
  <c r="U301" i="2"/>
  <c r="Q301" i="2"/>
  <c r="P301" i="2"/>
  <c r="O301" i="2"/>
  <c r="N301" i="2"/>
  <c r="U300" i="2"/>
  <c r="Q300" i="2"/>
  <c r="P300" i="2"/>
  <c r="O300" i="2"/>
  <c r="N300" i="2"/>
  <c r="U299" i="2"/>
  <c r="R299" i="2"/>
  <c r="Q299" i="2"/>
  <c r="P299" i="2"/>
  <c r="O299" i="2"/>
  <c r="N299" i="2"/>
  <c r="U298" i="2"/>
  <c r="Q298" i="2"/>
  <c r="P298" i="2"/>
  <c r="O298" i="2"/>
  <c r="N298" i="2"/>
  <c r="U297" i="2"/>
  <c r="Q297" i="2"/>
  <c r="P297" i="2"/>
  <c r="O297" i="2"/>
  <c r="N297" i="2"/>
  <c r="U296" i="2"/>
  <c r="Q296" i="2"/>
  <c r="P296" i="2"/>
  <c r="O296" i="2"/>
  <c r="N296" i="2"/>
  <c r="U295" i="2"/>
  <c r="Q295" i="2"/>
  <c r="P295" i="2"/>
  <c r="O295" i="2"/>
  <c r="N295" i="2"/>
  <c r="U294" i="2"/>
  <c r="Q294" i="2"/>
  <c r="P294" i="2"/>
  <c r="O294" i="2"/>
  <c r="N294" i="2"/>
  <c r="U293" i="2"/>
  <c r="Q293" i="2"/>
  <c r="P293" i="2"/>
  <c r="O293" i="2"/>
  <c r="N293" i="2"/>
  <c r="U292" i="2"/>
  <c r="R292" i="2"/>
  <c r="Q292" i="2"/>
  <c r="P292" i="2"/>
  <c r="O292" i="2"/>
  <c r="N292" i="2"/>
  <c r="U291" i="2"/>
  <c r="R291" i="2"/>
  <c r="Q291" i="2"/>
  <c r="P291" i="2"/>
  <c r="O291" i="2"/>
  <c r="N291" i="2"/>
  <c r="U290" i="2"/>
  <c r="R290" i="2"/>
  <c r="Q290" i="2"/>
  <c r="P290" i="2"/>
  <c r="O290" i="2"/>
  <c r="N290" i="2"/>
  <c r="U289" i="2"/>
  <c r="Q289" i="2"/>
  <c r="P289" i="2"/>
  <c r="O289" i="2"/>
  <c r="N289" i="2"/>
  <c r="U288" i="2"/>
  <c r="Q288" i="2"/>
  <c r="P288" i="2"/>
  <c r="O288" i="2"/>
  <c r="N288" i="2"/>
  <c r="U287" i="2"/>
  <c r="R287" i="2"/>
  <c r="Q287" i="2"/>
  <c r="P287" i="2"/>
  <c r="O287" i="2"/>
  <c r="N287" i="2"/>
  <c r="U286" i="2"/>
  <c r="Q286" i="2"/>
  <c r="P286" i="2"/>
  <c r="O286" i="2"/>
  <c r="N286" i="2"/>
  <c r="U285" i="2"/>
  <c r="Q285" i="2"/>
  <c r="P285" i="2"/>
  <c r="O285" i="2"/>
  <c r="N285" i="2"/>
  <c r="U284" i="2"/>
  <c r="R284" i="2"/>
  <c r="Q284" i="2"/>
  <c r="P284" i="2"/>
  <c r="O284" i="2"/>
  <c r="N284" i="2"/>
  <c r="U283" i="2"/>
  <c r="Q283" i="2"/>
  <c r="P283" i="2"/>
  <c r="O283" i="2"/>
  <c r="N283" i="2"/>
  <c r="U282" i="2"/>
  <c r="Q282" i="2"/>
  <c r="P282" i="2"/>
  <c r="O282" i="2"/>
  <c r="N282" i="2"/>
  <c r="U281" i="2"/>
  <c r="Q281" i="2"/>
  <c r="P281" i="2"/>
  <c r="O281" i="2"/>
  <c r="N281" i="2"/>
  <c r="U280" i="2"/>
  <c r="R280" i="2"/>
  <c r="Q280" i="2"/>
  <c r="P280" i="2"/>
  <c r="O280" i="2"/>
  <c r="N280" i="2"/>
  <c r="U279" i="2"/>
  <c r="Q279" i="2"/>
  <c r="P279" i="2"/>
  <c r="O279" i="2"/>
  <c r="N279" i="2"/>
  <c r="U278" i="2"/>
  <c r="R278" i="2"/>
  <c r="Q278" i="2"/>
  <c r="P278" i="2"/>
  <c r="O278" i="2"/>
  <c r="N278" i="2"/>
  <c r="U277" i="2"/>
  <c r="R277" i="2"/>
  <c r="Q277" i="2"/>
  <c r="P277" i="2"/>
  <c r="O277" i="2"/>
  <c r="N277" i="2"/>
  <c r="U276" i="2"/>
  <c r="Q276" i="2"/>
  <c r="P276" i="2"/>
  <c r="O276" i="2"/>
  <c r="N276" i="2"/>
  <c r="U275" i="2"/>
  <c r="Q275" i="2"/>
  <c r="P275" i="2"/>
  <c r="O275" i="2"/>
  <c r="N275" i="2"/>
  <c r="U274" i="2"/>
  <c r="R274" i="2"/>
  <c r="Q274" i="2"/>
  <c r="P274" i="2"/>
  <c r="O274" i="2"/>
  <c r="N274" i="2"/>
  <c r="U273" i="2"/>
  <c r="R273" i="2"/>
  <c r="Q273" i="2"/>
  <c r="P273" i="2"/>
  <c r="O273" i="2"/>
  <c r="N273" i="2"/>
  <c r="U272" i="2"/>
  <c r="Q272" i="2"/>
  <c r="P272" i="2"/>
  <c r="O272" i="2"/>
  <c r="N272" i="2"/>
  <c r="U271" i="2"/>
  <c r="Q271" i="2"/>
  <c r="P271" i="2"/>
  <c r="O271" i="2"/>
  <c r="N271" i="2"/>
  <c r="U270" i="2"/>
  <c r="Q270" i="2"/>
  <c r="P270" i="2"/>
  <c r="O270" i="2"/>
  <c r="N270" i="2"/>
  <c r="U269" i="2"/>
  <c r="Q269" i="2"/>
  <c r="P269" i="2"/>
  <c r="O269" i="2"/>
  <c r="N269" i="2"/>
  <c r="U268" i="2"/>
  <c r="Q268" i="2"/>
  <c r="P268" i="2"/>
  <c r="O268" i="2"/>
  <c r="N268" i="2"/>
  <c r="U267" i="2"/>
  <c r="Q267" i="2"/>
  <c r="P267" i="2"/>
  <c r="O267" i="2"/>
  <c r="N267" i="2"/>
  <c r="U266" i="2"/>
  <c r="Q266" i="2"/>
  <c r="P266" i="2"/>
  <c r="O266" i="2"/>
  <c r="N266" i="2"/>
  <c r="U265" i="2"/>
  <c r="R265" i="2"/>
  <c r="Q265" i="2"/>
  <c r="P265" i="2"/>
  <c r="O265" i="2"/>
  <c r="N265" i="2"/>
  <c r="U264" i="2"/>
  <c r="Q264" i="2"/>
  <c r="P264" i="2"/>
  <c r="O264" i="2"/>
  <c r="N264" i="2"/>
  <c r="U263" i="2"/>
  <c r="R263" i="2"/>
  <c r="Q263" i="2"/>
  <c r="P263" i="2"/>
  <c r="O263" i="2"/>
  <c r="N263" i="2"/>
  <c r="U262" i="2"/>
  <c r="Q262" i="2"/>
  <c r="P262" i="2"/>
  <c r="O262" i="2"/>
  <c r="N262" i="2"/>
  <c r="U261" i="2"/>
  <c r="Q261" i="2"/>
  <c r="P261" i="2"/>
  <c r="O261" i="2"/>
  <c r="N261" i="2"/>
  <c r="U260" i="2"/>
  <c r="Q260" i="2"/>
  <c r="P260" i="2"/>
  <c r="O260" i="2"/>
  <c r="N260" i="2"/>
  <c r="U259" i="2"/>
  <c r="R259" i="2"/>
  <c r="Q259" i="2"/>
  <c r="P259" i="2"/>
  <c r="O259" i="2"/>
  <c r="N259" i="2"/>
  <c r="U258" i="2"/>
  <c r="Q258" i="2"/>
  <c r="P258" i="2"/>
  <c r="O258" i="2"/>
  <c r="N258" i="2"/>
  <c r="U257" i="2"/>
  <c r="Q257" i="2"/>
  <c r="P257" i="2"/>
  <c r="O257" i="2"/>
  <c r="N257" i="2"/>
  <c r="U256" i="2"/>
  <c r="T256" i="2"/>
  <c r="Q256" i="2"/>
  <c r="P256" i="2"/>
  <c r="O256" i="2"/>
  <c r="N256" i="2"/>
  <c r="U255" i="2"/>
  <c r="Q255" i="2"/>
  <c r="P255" i="2"/>
  <c r="O255" i="2"/>
  <c r="N255" i="2"/>
  <c r="U254" i="2"/>
  <c r="R254" i="2"/>
  <c r="Q254" i="2"/>
  <c r="P254" i="2"/>
  <c r="O254" i="2"/>
  <c r="N254" i="2"/>
  <c r="U253" i="2"/>
  <c r="Q253" i="2"/>
  <c r="P253" i="2"/>
  <c r="O253" i="2"/>
  <c r="N253" i="2"/>
  <c r="U252" i="2"/>
  <c r="Q252" i="2"/>
  <c r="P252" i="2"/>
  <c r="O252" i="2"/>
  <c r="N252" i="2"/>
  <c r="U251" i="2"/>
  <c r="Q251" i="2"/>
  <c r="P251" i="2"/>
  <c r="O251" i="2"/>
  <c r="N251" i="2"/>
  <c r="U250" i="2"/>
  <c r="R250" i="2"/>
  <c r="Q250" i="2"/>
  <c r="P250" i="2"/>
  <c r="O250" i="2"/>
  <c r="N250" i="2"/>
  <c r="U249" i="2"/>
  <c r="Q249" i="2"/>
  <c r="P249" i="2"/>
  <c r="O249" i="2"/>
  <c r="N249" i="2"/>
  <c r="U248" i="2"/>
  <c r="Q248" i="2"/>
  <c r="P248" i="2"/>
  <c r="O248" i="2"/>
  <c r="N248" i="2"/>
  <c r="U247" i="2"/>
  <c r="Q247" i="2"/>
  <c r="P247" i="2"/>
  <c r="O247" i="2"/>
  <c r="N247" i="2"/>
  <c r="U246" i="2"/>
  <c r="Q246" i="2"/>
  <c r="P246" i="2"/>
  <c r="O246" i="2"/>
  <c r="N246" i="2"/>
  <c r="U245" i="2"/>
  <c r="Q245" i="2"/>
  <c r="P245" i="2"/>
  <c r="O245" i="2"/>
  <c r="N245" i="2"/>
  <c r="U244" i="2"/>
  <c r="Q244" i="2"/>
  <c r="P244" i="2"/>
  <c r="O244" i="2"/>
  <c r="N244" i="2"/>
  <c r="U243" i="2"/>
  <c r="Q243" i="2"/>
  <c r="P243" i="2"/>
  <c r="O243" i="2"/>
  <c r="N243" i="2"/>
  <c r="U242" i="2"/>
  <c r="Q242" i="2"/>
  <c r="P242" i="2"/>
  <c r="O242" i="2"/>
  <c r="N242" i="2"/>
  <c r="U241" i="2"/>
  <c r="R241" i="2"/>
  <c r="Q241" i="2"/>
  <c r="P241" i="2"/>
  <c r="O241" i="2"/>
  <c r="N241" i="2"/>
  <c r="U240" i="2"/>
  <c r="Q240" i="2"/>
  <c r="P240" i="2"/>
  <c r="O240" i="2"/>
  <c r="N240" i="2"/>
  <c r="U239" i="2"/>
  <c r="Q239" i="2"/>
  <c r="P239" i="2"/>
  <c r="O239" i="2"/>
  <c r="N239" i="2"/>
  <c r="U238" i="2"/>
  <c r="Q238" i="2"/>
  <c r="P238" i="2"/>
  <c r="O238" i="2"/>
  <c r="N238" i="2"/>
  <c r="U237" i="2"/>
  <c r="R237" i="2"/>
  <c r="Q237" i="2"/>
  <c r="P237" i="2"/>
  <c r="O237" i="2"/>
  <c r="N237" i="2"/>
  <c r="U236" i="2"/>
  <c r="R236" i="2"/>
  <c r="Q236" i="2"/>
  <c r="P236" i="2"/>
  <c r="O236" i="2"/>
  <c r="N236" i="2"/>
  <c r="U235" i="2"/>
  <c r="R235" i="2"/>
  <c r="Q235" i="2"/>
  <c r="P235" i="2"/>
  <c r="O235" i="2"/>
  <c r="N235" i="2"/>
  <c r="U234" i="2"/>
  <c r="Q234" i="2"/>
  <c r="P234" i="2"/>
  <c r="O234" i="2"/>
  <c r="N234" i="2"/>
  <c r="U233" i="2"/>
  <c r="R233" i="2"/>
  <c r="Q233" i="2"/>
  <c r="P233" i="2"/>
  <c r="O233" i="2"/>
  <c r="N233" i="2"/>
  <c r="U232" i="2"/>
  <c r="R232" i="2"/>
  <c r="Q232" i="2"/>
  <c r="P232" i="2"/>
  <c r="O232" i="2"/>
  <c r="N232" i="2"/>
  <c r="U231" i="2"/>
  <c r="R231" i="2"/>
  <c r="Q231" i="2"/>
  <c r="P231" i="2"/>
  <c r="O231" i="2"/>
  <c r="N231" i="2"/>
  <c r="U230" i="2"/>
  <c r="R230" i="2"/>
  <c r="Q230" i="2"/>
  <c r="P230" i="2"/>
  <c r="O230" i="2"/>
  <c r="N230" i="2"/>
  <c r="U229" i="2"/>
  <c r="Q229" i="2"/>
  <c r="P229" i="2"/>
  <c r="O229" i="2"/>
  <c r="N229" i="2"/>
  <c r="U228" i="2"/>
  <c r="R228" i="2"/>
  <c r="Q228" i="2"/>
  <c r="P228" i="2"/>
  <c r="O228" i="2"/>
  <c r="N228" i="2"/>
  <c r="U227" i="2"/>
  <c r="R227" i="2"/>
  <c r="Q227" i="2"/>
  <c r="P227" i="2"/>
  <c r="O227" i="2"/>
  <c r="N227" i="2"/>
  <c r="U226" i="2"/>
  <c r="Q226" i="2"/>
  <c r="P226" i="2"/>
  <c r="O226" i="2"/>
  <c r="N226" i="2"/>
  <c r="U225" i="2"/>
  <c r="Q225" i="2"/>
  <c r="P225" i="2"/>
  <c r="O225" i="2"/>
  <c r="N225" i="2"/>
  <c r="U224" i="2"/>
  <c r="R224" i="2"/>
  <c r="Q224" i="2"/>
  <c r="P224" i="2"/>
  <c r="O224" i="2"/>
  <c r="N224" i="2"/>
  <c r="U223" i="2"/>
  <c r="R223" i="2"/>
  <c r="Q223" i="2"/>
  <c r="P223" i="2"/>
  <c r="O223" i="2"/>
  <c r="N223" i="2"/>
  <c r="U222" i="2"/>
  <c r="Q222" i="2"/>
  <c r="P222" i="2"/>
  <c r="O222" i="2"/>
  <c r="N222" i="2"/>
  <c r="U221" i="2"/>
  <c r="R221" i="2"/>
  <c r="Q221" i="2"/>
  <c r="P221" i="2"/>
  <c r="O221" i="2"/>
  <c r="N221" i="2"/>
  <c r="U220" i="2"/>
  <c r="R220" i="2"/>
  <c r="Q220" i="2"/>
  <c r="P220" i="2"/>
  <c r="O220" i="2"/>
  <c r="N220" i="2"/>
  <c r="U219" i="2"/>
  <c r="Q219" i="2"/>
  <c r="P219" i="2"/>
  <c r="O219" i="2"/>
  <c r="N219" i="2"/>
  <c r="U218" i="2"/>
  <c r="Q218" i="2"/>
  <c r="P218" i="2"/>
  <c r="O218" i="2"/>
  <c r="N218" i="2"/>
  <c r="U217" i="2"/>
  <c r="Q217" i="2"/>
  <c r="P217" i="2"/>
  <c r="O217" i="2"/>
  <c r="N217" i="2"/>
  <c r="U216" i="2"/>
  <c r="Q216" i="2"/>
  <c r="P216" i="2"/>
  <c r="O216" i="2"/>
  <c r="N216" i="2"/>
  <c r="U215" i="2"/>
  <c r="Q215" i="2"/>
  <c r="P215" i="2"/>
  <c r="O215" i="2"/>
  <c r="N215" i="2"/>
  <c r="U214" i="2"/>
  <c r="Q214" i="2"/>
  <c r="P214" i="2"/>
  <c r="O214" i="2"/>
  <c r="N214" i="2"/>
  <c r="U213" i="2"/>
  <c r="Q213" i="2"/>
  <c r="P213" i="2"/>
  <c r="O213" i="2"/>
  <c r="N213" i="2"/>
  <c r="U212" i="2"/>
  <c r="Q212" i="2"/>
  <c r="P212" i="2"/>
  <c r="O212" i="2"/>
  <c r="N212" i="2"/>
  <c r="U211" i="2"/>
  <c r="R211" i="2"/>
  <c r="Q211" i="2"/>
  <c r="P211" i="2"/>
  <c r="O211" i="2"/>
  <c r="N211" i="2"/>
  <c r="U210" i="2"/>
  <c r="Q210" i="2"/>
  <c r="P210" i="2"/>
  <c r="O210" i="2"/>
  <c r="N210" i="2"/>
  <c r="U209" i="2"/>
  <c r="Q209" i="2"/>
  <c r="P209" i="2"/>
  <c r="O209" i="2"/>
  <c r="N209" i="2"/>
  <c r="U208" i="2"/>
  <c r="Q208" i="2"/>
  <c r="P208" i="2"/>
  <c r="O208" i="2"/>
  <c r="N208" i="2"/>
  <c r="U207" i="2"/>
  <c r="Q207" i="2"/>
  <c r="P207" i="2"/>
  <c r="O207" i="2"/>
  <c r="N207" i="2"/>
  <c r="U206" i="2"/>
  <c r="R206" i="2"/>
  <c r="Q206" i="2"/>
  <c r="P206" i="2"/>
  <c r="O206" i="2"/>
  <c r="N206" i="2"/>
  <c r="U205" i="2"/>
  <c r="Q205" i="2"/>
  <c r="P205" i="2"/>
  <c r="O205" i="2"/>
  <c r="N205" i="2"/>
  <c r="U204" i="2"/>
  <c r="Q204" i="2"/>
  <c r="P204" i="2"/>
  <c r="O204" i="2"/>
  <c r="N204" i="2"/>
  <c r="U203" i="2"/>
  <c r="Q203" i="2"/>
  <c r="P203" i="2"/>
  <c r="O203" i="2"/>
  <c r="N203" i="2"/>
  <c r="U202" i="2"/>
  <c r="Q202" i="2"/>
  <c r="P202" i="2"/>
  <c r="O202" i="2"/>
  <c r="N202" i="2"/>
  <c r="U201" i="2"/>
  <c r="R201" i="2"/>
  <c r="Q201" i="2"/>
  <c r="P201" i="2"/>
  <c r="O201" i="2"/>
  <c r="N201" i="2"/>
  <c r="U200" i="2"/>
  <c r="Q200" i="2"/>
  <c r="P200" i="2"/>
  <c r="O200" i="2"/>
  <c r="N200" i="2"/>
  <c r="U199" i="2"/>
  <c r="R199" i="2"/>
  <c r="Q199" i="2"/>
  <c r="P199" i="2"/>
  <c r="O199" i="2"/>
  <c r="N199" i="2"/>
  <c r="U198" i="2"/>
  <c r="Q198" i="2"/>
  <c r="P198" i="2"/>
  <c r="O198" i="2"/>
  <c r="N198" i="2"/>
  <c r="U197" i="2"/>
  <c r="Q197" i="2"/>
  <c r="P197" i="2"/>
  <c r="O197" i="2"/>
  <c r="N197" i="2"/>
  <c r="U196" i="2"/>
  <c r="Q196" i="2"/>
  <c r="P196" i="2"/>
  <c r="O196" i="2"/>
  <c r="N196" i="2"/>
  <c r="U195" i="2"/>
  <c r="R195" i="2"/>
  <c r="Q195" i="2"/>
  <c r="P195" i="2"/>
  <c r="O195" i="2"/>
  <c r="N195" i="2"/>
  <c r="U194" i="2"/>
  <c r="R194" i="2"/>
  <c r="Q194" i="2"/>
  <c r="P194" i="2"/>
  <c r="O194" i="2"/>
  <c r="N194" i="2"/>
  <c r="U193" i="2"/>
  <c r="Q193" i="2"/>
  <c r="P193" i="2"/>
  <c r="O193" i="2"/>
  <c r="N193" i="2"/>
  <c r="U192" i="2"/>
  <c r="Q192" i="2"/>
  <c r="P192" i="2"/>
  <c r="O192" i="2"/>
  <c r="N192" i="2"/>
  <c r="U191" i="2"/>
  <c r="R191" i="2"/>
  <c r="Q191" i="2"/>
  <c r="P191" i="2"/>
  <c r="O191" i="2"/>
  <c r="N191" i="2"/>
  <c r="U190" i="2"/>
  <c r="Q190" i="2"/>
  <c r="P190" i="2"/>
  <c r="O190" i="2"/>
  <c r="N190" i="2"/>
  <c r="U189" i="2"/>
  <c r="R189" i="2"/>
  <c r="Q189" i="2"/>
  <c r="P189" i="2"/>
  <c r="O189" i="2"/>
  <c r="N189" i="2"/>
  <c r="U188" i="2"/>
  <c r="Q188" i="2"/>
  <c r="P188" i="2"/>
  <c r="O188" i="2"/>
  <c r="N188" i="2"/>
  <c r="U187" i="2"/>
  <c r="Q187" i="2"/>
  <c r="P187" i="2"/>
  <c r="O187" i="2"/>
  <c r="N187" i="2"/>
  <c r="U186" i="2"/>
  <c r="Q186" i="2"/>
  <c r="P186" i="2"/>
  <c r="O186" i="2"/>
  <c r="N186" i="2"/>
  <c r="U185" i="2"/>
  <c r="R185" i="2"/>
  <c r="Q185" i="2"/>
  <c r="P185" i="2"/>
  <c r="O185" i="2"/>
  <c r="N185" i="2"/>
  <c r="U184" i="2"/>
  <c r="Q184" i="2"/>
  <c r="P184" i="2"/>
  <c r="O184" i="2"/>
  <c r="N184" i="2"/>
  <c r="U183" i="2"/>
  <c r="Q183" i="2"/>
  <c r="P183" i="2"/>
  <c r="O183" i="2"/>
  <c r="N183" i="2"/>
  <c r="U182" i="2"/>
  <c r="Q182" i="2"/>
  <c r="P182" i="2"/>
  <c r="O182" i="2"/>
  <c r="N182" i="2"/>
  <c r="U181" i="2"/>
  <c r="R181" i="2"/>
  <c r="Q181" i="2"/>
  <c r="P181" i="2"/>
  <c r="O181" i="2"/>
  <c r="N181" i="2"/>
  <c r="U180" i="2"/>
  <c r="R180" i="2"/>
  <c r="Q180" i="2"/>
  <c r="P180" i="2"/>
  <c r="O180" i="2"/>
  <c r="N180" i="2"/>
  <c r="U179" i="2"/>
  <c r="Q179" i="2"/>
  <c r="P179" i="2"/>
  <c r="O179" i="2"/>
  <c r="N179" i="2"/>
  <c r="U178" i="2"/>
  <c r="Q178" i="2"/>
  <c r="P178" i="2"/>
  <c r="O178" i="2"/>
  <c r="N178" i="2"/>
  <c r="U177" i="2"/>
  <c r="Q177" i="2"/>
  <c r="P177" i="2"/>
  <c r="O177" i="2"/>
  <c r="N177" i="2"/>
  <c r="U176" i="2"/>
  <c r="R176" i="2"/>
  <c r="Q176" i="2"/>
  <c r="P176" i="2"/>
  <c r="O176" i="2"/>
  <c r="N176" i="2"/>
  <c r="U175" i="2"/>
  <c r="Q175" i="2"/>
  <c r="P175" i="2"/>
  <c r="O175" i="2"/>
  <c r="N175" i="2"/>
  <c r="U174" i="2"/>
  <c r="R174" i="2"/>
  <c r="Q174" i="2"/>
  <c r="P174" i="2"/>
  <c r="O174" i="2"/>
  <c r="N174" i="2"/>
  <c r="U173" i="2"/>
  <c r="R173" i="2"/>
  <c r="Q173" i="2"/>
  <c r="P173" i="2"/>
  <c r="O173" i="2"/>
  <c r="N173" i="2"/>
  <c r="U172" i="2"/>
  <c r="Q172" i="2"/>
  <c r="P172" i="2"/>
  <c r="O172" i="2"/>
  <c r="N172" i="2"/>
  <c r="U171" i="2"/>
  <c r="R171" i="2"/>
  <c r="Q171" i="2"/>
  <c r="P171" i="2"/>
  <c r="O171" i="2"/>
  <c r="N171" i="2"/>
  <c r="U170" i="2"/>
  <c r="Q170" i="2"/>
  <c r="P170" i="2"/>
  <c r="O170" i="2"/>
  <c r="N170" i="2"/>
  <c r="U169" i="2"/>
  <c r="R169" i="2"/>
  <c r="Q169" i="2"/>
  <c r="P169" i="2"/>
  <c r="O169" i="2"/>
  <c r="N169" i="2"/>
  <c r="U168" i="2"/>
  <c r="R168" i="2"/>
  <c r="Q168" i="2"/>
  <c r="P168" i="2"/>
  <c r="O168" i="2"/>
  <c r="N168" i="2"/>
  <c r="U167" i="2"/>
  <c r="Q167" i="2"/>
  <c r="P167" i="2"/>
  <c r="O167" i="2"/>
  <c r="N167" i="2"/>
  <c r="U166" i="2"/>
  <c r="R166" i="2"/>
  <c r="Q166" i="2"/>
  <c r="P166" i="2"/>
  <c r="O166" i="2"/>
  <c r="N166" i="2"/>
  <c r="U165" i="2"/>
  <c r="R165" i="2"/>
  <c r="Q165" i="2"/>
  <c r="P165" i="2"/>
  <c r="O165" i="2"/>
  <c r="N165" i="2"/>
  <c r="U164" i="2"/>
  <c r="R164" i="2"/>
  <c r="Q164" i="2"/>
  <c r="P164" i="2"/>
  <c r="O164" i="2"/>
  <c r="N164" i="2"/>
  <c r="U163" i="2"/>
  <c r="R163" i="2"/>
  <c r="Q163" i="2"/>
  <c r="P163" i="2"/>
  <c r="O163" i="2"/>
  <c r="N163" i="2"/>
  <c r="U162" i="2"/>
  <c r="Q162" i="2"/>
  <c r="P162" i="2"/>
  <c r="O162" i="2"/>
  <c r="N162" i="2"/>
  <c r="U161" i="2"/>
  <c r="Q161" i="2"/>
  <c r="P161" i="2"/>
  <c r="O161" i="2"/>
  <c r="N161" i="2"/>
  <c r="U160" i="2"/>
  <c r="R160" i="2"/>
  <c r="Q160" i="2"/>
  <c r="P160" i="2"/>
  <c r="O160" i="2"/>
  <c r="N160" i="2"/>
  <c r="U159" i="2"/>
  <c r="R159" i="2"/>
  <c r="Q159" i="2"/>
  <c r="P159" i="2"/>
  <c r="O159" i="2"/>
  <c r="N159" i="2"/>
  <c r="U158" i="2"/>
  <c r="R158" i="2"/>
  <c r="Q158" i="2"/>
  <c r="P158" i="2"/>
  <c r="O158" i="2"/>
  <c r="N158" i="2"/>
  <c r="U157" i="2"/>
  <c r="R157" i="2"/>
  <c r="Q157" i="2"/>
  <c r="P157" i="2"/>
  <c r="O157" i="2"/>
  <c r="N157" i="2"/>
  <c r="U156" i="2"/>
  <c r="R156" i="2"/>
  <c r="Q156" i="2"/>
  <c r="P156" i="2"/>
  <c r="O156" i="2"/>
  <c r="N156" i="2"/>
  <c r="U155" i="2"/>
  <c r="Q155" i="2"/>
  <c r="P155" i="2"/>
  <c r="O155" i="2"/>
  <c r="N155" i="2"/>
  <c r="U154" i="2"/>
  <c r="R154" i="2"/>
  <c r="Q154" i="2"/>
  <c r="P154" i="2"/>
  <c r="O154" i="2"/>
  <c r="N154" i="2"/>
  <c r="U153" i="2"/>
  <c r="R153" i="2"/>
  <c r="Q153" i="2"/>
  <c r="P153" i="2"/>
  <c r="O153" i="2"/>
  <c r="N153" i="2"/>
  <c r="U152" i="2"/>
  <c r="Q152" i="2"/>
  <c r="P152" i="2"/>
  <c r="O152" i="2"/>
  <c r="N152" i="2"/>
  <c r="U151" i="2"/>
  <c r="R151" i="2"/>
  <c r="Q151" i="2"/>
  <c r="P151" i="2"/>
  <c r="O151" i="2"/>
  <c r="N151" i="2"/>
  <c r="U150" i="2"/>
  <c r="Q150" i="2"/>
  <c r="P150" i="2"/>
  <c r="O150" i="2"/>
  <c r="N150" i="2"/>
  <c r="U149" i="2"/>
  <c r="R149" i="2"/>
  <c r="Q149" i="2"/>
  <c r="P149" i="2"/>
  <c r="O149" i="2"/>
  <c r="N149" i="2"/>
  <c r="U148" i="2"/>
  <c r="Q148" i="2"/>
  <c r="P148" i="2"/>
  <c r="O148" i="2"/>
  <c r="N148" i="2"/>
  <c r="U147" i="2"/>
  <c r="Q147" i="2"/>
  <c r="P147" i="2"/>
  <c r="O147" i="2"/>
  <c r="N147" i="2"/>
  <c r="U146" i="2"/>
  <c r="Q146" i="2"/>
  <c r="P146" i="2"/>
  <c r="O146" i="2"/>
  <c r="N146" i="2"/>
  <c r="U145" i="2"/>
  <c r="R145" i="2"/>
  <c r="Q145" i="2"/>
  <c r="P145" i="2"/>
  <c r="O145" i="2"/>
  <c r="N145" i="2"/>
  <c r="U144" i="2"/>
  <c r="R144" i="2"/>
  <c r="Q144" i="2"/>
  <c r="P144" i="2"/>
  <c r="O144" i="2"/>
  <c r="N144" i="2"/>
  <c r="U143" i="2"/>
  <c r="Q143" i="2"/>
  <c r="P143" i="2"/>
  <c r="O143" i="2"/>
  <c r="N143" i="2"/>
  <c r="U142" i="2"/>
  <c r="Q142" i="2"/>
  <c r="P142" i="2"/>
  <c r="O142" i="2"/>
  <c r="N142" i="2"/>
  <c r="U141" i="2"/>
  <c r="R141" i="2"/>
  <c r="Q141" i="2"/>
  <c r="P141" i="2"/>
  <c r="O141" i="2"/>
  <c r="N141" i="2"/>
  <c r="U140" i="2"/>
  <c r="R140" i="2"/>
  <c r="Q140" i="2"/>
  <c r="P140" i="2"/>
  <c r="O140" i="2"/>
  <c r="N140" i="2"/>
  <c r="U139" i="2"/>
  <c r="T139" i="2"/>
  <c r="Q139" i="2"/>
  <c r="P139" i="2"/>
  <c r="O139" i="2"/>
  <c r="N139" i="2"/>
  <c r="U138" i="2"/>
  <c r="Q138" i="2"/>
  <c r="P138" i="2"/>
  <c r="O138" i="2"/>
  <c r="N138" i="2"/>
  <c r="U137" i="2"/>
  <c r="Q137" i="2"/>
  <c r="P137" i="2"/>
  <c r="O137" i="2"/>
  <c r="N137" i="2"/>
  <c r="U136" i="2"/>
  <c r="Q136" i="2"/>
  <c r="P136" i="2"/>
  <c r="O136" i="2"/>
  <c r="N136" i="2"/>
  <c r="U135" i="2"/>
  <c r="Q135" i="2"/>
  <c r="P135" i="2"/>
  <c r="O135" i="2"/>
  <c r="N135" i="2"/>
  <c r="U134" i="2"/>
  <c r="Q134" i="2"/>
  <c r="P134" i="2"/>
  <c r="O134" i="2"/>
  <c r="N134" i="2"/>
  <c r="U133" i="2"/>
  <c r="R133" i="2"/>
  <c r="Q133" i="2"/>
  <c r="P133" i="2"/>
  <c r="O133" i="2"/>
  <c r="N133" i="2"/>
  <c r="U132" i="2"/>
  <c r="R132" i="2"/>
  <c r="Q132" i="2"/>
  <c r="P132" i="2"/>
  <c r="O132" i="2"/>
  <c r="N132" i="2"/>
  <c r="U131" i="2"/>
  <c r="Q131" i="2"/>
  <c r="P131" i="2"/>
  <c r="O131" i="2"/>
  <c r="N131" i="2"/>
  <c r="U130" i="2"/>
  <c r="R130" i="2"/>
  <c r="Q130" i="2"/>
  <c r="P130" i="2"/>
  <c r="O130" i="2"/>
  <c r="N130" i="2"/>
  <c r="U129" i="2"/>
  <c r="R129" i="2"/>
  <c r="Q129" i="2"/>
  <c r="P129" i="2"/>
  <c r="O129" i="2"/>
  <c r="N129" i="2"/>
  <c r="U128" i="2"/>
  <c r="Q128" i="2"/>
  <c r="P128" i="2"/>
  <c r="O128" i="2"/>
  <c r="N128" i="2"/>
  <c r="U127" i="2"/>
  <c r="R127" i="2"/>
  <c r="Q127" i="2"/>
  <c r="P127" i="2"/>
  <c r="O127" i="2"/>
  <c r="N127" i="2"/>
  <c r="U126" i="2"/>
  <c r="Q126" i="2"/>
  <c r="P126" i="2"/>
  <c r="O126" i="2"/>
  <c r="N126" i="2"/>
  <c r="U125" i="2"/>
  <c r="R125" i="2"/>
  <c r="Q125" i="2"/>
  <c r="P125" i="2"/>
  <c r="O125" i="2"/>
  <c r="N125" i="2"/>
  <c r="U124" i="2"/>
  <c r="R124" i="2"/>
  <c r="Q124" i="2"/>
  <c r="P124" i="2"/>
  <c r="O124" i="2"/>
  <c r="N124" i="2"/>
  <c r="U123" i="2"/>
  <c r="Q123" i="2"/>
  <c r="P123" i="2"/>
  <c r="O123" i="2"/>
  <c r="N123" i="2"/>
  <c r="U122" i="2"/>
  <c r="Q122" i="2"/>
  <c r="P122" i="2"/>
  <c r="O122" i="2"/>
  <c r="N122" i="2"/>
  <c r="U121" i="2"/>
  <c r="R121" i="2"/>
  <c r="Q121" i="2"/>
  <c r="P121" i="2"/>
  <c r="O121" i="2"/>
  <c r="N121" i="2"/>
  <c r="U120" i="2"/>
  <c r="R120" i="2"/>
  <c r="Q120" i="2"/>
  <c r="P120" i="2"/>
  <c r="O120" i="2"/>
  <c r="N120" i="2"/>
  <c r="U119" i="2"/>
  <c r="R119" i="2"/>
  <c r="Q119" i="2"/>
  <c r="P119" i="2"/>
  <c r="O119" i="2"/>
  <c r="N119" i="2"/>
  <c r="U118" i="2"/>
  <c r="T118" i="2"/>
  <c r="Q118" i="2"/>
  <c r="P118" i="2"/>
  <c r="O118" i="2"/>
  <c r="N118" i="2"/>
  <c r="U117" i="2"/>
  <c r="R117" i="2"/>
  <c r="Q117" i="2"/>
  <c r="P117" i="2"/>
  <c r="O117" i="2"/>
  <c r="N117" i="2"/>
  <c r="U116" i="2"/>
  <c r="Q116" i="2"/>
  <c r="P116" i="2"/>
  <c r="O116" i="2"/>
  <c r="N116" i="2"/>
  <c r="U115" i="2"/>
  <c r="T115" i="2"/>
  <c r="Q115" i="2"/>
  <c r="P115" i="2"/>
  <c r="O115" i="2"/>
  <c r="N115" i="2"/>
  <c r="U114" i="2"/>
  <c r="R114" i="2"/>
  <c r="Q114" i="2"/>
  <c r="P114" i="2"/>
  <c r="O114" i="2"/>
  <c r="N114" i="2"/>
  <c r="U113" i="2"/>
  <c r="R113" i="2"/>
  <c r="Q113" i="2"/>
  <c r="P113" i="2"/>
  <c r="O113" i="2"/>
  <c r="N113" i="2"/>
  <c r="U112" i="2"/>
  <c r="Q112" i="2"/>
  <c r="P112" i="2"/>
  <c r="O112" i="2"/>
  <c r="N112" i="2"/>
  <c r="U111" i="2"/>
  <c r="R111" i="2"/>
  <c r="Q111" i="2"/>
  <c r="P111" i="2"/>
  <c r="O111" i="2"/>
  <c r="N111" i="2"/>
  <c r="U110" i="2"/>
  <c r="R110" i="2"/>
  <c r="Q110" i="2"/>
  <c r="P110" i="2"/>
  <c r="O110" i="2"/>
  <c r="N110" i="2"/>
  <c r="U109" i="2"/>
  <c r="R109" i="2"/>
  <c r="Q109" i="2"/>
  <c r="P109" i="2"/>
  <c r="O109" i="2"/>
  <c r="N109" i="2"/>
  <c r="U108" i="2"/>
  <c r="Q108" i="2"/>
  <c r="P108" i="2"/>
  <c r="O108" i="2"/>
  <c r="N108" i="2"/>
  <c r="U107" i="2"/>
  <c r="T107" i="2"/>
  <c r="Q107" i="2"/>
  <c r="P107" i="2"/>
  <c r="O107" i="2"/>
  <c r="N107" i="2"/>
  <c r="U106" i="2"/>
  <c r="Q106" i="2"/>
  <c r="P106" i="2"/>
  <c r="O106" i="2"/>
  <c r="N106" i="2"/>
  <c r="U105" i="2"/>
  <c r="Q105" i="2"/>
  <c r="P105" i="2"/>
  <c r="O105" i="2"/>
  <c r="N105" i="2"/>
  <c r="U104" i="2"/>
  <c r="Q104" i="2"/>
  <c r="P104" i="2"/>
  <c r="O104" i="2"/>
  <c r="N104" i="2"/>
  <c r="U103" i="2"/>
  <c r="R103" i="2"/>
  <c r="Q103" i="2"/>
  <c r="P103" i="2"/>
  <c r="O103" i="2"/>
  <c r="N103" i="2"/>
  <c r="U102" i="2"/>
  <c r="R102" i="2"/>
  <c r="Q102" i="2"/>
  <c r="P102" i="2"/>
  <c r="O102" i="2"/>
  <c r="N102" i="2"/>
  <c r="U101" i="2"/>
  <c r="Q101" i="2"/>
  <c r="P101" i="2"/>
  <c r="O101" i="2"/>
  <c r="N101" i="2"/>
  <c r="U100" i="2"/>
  <c r="Q100" i="2"/>
  <c r="P100" i="2"/>
  <c r="O100" i="2"/>
  <c r="N100" i="2"/>
  <c r="U99" i="2"/>
  <c r="Q99" i="2"/>
  <c r="P99" i="2"/>
  <c r="O99" i="2"/>
  <c r="N99" i="2"/>
  <c r="U98" i="2"/>
  <c r="R98" i="2"/>
  <c r="Q98" i="2"/>
  <c r="P98" i="2"/>
  <c r="O98" i="2"/>
  <c r="N98" i="2"/>
  <c r="U97" i="2"/>
  <c r="Q97" i="2"/>
  <c r="P97" i="2"/>
  <c r="O97" i="2"/>
  <c r="N97" i="2"/>
  <c r="U96" i="2"/>
  <c r="R96" i="2"/>
  <c r="Q96" i="2"/>
  <c r="P96" i="2"/>
  <c r="O96" i="2"/>
  <c r="N96" i="2"/>
  <c r="U95" i="2"/>
  <c r="R95" i="2"/>
  <c r="Q95" i="2"/>
  <c r="P95" i="2"/>
  <c r="O95" i="2"/>
  <c r="N95" i="2"/>
  <c r="U94" i="2"/>
  <c r="Q94" i="2"/>
  <c r="P94" i="2"/>
  <c r="O94" i="2"/>
  <c r="N94" i="2"/>
  <c r="U93" i="2"/>
  <c r="Q93" i="2"/>
  <c r="P93" i="2"/>
  <c r="O93" i="2"/>
  <c r="N93" i="2"/>
  <c r="U92" i="2"/>
  <c r="R92" i="2"/>
  <c r="Q92" i="2"/>
  <c r="P92" i="2"/>
  <c r="O92" i="2"/>
  <c r="N92" i="2"/>
  <c r="U91" i="2"/>
  <c r="R91" i="2"/>
  <c r="Q91" i="2"/>
  <c r="P91" i="2"/>
  <c r="O91" i="2"/>
  <c r="N91" i="2"/>
  <c r="U90" i="2"/>
  <c r="Q90" i="2"/>
  <c r="P90" i="2"/>
  <c r="O90" i="2"/>
  <c r="N90" i="2"/>
  <c r="U89" i="2"/>
  <c r="R89" i="2"/>
  <c r="Q89" i="2"/>
  <c r="P89" i="2"/>
  <c r="O89" i="2"/>
  <c r="N89" i="2"/>
  <c r="U88" i="2"/>
  <c r="T88" i="2"/>
  <c r="Q88" i="2"/>
  <c r="P88" i="2"/>
  <c r="O88" i="2"/>
  <c r="N88" i="2"/>
  <c r="U87" i="2"/>
  <c r="Q87" i="2"/>
  <c r="P87" i="2"/>
  <c r="O87" i="2"/>
  <c r="N87" i="2"/>
  <c r="U86" i="2"/>
  <c r="T86" i="2"/>
  <c r="R86" i="2"/>
  <c r="Q86" i="2"/>
  <c r="P86" i="2"/>
  <c r="O86" i="2"/>
  <c r="N86" i="2"/>
  <c r="U85" i="2"/>
  <c r="R85" i="2"/>
  <c r="Q85" i="2"/>
  <c r="P85" i="2"/>
  <c r="O85" i="2"/>
  <c r="N85" i="2"/>
  <c r="U84" i="2"/>
  <c r="Q84" i="2"/>
  <c r="P84" i="2"/>
  <c r="O84" i="2"/>
  <c r="N84" i="2"/>
  <c r="U83" i="2"/>
  <c r="Q83" i="2"/>
  <c r="P83" i="2"/>
  <c r="O83" i="2"/>
  <c r="N83" i="2"/>
  <c r="U82" i="2"/>
  <c r="R82" i="2"/>
  <c r="Q82" i="2"/>
  <c r="P82" i="2"/>
  <c r="O82" i="2"/>
  <c r="N82" i="2"/>
  <c r="U81" i="2"/>
  <c r="Q81" i="2"/>
  <c r="P81" i="2"/>
  <c r="O81" i="2"/>
  <c r="N81" i="2"/>
  <c r="U80" i="2"/>
  <c r="R80" i="2"/>
  <c r="Q80" i="2"/>
  <c r="P80" i="2"/>
  <c r="O80" i="2"/>
  <c r="N80" i="2"/>
  <c r="U79" i="2"/>
  <c r="R79" i="2"/>
  <c r="Q79" i="2"/>
  <c r="P79" i="2"/>
  <c r="O79" i="2"/>
  <c r="N79" i="2"/>
  <c r="U78" i="2"/>
  <c r="Q78" i="2"/>
  <c r="P78" i="2"/>
  <c r="O78" i="2"/>
  <c r="N78" i="2"/>
  <c r="U77" i="2"/>
  <c r="R77" i="2"/>
  <c r="Q77" i="2"/>
  <c r="P77" i="2"/>
  <c r="O77" i="2"/>
  <c r="N77" i="2"/>
  <c r="U76" i="2"/>
  <c r="Q76" i="2"/>
  <c r="P76" i="2"/>
  <c r="O76" i="2"/>
  <c r="N76" i="2"/>
  <c r="U75" i="2"/>
  <c r="R75" i="2"/>
  <c r="Q75" i="2"/>
  <c r="P75" i="2"/>
  <c r="O75" i="2"/>
  <c r="N75" i="2"/>
  <c r="U74" i="2"/>
  <c r="R74" i="2"/>
  <c r="Q74" i="2"/>
  <c r="P74" i="2"/>
  <c r="O74" i="2"/>
  <c r="N74" i="2"/>
  <c r="U73" i="2"/>
  <c r="R73" i="2"/>
  <c r="Q73" i="2"/>
  <c r="P73" i="2"/>
  <c r="O73" i="2"/>
  <c r="N73" i="2"/>
  <c r="U72" i="2"/>
  <c r="R72" i="2"/>
  <c r="Q72" i="2"/>
  <c r="P72" i="2"/>
  <c r="O72" i="2"/>
  <c r="N72" i="2"/>
  <c r="U71" i="2"/>
  <c r="R71" i="2"/>
  <c r="Q71" i="2"/>
  <c r="P71" i="2"/>
  <c r="O71" i="2"/>
  <c r="N71" i="2"/>
  <c r="U70" i="2"/>
  <c r="R70" i="2"/>
  <c r="Q70" i="2"/>
  <c r="P70" i="2"/>
  <c r="O70" i="2"/>
  <c r="N70" i="2"/>
  <c r="U69" i="2"/>
  <c r="R69" i="2"/>
  <c r="Q69" i="2"/>
  <c r="P69" i="2"/>
  <c r="O69" i="2"/>
  <c r="N69" i="2"/>
  <c r="U68" i="2"/>
  <c r="R68" i="2"/>
  <c r="Q68" i="2"/>
  <c r="P68" i="2"/>
  <c r="O68" i="2"/>
  <c r="N68" i="2"/>
  <c r="U67" i="2"/>
  <c r="Q67" i="2"/>
  <c r="P67" i="2"/>
  <c r="O67" i="2"/>
  <c r="N67" i="2"/>
  <c r="U66" i="2"/>
  <c r="R66" i="2"/>
  <c r="Q66" i="2"/>
  <c r="P66" i="2"/>
  <c r="O66" i="2"/>
  <c r="N66" i="2"/>
  <c r="U65" i="2"/>
  <c r="R65" i="2"/>
  <c r="Q65" i="2"/>
  <c r="P65" i="2"/>
  <c r="O65" i="2"/>
  <c r="N65" i="2"/>
  <c r="U64" i="2"/>
  <c r="R64" i="2"/>
  <c r="Q64" i="2"/>
  <c r="P64" i="2"/>
  <c r="O64" i="2"/>
  <c r="N64" i="2"/>
  <c r="U63" i="2"/>
  <c r="Q63" i="2"/>
  <c r="P63" i="2"/>
  <c r="O63" i="2"/>
  <c r="N63" i="2"/>
  <c r="U62" i="2"/>
  <c r="R62" i="2"/>
  <c r="Q62" i="2"/>
  <c r="P62" i="2"/>
  <c r="O62" i="2"/>
  <c r="N62" i="2"/>
  <c r="U61" i="2"/>
  <c r="R61" i="2"/>
  <c r="Q61" i="2"/>
  <c r="P61" i="2"/>
  <c r="O61" i="2"/>
  <c r="N61" i="2"/>
  <c r="U60" i="2"/>
  <c r="Q60" i="2"/>
  <c r="P60" i="2"/>
  <c r="O60" i="2"/>
  <c r="N60" i="2"/>
  <c r="U59" i="2"/>
  <c r="Q59" i="2"/>
  <c r="P59" i="2"/>
  <c r="O59" i="2"/>
  <c r="N59" i="2"/>
  <c r="U58" i="2"/>
  <c r="R58" i="2"/>
  <c r="Q58" i="2"/>
  <c r="P58" i="2"/>
  <c r="O58" i="2"/>
  <c r="N58" i="2"/>
  <c r="U57" i="2"/>
  <c r="Q57" i="2"/>
  <c r="P57" i="2"/>
  <c r="O57" i="2"/>
  <c r="N57" i="2"/>
  <c r="U56" i="2"/>
  <c r="Q56" i="2"/>
  <c r="P56" i="2"/>
  <c r="O56" i="2"/>
  <c r="N56" i="2"/>
  <c r="U55" i="2"/>
  <c r="Q55" i="2"/>
  <c r="P55" i="2"/>
  <c r="O55" i="2"/>
  <c r="N55" i="2"/>
  <c r="U54" i="2"/>
  <c r="R54" i="2"/>
  <c r="Q54" i="2"/>
  <c r="P54" i="2"/>
  <c r="O54" i="2"/>
  <c r="N54" i="2"/>
  <c r="U53" i="2"/>
  <c r="Q53" i="2"/>
  <c r="P53" i="2"/>
  <c r="O53" i="2"/>
  <c r="N53" i="2"/>
  <c r="U52" i="2"/>
  <c r="Q52" i="2"/>
  <c r="P52" i="2"/>
  <c r="O52" i="2"/>
  <c r="N52" i="2"/>
  <c r="U51" i="2"/>
  <c r="Q51" i="2"/>
  <c r="P51" i="2"/>
  <c r="O51" i="2"/>
  <c r="N51" i="2"/>
  <c r="U50" i="2"/>
  <c r="R50" i="2"/>
  <c r="Q50" i="2"/>
  <c r="P50" i="2"/>
  <c r="O50" i="2"/>
  <c r="N50" i="2"/>
  <c r="U49" i="2"/>
  <c r="R49" i="2"/>
  <c r="Q49" i="2"/>
  <c r="P49" i="2"/>
  <c r="O49" i="2"/>
  <c r="N49" i="2"/>
  <c r="U48" i="2"/>
  <c r="Q48" i="2"/>
  <c r="P48" i="2"/>
  <c r="O48" i="2"/>
  <c r="N48" i="2"/>
  <c r="U47" i="2"/>
  <c r="R47" i="2"/>
  <c r="Q47" i="2"/>
  <c r="P47" i="2"/>
  <c r="O47" i="2"/>
  <c r="N47" i="2"/>
  <c r="U46" i="2"/>
  <c r="R46" i="2"/>
  <c r="Q46" i="2"/>
  <c r="P46" i="2"/>
  <c r="O46" i="2"/>
  <c r="N46" i="2"/>
  <c r="U45" i="2"/>
  <c r="R45" i="2"/>
  <c r="Q45" i="2"/>
  <c r="P45" i="2"/>
  <c r="O45" i="2"/>
  <c r="N45" i="2"/>
  <c r="U44" i="2"/>
  <c r="T44" i="2"/>
  <c r="Q44" i="2"/>
  <c r="P44" i="2"/>
  <c r="O44" i="2"/>
  <c r="N44" i="2"/>
  <c r="U43" i="2"/>
  <c r="Q43" i="2"/>
  <c r="P43" i="2"/>
  <c r="O43" i="2"/>
  <c r="N43" i="2"/>
  <c r="U42" i="2"/>
  <c r="Q42" i="2"/>
  <c r="P42" i="2"/>
  <c r="O42" i="2"/>
  <c r="N42" i="2"/>
  <c r="U41" i="2"/>
  <c r="Q41" i="2"/>
  <c r="P41" i="2"/>
  <c r="O41" i="2"/>
  <c r="N41" i="2"/>
  <c r="U40" i="2"/>
  <c r="Q40" i="2"/>
  <c r="P40" i="2"/>
  <c r="O40" i="2"/>
  <c r="N40" i="2"/>
  <c r="U39" i="2"/>
  <c r="R39" i="2"/>
  <c r="Q39" i="2"/>
  <c r="P39" i="2"/>
  <c r="O39" i="2"/>
  <c r="N39" i="2"/>
  <c r="U38" i="2"/>
  <c r="R38" i="2"/>
  <c r="Q38" i="2"/>
  <c r="P38" i="2"/>
  <c r="O38" i="2"/>
  <c r="N38" i="2"/>
  <c r="U37" i="2"/>
  <c r="Q37" i="2"/>
  <c r="P37" i="2"/>
  <c r="O37" i="2"/>
  <c r="N37" i="2"/>
  <c r="U36" i="2"/>
  <c r="Q36" i="2"/>
  <c r="P36" i="2"/>
  <c r="O36" i="2"/>
  <c r="N36" i="2"/>
  <c r="U35" i="2"/>
  <c r="Q35" i="2"/>
  <c r="P35" i="2"/>
  <c r="O35" i="2"/>
  <c r="N35" i="2"/>
  <c r="U34" i="2"/>
  <c r="Q34" i="2"/>
  <c r="P34" i="2"/>
  <c r="O34" i="2"/>
  <c r="N34" i="2"/>
  <c r="U33" i="2"/>
  <c r="R33" i="2"/>
  <c r="Q33" i="2"/>
  <c r="P33" i="2"/>
  <c r="O33" i="2"/>
  <c r="N33" i="2"/>
  <c r="U32" i="2"/>
  <c r="Q32" i="2"/>
  <c r="P32" i="2"/>
  <c r="O32" i="2"/>
  <c r="N32" i="2"/>
  <c r="U31" i="2"/>
  <c r="R31" i="2"/>
  <c r="Q31" i="2"/>
  <c r="P31" i="2"/>
  <c r="O31" i="2"/>
  <c r="N31" i="2"/>
  <c r="U30" i="2"/>
  <c r="R30" i="2"/>
  <c r="Q30" i="2"/>
  <c r="P30" i="2"/>
  <c r="O30" i="2"/>
  <c r="N30" i="2"/>
  <c r="U29" i="2"/>
  <c r="R29" i="2"/>
  <c r="Q29" i="2"/>
  <c r="P29" i="2"/>
  <c r="O29" i="2"/>
  <c r="N29" i="2"/>
  <c r="U28" i="2"/>
  <c r="R28" i="2"/>
  <c r="Q28" i="2"/>
  <c r="P28" i="2"/>
  <c r="O28" i="2"/>
  <c r="N28" i="2"/>
  <c r="U27" i="2"/>
  <c r="Q27" i="2"/>
  <c r="P27" i="2"/>
  <c r="O27" i="2"/>
  <c r="N27" i="2"/>
  <c r="U26" i="2"/>
  <c r="Q26" i="2"/>
  <c r="P26" i="2"/>
  <c r="O26" i="2"/>
  <c r="N26" i="2"/>
  <c r="U25" i="2"/>
  <c r="Q25" i="2"/>
  <c r="P25" i="2"/>
  <c r="O25" i="2"/>
  <c r="N25" i="2"/>
  <c r="U24" i="2"/>
  <c r="Q24" i="2"/>
  <c r="P24" i="2"/>
  <c r="O24" i="2"/>
  <c r="N24" i="2"/>
  <c r="U23" i="2"/>
  <c r="Q23" i="2"/>
  <c r="P23" i="2"/>
  <c r="O23" i="2"/>
  <c r="N23" i="2"/>
  <c r="U22" i="2"/>
  <c r="R22" i="2"/>
  <c r="Q22" i="2"/>
  <c r="P22" i="2"/>
  <c r="O22" i="2"/>
  <c r="N22" i="2"/>
  <c r="U21" i="2"/>
  <c r="Q21" i="2"/>
  <c r="P21" i="2"/>
  <c r="O21" i="2"/>
  <c r="N21" i="2"/>
  <c r="U20" i="2"/>
  <c r="Q20" i="2"/>
  <c r="P20" i="2"/>
  <c r="O20" i="2"/>
  <c r="N20" i="2"/>
  <c r="U19" i="2"/>
  <c r="Q19" i="2"/>
  <c r="P19" i="2"/>
  <c r="O19" i="2"/>
  <c r="N19" i="2"/>
  <c r="U18" i="2"/>
  <c r="Q18" i="2"/>
  <c r="P18" i="2"/>
  <c r="O18" i="2"/>
  <c r="N18" i="2"/>
  <c r="U17" i="2"/>
  <c r="Q17" i="2"/>
  <c r="P17" i="2"/>
  <c r="O17" i="2"/>
  <c r="N17" i="2"/>
  <c r="U16" i="2"/>
  <c r="Q16" i="2"/>
  <c r="P16" i="2"/>
  <c r="O16" i="2"/>
  <c r="N16" i="2"/>
  <c r="U15" i="2"/>
  <c r="R15" i="2"/>
  <c r="Q15" i="2"/>
  <c r="P15" i="2"/>
  <c r="O15" i="2"/>
  <c r="N15" i="2"/>
  <c r="U14" i="2"/>
  <c r="Q14" i="2"/>
  <c r="P14" i="2"/>
  <c r="O14" i="2"/>
  <c r="N14" i="2"/>
  <c r="U13" i="2"/>
  <c r="R13" i="2"/>
  <c r="Q13" i="2"/>
  <c r="P13" i="2"/>
  <c r="O13" i="2"/>
  <c r="N13" i="2"/>
  <c r="U12" i="2"/>
  <c r="T12" i="2"/>
  <c r="R12" i="2"/>
  <c r="Q12" i="2"/>
  <c r="P12" i="2"/>
  <c r="O12" i="2"/>
  <c r="N12" i="2"/>
  <c r="U11" i="2"/>
  <c r="R11" i="2"/>
  <c r="Q11" i="2"/>
  <c r="P11" i="2"/>
  <c r="O11" i="2"/>
  <c r="N11" i="2"/>
  <c r="U10" i="2"/>
  <c r="Q10" i="2"/>
  <c r="P10" i="2"/>
  <c r="O10" i="2"/>
  <c r="N10" i="2"/>
  <c r="U9" i="2"/>
  <c r="Q9" i="2"/>
  <c r="P9" i="2"/>
  <c r="O9" i="2"/>
  <c r="N9" i="2"/>
  <c r="U8" i="2"/>
  <c r="Q8" i="2"/>
  <c r="P8" i="2"/>
  <c r="O8" i="2"/>
  <c r="N8" i="2"/>
  <c r="U7" i="2"/>
  <c r="Q7" i="2"/>
  <c r="P7" i="2"/>
  <c r="O7" i="2"/>
  <c r="N7" i="2"/>
  <c r="U6" i="2"/>
  <c r="R6" i="2"/>
  <c r="Q6" i="2"/>
  <c r="P6" i="2"/>
  <c r="O6" i="2"/>
  <c r="N6" i="2"/>
  <c r="U5" i="2"/>
  <c r="Q5" i="2"/>
  <c r="P5" i="2"/>
  <c r="O5" i="2"/>
  <c r="N5" i="2"/>
  <c r="U4" i="2"/>
  <c r="Q4" i="2"/>
  <c r="P4" i="2"/>
  <c r="O4" i="2"/>
  <c r="N4" i="2"/>
  <c r="U3" i="2"/>
  <c r="Q3" i="2"/>
  <c r="P3" i="2"/>
  <c r="O3" i="2"/>
  <c r="N3" i="2"/>
  <c r="U2" i="2"/>
  <c r="T2" i="2"/>
  <c r="Q2" i="2"/>
  <c r="O2" i="2"/>
  <c r="O1002" i="2" s="1"/>
  <c r="N2" i="2"/>
  <c r="Q1002" i="2" l="1"/>
  <c r="U1002" i="2"/>
  <c r="N1002" i="2"/>
  <c r="S998" i="2" l="1"/>
  <c r="T998" i="2"/>
  <c r="S994" i="2"/>
  <c r="T994" i="2"/>
  <c r="S990" i="2"/>
  <c r="T990" i="2"/>
  <c r="S986" i="2"/>
  <c r="T986" i="2"/>
  <c r="R986" i="2"/>
  <c r="T982" i="2"/>
  <c r="R982" i="2"/>
  <c r="S982" i="2"/>
  <c r="T978" i="2"/>
  <c r="S978" i="2"/>
  <c r="S974" i="2"/>
  <c r="T974" i="2"/>
  <c r="T970" i="2"/>
  <c r="S970" i="2"/>
  <c r="T966" i="2"/>
  <c r="S966" i="2"/>
  <c r="S962" i="2"/>
  <c r="T962" i="2"/>
  <c r="R962" i="2"/>
  <c r="S958" i="2"/>
  <c r="T958" i="2"/>
  <c r="T954" i="2"/>
  <c r="S954" i="2"/>
  <c r="R954" i="2"/>
  <c r="S950" i="2"/>
  <c r="T950" i="2"/>
  <c r="S946" i="2"/>
  <c r="T946" i="2"/>
  <c r="S942" i="2"/>
  <c r="T942" i="2"/>
  <c r="S938" i="2"/>
  <c r="R938" i="2"/>
  <c r="T938" i="2"/>
  <c r="S934" i="2"/>
  <c r="T934" i="2"/>
  <c r="S930" i="2"/>
  <c r="T930" i="2"/>
  <c r="R930" i="2"/>
  <c r="R926" i="2"/>
  <c r="S926" i="2"/>
  <c r="T926" i="2"/>
  <c r="S922" i="2"/>
  <c r="T922" i="2"/>
  <c r="S918" i="2"/>
  <c r="R918" i="2"/>
  <c r="T918" i="2"/>
  <c r="S914" i="2"/>
  <c r="T914" i="2"/>
  <c r="R914" i="2"/>
  <c r="T910" i="2"/>
  <c r="R910" i="2"/>
  <c r="S910" i="2"/>
  <c r="T906" i="2"/>
  <c r="S906" i="2"/>
  <c r="S902" i="2"/>
  <c r="R902" i="2"/>
  <c r="T902" i="2"/>
  <c r="T898" i="2"/>
  <c r="S898" i="2"/>
  <c r="R898" i="2"/>
  <c r="S894" i="2"/>
  <c r="T894" i="2"/>
  <c r="R894" i="2"/>
  <c r="T890" i="2"/>
  <c r="S890" i="2"/>
  <c r="R890" i="2"/>
  <c r="T886" i="2"/>
  <c r="S886" i="2"/>
  <c r="T882" i="2"/>
  <c r="S882" i="2"/>
  <c r="S878" i="2"/>
  <c r="T878" i="2"/>
  <c r="R878" i="2"/>
  <c r="S874" i="2"/>
  <c r="T874" i="2"/>
  <c r="T870" i="2"/>
  <c r="R870" i="2"/>
  <c r="S870" i="2"/>
  <c r="S866" i="2"/>
  <c r="R866" i="2"/>
  <c r="T866" i="2"/>
  <c r="R862" i="2"/>
  <c r="S862" i="2"/>
  <c r="T862" i="2"/>
  <c r="T858" i="2"/>
  <c r="S858" i="2"/>
  <c r="R854" i="2"/>
  <c r="S854" i="2"/>
  <c r="T854" i="2"/>
  <c r="S850" i="2"/>
  <c r="T850" i="2"/>
  <c r="R850" i="2"/>
  <c r="S846" i="2"/>
  <c r="T846" i="2"/>
  <c r="R846" i="2"/>
  <c r="T842" i="2"/>
  <c r="R842" i="2"/>
  <c r="S842" i="2"/>
  <c r="T838" i="2"/>
  <c r="S838" i="2"/>
  <c r="T834" i="2"/>
  <c r="S834" i="2"/>
  <c r="R830" i="2"/>
  <c r="S830" i="2"/>
  <c r="T830" i="2"/>
  <c r="S826" i="2"/>
  <c r="T826" i="2"/>
  <c r="T822" i="2"/>
  <c r="S822" i="2"/>
  <c r="S818" i="2"/>
  <c r="T818" i="2"/>
  <c r="T814" i="2"/>
  <c r="R814" i="2"/>
  <c r="S814" i="2"/>
  <c r="S810" i="2"/>
  <c r="R810" i="2"/>
  <c r="T810" i="2"/>
  <c r="S806" i="2"/>
  <c r="T806" i="2"/>
  <c r="R806" i="2"/>
  <c r="S802" i="2"/>
  <c r="R802" i="2"/>
  <c r="S798" i="2"/>
  <c r="R798" i="2"/>
  <c r="R794" i="2"/>
  <c r="T794" i="2"/>
  <c r="S794" i="2"/>
  <c r="S790" i="2"/>
  <c r="T790" i="2"/>
  <c r="T786" i="2"/>
  <c r="S786" i="2"/>
  <c r="R786" i="2"/>
  <c r="S782" i="2"/>
  <c r="T782" i="2"/>
  <c r="R782" i="2"/>
  <c r="T778" i="2"/>
  <c r="S778" i="2"/>
  <c r="R778" i="2"/>
  <c r="S774" i="2"/>
  <c r="T774" i="2"/>
  <c r="S770" i="2"/>
  <c r="T770" i="2"/>
  <c r="R766" i="2"/>
  <c r="S766" i="2"/>
  <c r="T766" i="2"/>
  <c r="T762" i="2"/>
  <c r="S762" i="2"/>
  <c r="S758" i="2"/>
  <c r="T758" i="2"/>
  <c r="R758" i="2"/>
  <c r="R754" i="2"/>
  <c r="T754" i="2"/>
  <c r="S754" i="2"/>
  <c r="T750" i="2"/>
  <c r="R750" i="2"/>
  <c r="S750" i="2"/>
  <c r="T746" i="2"/>
  <c r="S746" i="2"/>
  <c r="R746" i="2"/>
  <c r="S742" i="2"/>
  <c r="R742" i="2"/>
  <c r="T742" i="2"/>
  <c r="R738" i="2"/>
  <c r="S738" i="2"/>
  <c r="T738" i="2"/>
  <c r="T734" i="2"/>
  <c r="S734" i="2"/>
  <c r="R734" i="2"/>
  <c r="R730" i="2"/>
  <c r="T730" i="2"/>
  <c r="S730" i="2"/>
  <c r="R726" i="2"/>
  <c r="S726" i="2"/>
  <c r="T726" i="2"/>
  <c r="T722" i="2"/>
  <c r="S722" i="2"/>
  <c r="T718" i="2"/>
  <c r="S718" i="2"/>
  <c r="R714" i="2"/>
  <c r="S714" i="2"/>
  <c r="T714" i="2"/>
  <c r="T710" i="2"/>
  <c r="R710" i="2"/>
  <c r="S710" i="2"/>
  <c r="S706" i="2"/>
  <c r="T706" i="2"/>
  <c r="S702" i="2"/>
  <c r="T702" i="2"/>
  <c r="R702" i="2"/>
  <c r="S698" i="2"/>
  <c r="T698" i="2"/>
  <c r="R698" i="2"/>
  <c r="S694" i="2"/>
  <c r="R694" i="2"/>
  <c r="T694" i="2"/>
  <c r="S690" i="2"/>
  <c r="R690" i="2"/>
  <c r="T690" i="2"/>
  <c r="S686" i="2"/>
  <c r="T686" i="2"/>
  <c r="T682" i="2"/>
  <c r="S682" i="2"/>
  <c r="T678" i="2"/>
  <c r="R678" i="2"/>
  <c r="S678" i="2"/>
  <c r="R674" i="2"/>
  <c r="S674" i="2"/>
  <c r="T674" i="2"/>
  <c r="R670" i="2"/>
  <c r="S670" i="2"/>
  <c r="T670" i="2"/>
  <c r="S666" i="2"/>
  <c r="R666" i="2"/>
  <c r="T666" i="2"/>
  <c r="T1001" i="2"/>
  <c r="R1001" i="2"/>
  <c r="S1001" i="2"/>
  <c r="T997" i="2"/>
  <c r="S997" i="2"/>
  <c r="R993" i="2"/>
  <c r="T993" i="2"/>
  <c r="S993" i="2"/>
  <c r="R989" i="2"/>
  <c r="T989" i="2"/>
  <c r="S989" i="2"/>
  <c r="S985" i="2"/>
  <c r="T985" i="2"/>
  <c r="T981" i="2"/>
  <c r="S981" i="2"/>
  <c r="R981" i="2"/>
  <c r="R977" i="2"/>
  <c r="S977" i="2"/>
  <c r="T977" i="2"/>
  <c r="T973" i="2"/>
  <c r="S973" i="2"/>
  <c r="R973" i="2"/>
  <c r="S969" i="2"/>
  <c r="T969" i="2"/>
  <c r="R969" i="2"/>
  <c r="T965" i="2"/>
  <c r="S965" i="2"/>
  <c r="R965" i="2"/>
  <c r="T961" i="2"/>
  <c r="R961" i="2"/>
  <c r="S961" i="2"/>
  <c r="T957" i="2"/>
  <c r="S957" i="2"/>
  <c r="R957" i="2"/>
  <c r="S953" i="2"/>
  <c r="T953" i="2"/>
  <c r="R953" i="2"/>
  <c r="S949" i="2"/>
  <c r="R949" i="2"/>
  <c r="T949" i="2"/>
  <c r="T945" i="2"/>
  <c r="S945" i="2"/>
  <c r="T941" i="2"/>
  <c r="S941" i="2"/>
  <c r="S937" i="2"/>
  <c r="T937" i="2"/>
  <c r="S933" i="2"/>
  <c r="T933" i="2"/>
  <c r="S929" i="2"/>
  <c r="R929" i="2"/>
  <c r="T929" i="2"/>
  <c r="S925" i="2"/>
  <c r="T925" i="2"/>
  <c r="R925" i="2"/>
  <c r="T921" i="2"/>
  <c r="R921" i="2"/>
  <c r="S921" i="2"/>
  <c r="S917" i="2"/>
  <c r="R917" i="2"/>
  <c r="T917" i="2"/>
  <c r="T913" i="2"/>
  <c r="S913" i="2"/>
  <c r="R913" i="2"/>
  <c r="T909" i="2"/>
  <c r="R909" i="2"/>
  <c r="S909" i="2"/>
  <c r="R905" i="2"/>
  <c r="S905" i="2"/>
  <c r="T905" i="2"/>
  <c r="S901" i="2"/>
  <c r="T901" i="2"/>
  <c r="S897" i="2"/>
  <c r="T897" i="2"/>
  <c r="R897" i="2"/>
  <c r="R893" i="2"/>
  <c r="T893" i="2"/>
  <c r="S893" i="2"/>
  <c r="T889" i="2"/>
  <c r="S889" i="2"/>
  <c r="T885" i="2"/>
  <c r="S885" i="2"/>
  <c r="R881" i="2"/>
  <c r="T881" i="2"/>
  <c r="S881" i="2"/>
  <c r="T877" i="2"/>
  <c r="R877" i="2"/>
  <c r="S877" i="2"/>
  <c r="S873" i="2"/>
  <c r="T873" i="2"/>
  <c r="S869" i="2"/>
  <c r="T869" i="2"/>
  <c r="S865" i="2"/>
  <c r="T865" i="2"/>
  <c r="S861" i="2"/>
  <c r="T861" i="2"/>
  <c r="R861" i="2"/>
  <c r="R857" i="2"/>
  <c r="T857" i="2"/>
  <c r="S857" i="2"/>
  <c r="S853" i="2"/>
  <c r="T853" i="2"/>
  <c r="T849" i="2"/>
  <c r="S849" i="2"/>
  <c r="R845" i="2"/>
  <c r="T845" i="2"/>
  <c r="S845" i="2"/>
  <c r="S841" i="2"/>
  <c r="R841" i="2"/>
  <c r="T841" i="2"/>
  <c r="S837" i="2"/>
  <c r="T837" i="2"/>
  <c r="S833" i="2"/>
  <c r="T833" i="2"/>
  <c r="R833" i="2"/>
  <c r="R829" i="2"/>
  <c r="S829" i="2"/>
  <c r="T829" i="2"/>
  <c r="T825" i="2"/>
  <c r="S825" i="2"/>
  <c r="T821" i="2"/>
  <c r="S821" i="2"/>
  <c r="R817" i="2"/>
  <c r="S817" i="2"/>
  <c r="T817" i="2"/>
  <c r="S813" i="2"/>
  <c r="T813" i="2"/>
  <c r="R813" i="2"/>
  <c r="S809" i="2"/>
  <c r="T809" i="2"/>
  <c r="R809" i="2"/>
  <c r="T805" i="2"/>
  <c r="R805" i="2"/>
  <c r="S805" i="2"/>
  <c r="R801" i="2"/>
  <c r="T801" i="2"/>
  <c r="S801" i="2"/>
  <c r="S797" i="2"/>
  <c r="T797" i="2"/>
  <c r="T793" i="2"/>
  <c r="R793" i="2"/>
  <c r="S793" i="2"/>
  <c r="S789" i="2"/>
  <c r="T789" i="2"/>
  <c r="R789" i="2"/>
  <c r="T785" i="2"/>
  <c r="S785" i="2"/>
  <c r="R785" i="2"/>
  <c r="R781" i="2"/>
  <c r="T781" i="2"/>
  <c r="S781" i="2"/>
  <c r="T777" i="2"/>
  <c r="S777" i="2"/>
  <c r="T773" i="2"/>
  <c r="S773" i="2"/>
  <c r="R773" i="2"/>
  <c r="T769" i="2"/>
  <c r="S769" i="2"/>
  <c r="T765" i="2"/>
  <c r="S765" i="2"/>
  <c r="T761" i="2"/>
  <c r="S761" i="2"/>
  <c r="T757" i="2"/>
  <c r="S757" i="2"/>
  <c r="R757" i="2"/>
  <c r="S753" i="2"/>
  <c r="T753" i="2"/>
  <c r="R753" i="2"/>
  <c r="R749" i="2"/>
  <c r="T749" i="2"/>
  <c r="S749" i="2"/>
  <c r="T745" i="2"/>
  <c r="R745" i="2"/>
  <c r="S745" i="2"/>
  <c r="T741" i="2"/>
  <c r="S741" i="2"/>
  <c r="T737" i="2"/>
  <c r="R737" i="2"/>
  <c r="S737" i="2"/>
  <c r="S733" i="2"/>
  <c r="T733" i="2"/>
  <c r="R733" i="2"/>
  <c r="R729" i="2"/>
  <c r="S729" i="2"/>
  <c r="S725" i="2"/>
  <c r="T725" i="2"/>
  <c r="T721" i="2"/>
  <c r="R721" i="2"/>
  <c r="S721" i="2"/>
  <c r="T717" i="2"/>
  <c r="S717" i="2"/>
  <c r="R713" i="2"/>
  <c r="S713" i="2"/>
  <c r="T713" i="2"/>
  <c r="T709" i="2"/>
  <c r="R709" i="2"/>
  <c r="S709" i="2"/>
  <c r="S705" i="2"/>
  <c r="R705" i="2"/>
  <c r="T705" i="2"/>
  <c r="R701" i="2"/>
  <c r="S701" i="2"/>
  <c r="T701" i="2"/>
  <c r="S693" i="2"/>
  <c r="R693" i="2"/>
  <c r="T693" i="2"/>
  <c r="T689" i="2"/>
  <c r="S689" i="2"/>
  <c r="R685" i="2"/>
  <c r="S685" i="2"/>
  <c r="T685" i="2"/>
  <c r="S681" i="2"/>
  <c r="T681" i="2"/>
  <c r="T677" i="2"/>
  <c r="R677" i="2"/>
  <c r="S677" i="2"/>
  <c r="S673" i="2"/>
  <c r="R673" i="2"/>
  <c r="T673" i="2"/>
  <c r="S669" i="2"/>
  <c r="T669" i="2"/>
  <c r="R669" i="2"/>
  <c r="T665" i="2"/>
  <c r="S665" i="2"/>
  <c r="R665" i="2"/>
  <c r="S1000" i="2"/>
  <c r="R1000" i="2"/>
  <c r="T1000" i="2"/>
  <c r="T996" i="2"/>
  <c r="S996" i="2"/>
  <c r="R996" i="2"/>
  <c r="R992" i="2"/>
  <c r="T992" i="2"/>
  <c r="S992" i="2"/>
  <c r="S988" i="2"/>
  <c r="T988" i="2"/>
  <c r="R984" i="2"/>
  <c r="T984" i="2"/>
  <c r="S984" i="2"/>
  <c r="T980" i="2"/>
  <c r="R980" i="2"/>
  <c r="S980" i="2"/>
  <c r="T976" i="2"/>
  <c r="R976" i="2"/>
  <c r="S976" i="2"/>
  <c r="T972" i="2"/>
  <c r="S972" i="2"/>
  <c r="R972" i="2"/>
  <c r="R968" i="2"/>
  <c r="S968" i="2"/>
  <c r="T968" i="2"/>
  <c r="T964" i="2"/>
  <c r="R964" i="2"/>
  <c r="S964" i="2"/>
  <c r="T960" i="2"/>
  <c r="R960" i="2"/>
  <c r="S960" i="2"/>
  <c r="S956" i="2"/>
  <c r="T956" i="2"/>
  <c r="T952" i="2"/>
  <c r="S952" i="2"/>
  <c r="T948" i="2"/>
  <c r="S948" i="2"/>
  <c r="R944" i="2"/>
  <c r="S944" i="2"/>
  <c r="T944" i="2"/>
  <c r="T940" i="2"/>
  <c r="S940" i="2"/>
  <c r="R936" i="2"/>
  <c r="T936" i="2"/>
  <c r="S936" i="2"/>
  <c r="S932" i="2"/>
  <c r="T932" i="2"/>
  <c r="S928" i="2"/>
  <c r="R928" i="2"/>
  <c r="T928" i="2"/>
  <c r="T924" i="2"/>
  <c r="R924" i="2"/>
  <c r="S924" i="2"/>
  <c r="R920" i="2"/>
  <c r="S920" i="2"/>
  <c r="T920" i="2"/>
  <c r="T916" i="2"/>
  <c r="S916" i="2"/>
  <c r="R912" i="2"/>
  <c r="S912" i="2"/>
  <c r="T912" i="2"/>
  <c r="T908" i="2"/>
  <c r="R908" i="2"/>
  <c r="S908" i="2"/>
  <c r="T904" i="2"/>
  <c r="R904" i="2"/>
  <c r="S904" i="2"/>
  <c r="S900" i="2"/>
  <c r="T900" i="2"/>
  <c r="R896" i="2"/>
  <c r="T896" i="2"/>
  <c r="S896" i="2"/>
  <c r="R892" i="2"/>
  <c r="T892" i="2"/>
  <c r="S892" i="2"/>
  <c r="S888" i="2"/>
  <c r="R888" i="2"/>
  <c r="T888" i="2"/>
  <c r="T884" i="2"/>
  <c r="S884" i="2"/>
  <c r="R884" i="2"/>
  <c r="R880" i="2"/>
  <c r="S880" i="2"/>
  <c r="T880" i="2"/>
  <c r="R876" i="2"/>
  <c r="T876" i="2"/>
  <c r="S876" i="2"/>
  <c r="T872" i="2"/>
  <c r="S872" i="2"/>
  <c r="S999" i="2"/>
  <c r="T999" i="2"/>
  <c r="S983" i="2"/>
  <c r="T983" i="2"/>
  <c r="R983" i="2"/>
  <c r="T967" i="2"/>
  <c r="R967" i="2"/>
  <c r="S967" i="2"/>
  <c r="T951" i="2"/>
  <c r="S951" i="2"/>
  <c r="R935" i="2"/>
  <c r="T935" i="2"/>
  <c r="S935" i="2"/>
  <c r="T919" i="2"/>
  <c r="S919" i="2"/>
  <c r="T903" i="2"/>
  <c r="S903" i="2"/>
  <c r="R903" i="2"/>
  <c r="T887" i="2"/>
  <c r="S887" i="2"/>
  <c r="R887" i="2"/>
  <c r="T871" i="2"/>
  <c r="S871" i="2"/>
  <c r="S697" i="2"/>
  <c r="R863" i="2"/>
  <c r="T863" i="2"/>
  <c r="S863" i="2"/>
  <c r="T855" i="2"/>
  <c r="R855" i="2"/>
  <c r="S855" i="2"/>
  <c r="R847" i="2"/>
  <c r="S847" i="2"/>
  <c r="T847" i="2"/>
  <c r="S839" i="2"/>
  <c r="R839" i="2"/>
  <c r="T839" i="2"/>
  <c r="S831" i="2"/>
  <c r="T831" i="2"/>
  <c r="S823" i="2"/>
  <c r="R823" i="2"/>
  <c r="T823" i="2"/>
  <c r="T815" i="2"/>
  <c r="S815" i="2"/>
  <c r="S807" i="2"/>
  <c r="R807" i="2"/>
  <c r="T807" i="2"/>
  <c r="S799" i="2"/>
  <c r="R799" i="2"/>
  <c r="T799" i="2"/>
  <c r="T791" i="2"/>
  <c r="S791" i="2"/>
  <c r="S783" i="2"/>
  <c r="T783" i="2"/>
  <c r="R783" i="2"/>
  <c r="S775" i="2"/>
  <c r="R775" i="2"/>
  <c r="S767" i="2"/>
  <c r="T767" i="2"/>
  <c r="R767" i="2"/>
  <c r="T759" i="2"/>
  <c r="R759" i="2"/>
  <c r="S759" i="2"/>
  <c r="S751" i="2"/>
  <c r="T751" i="2"/>
  <c r="R751" i="2"/>
  <c r="R743" i="2"/>
  <c r="S743" i="2"/>
  <c r="T743" i="2"/>
  <c r="S735" i="2"/>
  <c r="T735" i="2"/>
  <c r="R727" i="2"/>
  <c r="S727" i="2"/>
  <c r="T727" i="2"/>
  <c r="S719" i="2"/>
  <c r="T719" i="2"/>
  <c r="R719" i="2"/>
  <c r="S711" i="2"/>
  <c r="T711" i="2"/>
  <c r="R711" i="2"/>
  <c r="S703" i="2"/>
  <c r="T703" i="2"/>
  <c r="T695" i="2"/>
  <c r="S695" i="2"/>
  <c r="T687" i="2"/>
  <c r="S687" i="2"/>
  <c r="R687" i="2"/>
  <c r="S679" i="2"/>
  <c r="T679" i="2"/>
  <c r="S671" i="2"/>
  <c r="T671" i="2"/>
  <c r="R671" i="2"/>
  <c r="T663" i="2"/>
  <c r="S663" i="2"/>
  <c r="T659" i="2"/>
  <c r="S659" i="2"/>
  <c r="R659" i="2"/>
  <c r="T655" i="2"/>
  <c r="S655" i="2"/>
  <c r="T651" i="2"/>
  <c r="S651" i="2"/>
  <c r="R651" i="2"/>
  <c r="S647" i="2"/>
  <c r="T647" i="2"/>
  <c r="R643" i="2"/>
  <c r="S643" i="2"/>
  <c r="T643" i="2"/>
  <c r="R639" i="2"/>
  <c r="T639" i="2"/>
  <c r="S639" i="2"/>
  <c r="T635" i="2"/>
  <c r="S635" i="2"/>
  <c r="R635" i="2"/>
  <c r="T631" i="2"/>
  <c r="S631" i="2"/>
  <c r="R631" i="2"/>
  <c r="S627" i="2"/>
  <c r="R627" i="2"/>
  <c r="T627" i="2"/>
  <c r="S623" i="2"/>
  <c r="T623" i="2"/>
  <c r="T619" i="2"/>
  <c r="S619" i="2"/>
  <c r="R619" i="2"/>
  <c r="S615" i="2"/>
  <c r="R615" i="2"/>
  <c r="T615" i="2"/>
  <c r="S611" i="2"/>
  <c r="T611" i="2"/>
  <c r="R611" i="2"/>
  <c r="S607" i="2"/>
  <c r="T607" i="2"/>
  <c r="R607" i="2"/>
  <c r="T603" i="2"/>
  <c r="S603" i="2"/>
  <c r="T599" i="2"/>
  <c r="S599" i="2"/>
  <c r="S595" i="2"/>
  <c r="T595" i="2"/>
  <c r="S591" i="2"/>
  <c r="T591" i="2"/>
  <c r="R591" i="2"/>
  <c r="T587" i="2"/>
  <c r="R587" i="2"/>
  <c r="S587" i="2"/>
  <c r="R583" i="2"/>
  <c r="S583" i="2"/>
  <c r="T583" i="2"/>
  <c r="R579" i="2"/>
  <c r="T579" i="2"/>
  <c r="S579" i="2"/>
  <c r="S575" i="2"/>
  <c r="T575" i="2"/>
  <c r="S571" i="2"/>
  <c r="T571" i="2"/>
  <c r="R571" i="2"/>
  <c r="S567" i="2"/>
  <c r="T567" i="2"/>
  <c r="T563" i="2"/>
  <c r="R563" i="2"/>
  <c r="S563" i="2"/>
  <c r="S559" i="2"/>
  <c r="T559" i="2"/>
  <c r="S555" i="2"/>
  <c r="T555" i="2"/>
  <c r="R551" i="2"/>
  <c r="S551" i="2"/>
  <c r="T551" i="2"/>
  <c r="S547" i="2"/>
  <c r="R547" i="2"/>
  <c r="T547" i="2"/>
  <c r="R543" i="2"/>
  <c r="T543" i="2"/>
  <c r="S543" i="2"/>
  <c r="T539" i="2"/>
  <c r="S539" i="2"/>
  <c r="R539" i="2"/>
  <c r="S535" i="2"/>
  <c r="T535" i="2"/>
  <c r="T531" i="2"/>
  <c r="S531" i="2"/>
  <c r="R531" i="2"/>
  <c r="R527" i="2"/>
  <c r="S527" i="2"/>
  <c r="T527" i="2"/>
  <c r="T523" i="2"/>
  <c r="S523" i="2"/>
  <c r="R523" i="2"/>
  <c r="T519" i="2"/>
  <c r="R519" i="2"/>
  <c r="S519" i="2"/>
  <c r="T515" i="2"/>
  <c r="S515" i="2"/>
  <c r="S511" i="2"/>
  <c r="R511" i="2"/>
  <c r="T511" i="2"/>
  <c r="S507" i="2"/>
  <c r="R507" i="2"/>
  <c r="T507" i="2"/>
  <c r="T503" i="2"/>
  <c r="S503" i="2"/>
  <c r="R503" i="2"/>
  <c r="S499" i="2"/>
  <c r="T499" i="2"/>
  <c r="T495" i="2"/>
  <c r="S495" i="2"/>
  <c r="R495" i="2"/>
  <c r="R491" i="2"/>
  <c r="T491" i="2"/>
  <c r="S491" i="2"/>
  <c r="S487" i="2"/>
  <c r="T487" i="2"/>
  <c r="R483" i="2"/>
  <c r="T483" i="2"/>
  <c r="S483" i="2"/>
  <c r="T479" i="2"/>
  <c r="S479" i="2"/>
  <c r="R475" i="2"/>
  <c r="T475" i="2"/>
  <c r="S475" i="2"/>
  <c r="S471" i="2"/>
  <c r="T471" i="2"/>
  <c r="S467" i="2"/>
  <c r="R463" i="2"/>
  <c r="S463" i="2"/>
  <c r="T463" i="2"/>
  <c r="S995" i="2"/>
  <c r="R995" i="2"/>
  <c r="T995" i="2"/>
  <c r="S979" i="2"/>
  <c r="R979" i="2"/>
  <c r="T979" i="2"/>
  <c r="S963" i="2"/>
  <c r="R963" i="2"/>
  <c r="T963" i="2"/>
  <c r="S947" i="2"/>
  <c r="R947" i="2"/>
  <c r="T947" i="2"/>
  <c r="T931" i="2"/>
  <c r="S931" i="2"/>
  <c r="R931" i="2"/>
  <c r="R915" i="2"/>
  <c r="S915" i="2"/>
  <c r="T915" i="2"/>
  <c r="T899" i="2"/>
  <c r="S899" i="2"/>
  <c r="R899" i="2"/>
  <c r="S883" i="2"/>
  <c r="T883" i="2"/>
  <c r="S868" i="2"/>
  <c r="T868" i="2"/>
  <c r="R868" i="2"/>
  <c r="T860" i="2"/>
  <c r="S860" i="2"/>
  <c r="R860" i="2"/>
  <c r="T852" i="2"/>
  <c r="R852" i="2"/>
  <c r="S852" i="2"/>
  <c r="S844" i="2"/>
  <c r="R844" i="2"/>
  <c r="T844" i="2"/>
  <c r="T836" i="2"/>
  <c r="R836" i="2"/>
  <c r="S836" i="2"/>
  <c r="T828" i="2"/>
  <c r="R828" i="2"/>
  <c r="S828" i="2"/>
  <c r="R820" i="2"/>
  <c r="T820" i="2"/>
  <c r="S820" i="2"/>
  <c r="R812" i="2"/>
  <c r="T812" i="2"/>
  <c r="S812" i="2"/>
  <c r="S804" i="2"/>
  <c r="T804" i="2"/>
  <c r="R804" i="2"/>
  <c r="T796" i="2"/>
  <c r="R796" i="2"/>
  <c r="S796" i="2"/>
  <c r="T788" i="2"/>
  <c r="S788" i="2"/>
  <c r="T780" i="2"/>
  <c r="S780" i="2"/>
  <c r="R780" i="2"/>
  <c r="R772" i="2"/>
  <c r="S772" i="2"/>
  <c r="T772" i="2"/>
  <c r="T764" i="2"/>
  <c r="S764" i="2"/>
  <c r="R764" i="2"/>
  <c r="S756" i="2"/>
  <c r="T756" i="2"/>
  <c r="R756" i="2"/>
  <c r="S748" i="2"/>
  <c r="R748" i="2"/>
  <c r="T748" i="2"/>
  <c r="T740" i="2"/>
  <c r="S740" i="2"/>
  <c r="S732" i="2"/>
  <c r="T732" i="2"/>
  <c r="T724" i="2"/>
  <c r="S724" i="2"/>
  <c r="T716" i="2"/>
  <c r="S716" i="2"/>
  <c r="R716" i="2"/>
  <c r="T708" i="2"/>
  <c r="S708" i="2"/>
  <c r="R708" i="2"/>
  <c r="S700" i="2"/>
  <c r="T700" i="2"/>
  <c r="R700" i="2"/>
  <c r="R692" i="2"/>
  <c r="S692" i="2"/>
  <c r="T692" i="2"/>
  <c r="R684" i="2"/>
  <c r="S684" i="2"/>
  <c r="T684" i="2"/>
  <c r="T676" i="2"/>
  <c r="R676" i="2"/>
  <c r="S676" i="2"/>
  <c r="S668" i="2"/>
  <c r="T668" i="2"/>
  <c r="R668" i="2"/>
  <c r="T662" i="2"/>
  <c r="R662" i="2"/>
  <c r="S662" i="2"/>
  <c r="R658" i="2"/>
  <c r="T658" i="2"/>
  <c r="S658" i="2"/>
  <c r="T654" i="2"/>
  <c r="R654" i="2"/>
  <c r="S654" i="2"/>
  <c r="T650" i="2"/>
  <c r="S650" i="2"/>
  <c r="T646" i="2"/>
  <c r="R646" i="2"/>
  <c r="S646" i="2"/>
  <c r="S642" i="2"/>
  <c r="T642" i="2"/>
  <c r="R642" i="2"/>
  <c r="S638" i="2"/>
  <c r="T638" i="2"/>
  <c r="R638" i="2"/>
  <c r="S634" i="2"/>
  <c r="T634" i="2"/>
  <c r="R634" i="2"/>
  <c r="T630" i="2"/>
  <c r="S630" i="2"/>
  <c r="R630" i="2"/>
  <c r="R626" i="2"/>
  <c r="T626" i="2"/>
  <c r="S626" i="2"/>
  <c r="S622" i="2"/>
  <c r="T622" i="2"/>
  <c r="S618" i="2"/>
  <c r="T618" i="2"/>
  <c r="T614" i="2"/>
  <c r="S614" i="2"/>
  <c r="R614" i="2"/>
  <c r="S610" i="2"/>
  <c r="T610" i="2"/>
  <c r="S606" i="2"/>
  <c r="T606" i="2"/>
  <c r="R606" i="2"/>
  <c r="T602" i="2"/>
  <c r="S602" i="2"/>
  <c r="R602" i="2"/>
  <c r="S598" i="2"/>
  <c r="T598" i="2"/>
  <c r="R598" i="2"/>
  <c r="T594" i="2"/>
  <c r="S594" i="2"/>
  <c r="S590" i="2"/>
  <c r="T590" i="2"/>
  <c r="T586" i="2"/>
  <c r="R586" i="2"/>
  <c r="S586" i="2"/>
  <c r="S582" i="2"/>
  <c r="T582" i="2"/>
  <c r="R582" i="2"/>
  <c r="S578" i="2"/>
  <c r="T578" i="2"/>
  <c r="S574" i="2"/>
  <c r="R574" i="2"/>
  <c r="T574" i="2"/>
  <c r="T570" i="2"/>
  <c r="S570" i="2"/>
  <c r="R570" i="2"/>
  <c r="T566" i="2"/>
  <c r="S566" i="2"/>
  <c r="R566" i="2"/>
  <c r="R562" i="2"/>
  <c r="T562" i="2"/>
  <c r="S562" i="2"/>
  <c r="T558" i="2"/>
  <c r="S558" i="2"/>
  <c r="T554" i="2"/>
  <c r="S554" i="2"/>
  <c r="S550" i="2"/>
  <c r="T550" i="2"/>
  <c r="S546" i="2"/>
  <c r="R546" i="2"/>
  <c r="T546" i="2"/>
  <c r="R542" i="2"/>
  <c r="T542" i="2"/>
  <c r="S542" i="2"/>
  <c r="T538" i="2"/>
  <c r="S538" i="2"/>
  <c r="R538" i="2"/>
  <c r="T534" i="2"/>
  <c r="S534" i="2"/>
  <c r="T530" i="2"/>
  <c r="S530" i="2"/>
  <c r="S526" i="2"/>
  <c r="T526" i="2"/>
  <c r="R526" i="2"/>
  <c r="R522" i="2"/>
  <c r="S522" i="2"/>
  <c r="T522" i="2"/>
  <c r="T518" i="2"/>
  <c r="S518" i="2"/>
  <c r="S514" i="2"/>
  <c r="R514" i="2"/>
  <c r="T514" i="2"/>
  <c r="T510" i="2"/>
  <c r="S510" i="2"/>
  <c r="R510" i="2"/>
  <c r="T506" i="2"/>
  <c r="S506" i="2"/>
  <c r="S502" i="2"/>
  <c r="T502" i="2"/>
  <c r="R502" i="2"/>
  <c r="R498" i="2"/>
  <c r="S498" i="2"/>
  <c r="T498" i="2"/>
  <c r="S494" i="2"/>
  <c r="T494" i="2"/>
  <c r="T490" i="2"/>
  <c r="S490" i="2"/>
  <c r="T486" i="2"/>
  <c r="S486" i="2"/>
  <c r="R991" i="2"/>
  <c r="S991" i="2"/>
  <c r="T991" i="2"/>
  <c r="T975" i="2"/>
  <c r="S975" i="2"/>
  <c r="T959" i="2"/>
  <c r="S959" i="2"/>
  <c r="R959" i="2"/>
  <c r="S943" i="2"/>
  <c r="T943" i="2"/>
  <c r="R943" i="2"/>
  <c r="T927" i="2"/>
  <c r="S927" i="2"/>
  <c r="T911" i="2"/>
  <c r="S911" i="2"/>
  <c r="T895" i="2"/>
  <c r="S895" i="2"/>
  <c r="R895" i="2"/>
  <c r="T879" i="2"/>
  <c r="S879" i="2"/>
  <c r="S867" i="2"/>
  <c r="T867" i="2"/>
  <c r="S859" i="2"/>
  <c r="R859" i="2"/>
  <c r="T859" i="2"/>
  <c r="R851" i="2"/>
  <c r="T851" i="2"/>
  <c r="S851" i="2"/>
  <c r="T843" i="2"/>
  <c r="S843" i="2"/>
  <c r="R843" i="2"/>
  <c r="T835" i="2"/>
  <c r="S835" i="2"/>
  <c r="R835" i="2"/>
  <c r="S827" i="2"/>
  <c r="R827" i="2"/>
  <c r="T827" i="2"/>
  <c r="T819" i="2"/>
  <c r="S819" i="2"/>
  <c r="R819" i="2"/>
  <c r="S811" i="2"/>
  <c r="R811" i="2"/>
  <c r="T811" i="2"/>
  <c r="S803" i="2"/>
  <c r="T803" i="2"/>
  <c r="S795" i="2"/>
  <c r="T795" i="2"/>
  <c r="T787" i="2"/>
  <c r="S787" i="2"/>
  <c r="T779" i="2"/>
  <c r="S779" i="2"/>
  <c r="R779" i="2"/>
  <c r="T771" i="2"/>
  <c r="R771" i="2"/>
  <c r="S771" i="2"/>
  <c r="S763" i="2"/>
  <c r="T763" i="2"/>
  <c r="R763" i="2"/>
  <c r="T755" i="2"/>
  <c r="R755" i="2"/>
  <c r="S755" i="2"/>
  <c r="R747" i="2"/>
  <c r="S747" i="2"/>
  <c r="T747" i="2"/>
  <c r="R739" i="2"/>
  <c r="T739" i="2"/>
  <c r="S739" i="2"/>
  <c r="R731" i="2"/>
  <c r="S731" i="2"/>
  <c r="T731" i="2"/>
  <c r="T723" i="2"/>
  <c r="S723" i="2"/>
  <c r="R723" i="2"/>
  <c r="T715" i="2"/>
  <c r="S715" i="2"/>
  <c r="S707" i="2"/>
  <c r="T707" i="2"/>
  <c r="S699" i="2"/>
  <c r="T699" i="2"/>
  <c r="R699" i="2"/>
  <c r="S691" i="2"/>
  <c r="T691" i="2"/>
  <c r="R683" i="2"/>
  <c r="T683" i="2"/>
  <c r="S683" i="2"/>
  <c r="R675" i="2"/>
  <c r="S675" i="2"/>
  <c r="T675" i="2"/>
  <c r="T667" i="2"/>
  <c r="S667" i="2"/>
  <c r="R667" i="2"/>
  <c r="R661" i="2"/>
  <c r="T661" i="2"/>
  <c r="S661" i="2"/>
  <c r="S657" i="2"/>
  <c r="T657" i="2"/>
  <c r="S653" i="2"/>
  <c r="R653" i="2"/>
  <c r="T653" i="2"/>
  <c r="R649" i="2"/>
  <c r="T649" i="2"/>
  <c r="S649" i="2"/>
  <c r="S645" i="2"/>
  <c r="T645" i="2"/>
  <c r="T641" i="2"/>
  <c r="R641" i="2"/>
  <c r="S641" i="2"/>
  <c r="T637" i="2"/>
  <c r="S637" i="2"/>
  <c r="R637" i="2"/>
  <c r="R633" i="2"/>
  <c r="S633" i="2"/>
  <c r="T633" i="2"/>
  <c r="R629" i="2"/>
  <c r="T629" i="2"/>
  <c r="S629" i="2"/>
  <c r="T625" i="2"/>
  <c r="S625" i="2"/>
  <c r="S621" i="2"/>
  <c r="T621" i="2"/>
  <c r="R621" i="2"/>
  <c r="R617" i="2"/>
  <c r="S617" i="2"/>
  <c r="T617" i="2"/>
  <c r="S613" i="2"/>
  <c r="R613" i="2"/>
  <c r="T613" i="2"/>
  <c r="R987" i="2"/>
  <c r="T987" i="2"/>
  <c r="S987" i="2"/>
  <c r="S923" i="2"/>
  <c r="T923" i="2"/>
  <c r="S864" i="2"/>
  <c r="R864" i="2"/>
  <c r="T864" i="2"/>
  <c r="R832" i="2"/>
  <c r="T832" i="2"/>
  <c r="S832" i="2"/>
  <c r="R800" i="2"/>
  <c r="S800" i="2"/>
  <c r="T800" i="2"/>
  <c r="S768" i="2"/>
  <c r="T768" i="2"/>
  <c r="S736" i="2"/>
  <c r="T736" i="2"/>
  <c r="R736" i="2"/>
  <c r="T704" i="2"/>
  <c r="S704" i="2"/>
  <c r="R704" i="2"/>
  <c r="R672" i="2"/>
  <c r="T672" i="2"/>
  <c r="S672" i="2"/>
  <c r="S652" i="2"/>
  <c r="R652" i="2"/>
  <c r="T652" i="2"/>
  <c r="T636" i="2"/>
  <c r="S636" i="2"/>
  <c r="T620" i="2"/>
  <c r="R620" i="2"/>
  <c r="S620" i="2"/>
  <c r="T608" i="2"/>
  <c r="R608" i="2"/>
  <c r="S608" i="2"/>
  <c r="S600" i="2"/>
  <c r="T600" i="2"/>
  <c r="R600" i="2"/>
  <c r="S592" i="2"/>
  <c r="T592" i="2"/>
  <c r="S584" i="2"/>
  <c r="T584" i="2"/>
  <c r="R584" i="2"/>
  <c r="S576" i="2"/>
  <c r="T576" i="2"/>
  <c r="R576" i="2"/>
  <c r="T568" i="2"/>
  <c r="S568" i="2"/>
  <c r="S560" i="2"/>
  <c r="T560" i="2"/>
  <c r="R560" i="2"/>
  <c r="S552" i="2"/>
  <c r="T552" i="2"/>
  <c r="R552" i="2"/>
  <c r="T544" i="2"/>
  <c r="R544" i="2"/>
  <c r="S544" i="2"/>
  <c r="T536" i="2"/>
  <c r="S536" i="2"/>
  <c r="R536" i="2"/>
  <c r="T528" i="2"/>
  <c r="S528" i="2"/>
  <c r="S520" i="2"/>
  <c r="T520" i="2"/>
  <c r="R520" i="2"/>
  <c r="R512" i="2"/>
  <c r="S512" i="2"/>
  <c r="T512" i="2"/>
  <c r="T504" i="2"/>
  <c r="S504" i="2"/>
  <c r="R504" i="2"/>
  <c r="T496" i="2"/>
  <c r="S496" i="2"/>
  <c r="R496" i="2"/>
  <c r="S488" i="2"/>
  <c r="T488" i="2"/>
  <c r="R488" i="2"/>
  <c r="R481" i="2"/>
  <c r="S481" i="2"/>
  <c r="T481" i="2"/>
  <c r="S476" i="2"/>
  <c r="R476" i="2"/>
  <c r="T476" i="2"/>
  <c r="R470" i="2"/>
  <c r="T470" i="2"/>
  <c r="S470" i="2"/>
  <c r="T465" i="2"/>
  <c r="S465" i="2"/>
  <c r="R465" i="2"/>
  <c r="T460" i="2"/>
  <c r="S460" i="2"/>
  <c r="R460" i="2"/>
  <c r="S456" i="2"/>
  <c r="R456" i="2"/>
  <c r="T456" i="2"/>
  <c r="S452" i="2"/>
  <c r="T452" i="2"/>
  <c r="T448" i="2"/>
  <c r="S448" i="2"/>
  <c r="T444" i="2"/>
  <c r="S444" i="2"/>
  <c r="R444" i="2"/>
  <c r="S440" i="2"/>
  <c r="T440" i="2"/>
  <c r="R440" i="2"/>
  <c r="T436" i="2"/>
  <c r="S436" i="2"/>
  <c r="T432" i="2"/>
  <c r="S432" i="2"/>
  <c r="S428" i="2"/>
  <c r="T428" i="2"/>
  <c r="S424" i="2"/>
  <c r="T424" i="2"/>
  <c r="R420" i="2"/>
  <c r="S420" i="2"/>
  <c r="T420" i="2"/>
  <c r="S416" i="2"/>
  <c r="R416" i="2"/>
  <c r="T416" i="2"/>
  <c r="S412" i="2"/>
  <c r="R412" i="2"/>
  <c r="T408" i="2"/>
  <c r="R408" i="2"/>
  <c r="S408" i="2"/>
  <c r="T404" i="2"/>
  <c r="S404" i="2"/>
  <c r="S400" i="2"/>
  <c r="T400" i="2"/>
  <c r="R400" i="2"/>
  <c r="S396" i="2"/>
  <c r="T396" i="2"/>
  <c r="R392" i="2"/>
  <c r="S392" i="2"/>
  <c r="T392" i="2"/>
  <c r="S388" i="2"/>
  <c r="R388" i="2"/>
  <c r="T388" i="2"/>
  <c r="T384" i="2"/>
  <c r="S384" i="2"/>
  <c r="T380" i="2"/>
  <c r="R380" i="2"/>
  <c r="S380" i="2"/>
  <c r="T376" i="2"/>
  <c r="R376" i="2"/>
  <c r="S376" i="2"/>
  <c r="S372" i="2"/>
  <c r="T372" i="2"/>
  <c r="S368" i="2"/>
  <c r="T368" i="2"/>
  <c r="T364" i="2"/>
  <c r="S364" i="2"/>
  <c r="T360" i="2"/>
  <c r="S360" i="2"/>
  <c r="R360" i="2"/>
  <c r="S356" i="2"/>
  <c r="R356" i="2"/>
  <c r="T356" i="2"/>
  <c r="T352" i="2"/>
  <c r="R352" i="2"/>
  <c r="S352" i="2"/>
  <c r="T348" i="2"/>
  <c r="R348" i="2"/>
  <c r="S348" i="2"/>
  <c r="S344" i="2"/>
  <c r="T344" i="2"/>
  <c r="R340" i="2"/>
  <c r="S340" i="2"/>
  <c r="T340" i="2"/>
  <c r="S336" i="2"/>
  <c r="T336" i="2"/>
  <c r="S332" i="2"/>
  <c r="R332" i="2"/>
  <c r="T332" i="2"/>
  <c r="R328" i="2"/>
  <c r="T328" i="2"/>
  <c r="S328" i="2"/>
  <c r="T324" i="2"/>
  <c r="S324" i="2"/>
  <c r="R324" i="2"/>
  <c r="T320" i="2"/>
  <c r="S320" i="2"/>
  <c r="S316" i="2"/>
  <c r="T316" i="2"/>
  <c r="R312" i="2"/>
  <c r="S312" i="2"/>
  <c r="T312" i="2"/>
  <c r="T308" i="2"/>
  <c r="S308" i="2"/>
  <c r="R308" i="2"/>
  <c r="T304" i="2"/>
  <c r="S304" i="2"/>
  <c r="R304" i="2"/>
  <c r="S300" i="2"/>
  <c r="T300" i="2"/>
  <c r="R300" i="2"/>
  <c r="R296" i="2"/>
  <c r="S296" i="2"/>
  <c r="T296" i="2"/>
  <c r="T292" i="2"/>
  <c r="S292" i="2"/>
  <c r="S288" i="2"/>
  <c r="R288" i="2"/>
  <c r="T288" i="2"/>
  <c r="S284" i="2"/>
  <c r="T284" i="2"/>
  <c r="T280" i="2"/>
  <c r="S280" i="2"/>
  <c r="S276" i="2"/>
  <c r="R276" i="2"/>
  <c r="T276" i="2"/>
  <c r="S272" i="2"/>
  <c r="T272" i="2"/>
  <c r="R272" i="2"/>
  <c r="R268" i="2"/>
  <c r="T268" i="2"/>
  <c r="S268" i="2"/>
  <c r="S264" i="2"/>
  <c r="R264" i="2"/>
  <c r="T264" i="2"/>
  <c r="T260" i="2"/>
  <c r="S260" i="2"/>
  <c r="R260" i="2"/>
  <c r="S256" i="2"/>
  <c r="R256" i="2"/>
  <c r="S252" i="2"/>
  <c r="R252" i="2"/>
  <c r="T252" i="2"/>
  <c r="S971" i="2"/>
  <c r="T971" i="2"/>
  <c r="R971" i="2"/>
  <c r="R907" i="2"/>
  <c r="T907" i="2"/>
  <c r="S907" i="2"/>
  <c r="T856" i="2"/>
  <c r="S856" i="2"/>
  <c r="S824" i="2"/>
  <c r="R824" i="2"/>
  <c r="T824" i="2"/>
  <c r="S792" i="2"/>
  <c r="T792" i="2"/>
  <c r="R792" i="2"/>
  <c r="S760" i="2"/>
  <c r="T760" i="2"/>
  <c r="S728" i="2"/>
  <c r="T728" i="2"/>
  <c r="R728" i="2"/>
  <c r="S696" i="2"/>
  <c r="R696" i="2"/>
  <c r="T696" i="2"/>
  <c r="T664" i="2"/>
  <c r="R664" i="2"/>
  <c r="S664" i="2"/>
  <c r="T648" i="2"/>
  <c r="R648" i="2"/>
  <c r="S648" i="2"/>
  <c r="T632" i="2"/>
  <c r="S632" i="2"/>
  <c r="R616" i="2"/>
  <c r="T616" i="2"/>
  <c r="S616" i="2"/>
  <c r="T605" i="2"/>
  <c r="S605" i="2"/>
  <c r="S597" i="2"/>
  <c r="S589" i="2"/>
  <c r="T589" i="2"/>
  <c r="S581" i="2"/>
  <c r="T581" i="2"/>
  <c r="T573" i="2"/>
  <c r="S573" i="2"/>
  <c r="T565" i="2"/>
  <c r="R565" i="2"/>
  <c r="S565" i="2"/>
  <c r="S557" i="2"/>
  <c r="T557" i="2"/>
  <c r="S549" i="2"/>
  <c r="T549" i="2"/>
  <c r="S541" i="2"/>
  <c r="R541" i="2"/>
  <c r="T541" i="2"/>
  <c r="T533" i="2"/>
  <c r="S533" i="2"/>
  <c r="R533" i="2"/>
  <c r="T525" i="2"/>
  <c r="S525" i="2"/>
  <c r="R525" i="2"/>
  <c r="S517" i="2"/>
  <c r="T517" i="2"/>
  <c r="S509" i="2"/>
  <c r="T509" i="2"/>
  <c r="S501" i="2"/>
  <c r="R501" i="2"/>
  <c r="T501" i="2"/>
  <c r="T493" i="2"/>
  <c r="S493" i="2"/>
  <c r="R493" i="2"/>
  <c r="R485" i="2"/>
  <c r="S485" i="2"/>
  <c r="T485" i="2"/>
  <c r="R480" i="2"/>
  <c r="T480" i="2"/>
  <c r="S480" i="2"/>
  <c r="R474" i="2"/>
  <c r="T474" i="2"/>
  <c r="S474" i="2"/>
  <c r="T469" i="2"/>
  <c r="S469" i="2"/>
  <c r="T464" i="2"/>
  <c r="S464" i="2"/>
  <c r="T459" i="2"/>
  <c r="S459" i="2"/>
  <c r="R459" i="2"/>
  <c r="T455" i="2"/>
  <c r="S455" i="2"/>
  <c r="R451" i="2"/>
  <c r="S451" i="2"/>
  <c r="T451" i="2"/>
  <c r="R447" i="2"/>
  <c r="T447" i="2"/>
  <c r="S447" i="2"/>
  <c r="R443" i="2"/>
  <c r="T443" i="2"/>
  <c r="S443" i="2"/>
  <c r="T439" i="2"/>
  <c r="R439" i="2"/>
  <c r="S439" i="2"/>
  <c r="T435" i="2"/>
  <c r="S435" i="2"/>
  <c r="R435" i="2"/>
  <c r="T431" i="2"/>
  <c r="S431" i="2"/>
  <c r="R431" i="2"/>
  <c r="S427" i="2"/>
  <c r="T427" i="2"/>
  <c r="S423" i="2"/>
  <c r="T423" i="2"/>
  <c r="T419" i="2"/>
  <c r="S419" i="2"/>
  <c r="R419" i="2"/>
  <c r="T415" i="2"/>
  <c r="S415" i="2"/>
  <c r="T411" i="2"/>
  <c r="S411" i="2"/>
  <c r="T407" i="2"/>
  <c r="S407" i="2"/>
  <c r="T403" i="2"/>
  <c r="S403" i="2"/>
  <c r="R403" i="2"/>
  <c r="R399" i="2"/>
  <c r="T399" i="2"/>
  <c r="S399" i="2"/>
  <c r="R395" i="2"/>
  <c r="T395" i="2"/>
  <c r="S395" i="2"/>
  <c r="T391" i="2"/>
  <c r="S391" i="2"/>
  <c r="R391" i="2"/>
  <c r="T387" i="2"/>
  <c r="S387" i="2"/>
  <c r="T383" i="2"/>
  <c r="S383" i="2"/>
  <c r="T379" i="2"/>
  <c r="R379" i="2"/>
  <c r="S379" i="2"/>
  <c r="S375" i="2"/>
  <c r="T375" i="2"/>
  <c r="T371" i="2"/>
  <c r="S371" i="2"/>
  <c r="T367" i="2"/>
  <c r="S367" i="2"/>
  <c r="T363" i="2"/>
  <c r="S363" i="2"/>
  <c r="R363" i="2"/>
  <c r="T359" i="2"/>
  <c r="S359" i="2"/>
  <c r="R355" i="2"/>
  <c r="T355" i="2"/>
  <c r="S355" i="2"/>
  <c r="S351" i="2"/>
  <c r="T351" i="2"/>
  <c r="T347" i="2"/>
  <c r="S347" i="2"/>
  <c r="R343" i="2"/>
  <c r="T343" i="2"/>
  <c r="S343" i="2"/>
  <c r="T339" i="2"/>
  <c r="S339" i="2"/>
  <c r="T335" i="2"/>
  <c r="R335" i="2"/>
  <c r="S335" i="2"/>
  <c r="T331" i="2"/>
  <c r="S331" i="2"/>
  <c r="R331" i="2"/>
  <c r="R327" i="2"/>
  <c r="T327" i="2"/>
  <c r="S327" i="2"/>
  <c r="S323" i="2"/>
  <c r="T323" i="2"/>
  <c r="R323" i="2"/>
  <c r="T319" i="2"/>
  <c r="S319" i="2"/>
  <c r="T315" i="2"/>
  <c r="S315" i="2"/>
  <c r="R315" i="2"/>
  <c r="R311" i="2"/>
  <c r="S311" i="2"/>
  <c r="T311" i="2"/>
  <c r="T307" i="2"/>
  <c r="S307" i="2"/>
  <c r="T303" i="2"/>
  <c r="S303" i="2"/>
  <c r="R303" i="2"/>
  <c r="S299" i="2"/>
  <c r="T299" i="2"/>
  <c r="S295" i="2"/>
  <c r="T295" i="2"/>
  <c r="R295" i="2"/>
  <c r="T291" i="2"/>
  <c r="S291" i="2"/>
  <c r="T287" i="2"/>
  <c r="S287" i="2"/>
  <c r="T283" i="2"/>
  <c r="R283" i="2"/>
  <c r="S283" i="2"/>
  <c r="T279" i="2"/>
  <c r="S279" i="2"/>
  <c r="R279" i="2"/>
  <c r="T275" i="2"/>
  <c r="S275" i="2"/>
  <c r="R275" i="2"/>
  <c r="T271" i="2"/>
  <c r="R271" i="2"/>
  <c r="S271" i="2"/>
  <c r="T267" i="2"/>
  <c r="R267" i="2"/>
  <c r="S267" i="2"/>
  <c r="S263" i="2"/>
  <c r="T263" i="2"/>
  <c r="T259" i="2"/>
  <c r="S259" i="2"/>
  <c r="R255" i="2"/>
  <c r="S255" i="2"/>
  <c r="T255" i="2"/>
  <c r="R251" i="2"/>
  <c r="T251" i="2"/>
  <c r="S251" i="2"/>
  <c r="T247" i="2"/>
  <c r="R247" i="2"/>
  <c r="S247" i="2"/>
  <c r="T955" i="2"/>
  <c r="R955" i="2"/>
  <c r="S955" i="2"/>
  <c r="S891" i="2"/>
  <c r="T891" i="2"/>
  <c r="T848" i="2"/>
  <c r="S848" i="2"/>
  <c r="R848" i="2"/>
  <c r="R816" i="2"/>
  <c r="T816" i="2"/>
  <c r="S816" i="2"/>
  <c r="S784" i="2"/>
  <c r="T784" i="2"/>
  <c r="R784" i="2"/>
  <c r="S752" i="2"/>
  <c r="T752" i="2"/>
  <c r="R752" i="2"/>
  <c r="R720" i="2"/>
  <c r="S720" i="2"/>
  <c r="T720" i="2"/>
  <c r="T688" i="2"/>
  <c r="S688" i="2"/>
  <c r="R660" i="2"/>
  <c r="T660" i="2"/>
  <c r="S660" i="2"/>
  <c r="T644" i="2"/>
  <c r="R644" i="2"/>
  <c r="S644" i="2"/>
  <c r="T628" i="2"/>
  <c r="R628" i="2"/>
  <c r="S628" i="2"/>
  <c r="S612" i="2"/>
  <c r="T612" i="2"/>
  <c r="S604" i="2"/>
  <c r="T604" i="2"/>
  <c r="R596" i="2"/>
  <c r="S596" i="2"/>
  <c r="T596" i="2"/>
  <c r="T588" i="2"/>
  <c r="R588" i="2"/>
  <c r="S588" i="2"/>
  <c r="T580" i="2"/>
  <c r="R580" i="2"/>
  <c r="S580" i="2"/>
  <c r="S572" i="2"/>
  <c r="T572" i="2"/>
  <c r="S564" i="2"/>
  <c r="R564" i="2"/>
  <c r="T564" i="2"/>
  <c r="T556" i="2"/>
  <c r="S556" i="2"/>
  <c r="S548" i="2"/>
  <c r="T548" i="2"/>
  <c r="R548" i="2"/>
  <c r="R540" i="2"/>
  <c r="S540" i="2"/>
  <c r="T540" i="2"/>
  <c r="S532" i="2"/>
  <c r="R532" i="2"/>
  <c r="T532" i="2"/>
  <c r="T524" i="2"/>
  <c r="S524" i="2"/>
  <c r="T516" i="2"/>
  <c r="S516" i="2"/>
  <c r="R516" i="2"/>
  <c r="R508" i="2"/>
  <c r="S508" i="2"/>
  <c r="T508" i="2"/>
  <c r="T500" i="2"/>
  <c r="S500" i="2"/>
  <c r="T492" i="2"/>
  <c r="S492" i="2"/>
  <c r="R492" i="2"/>
  <c r="T484" i="2"/>
  <c r="R484" i="2"/>
  <c r="S484" i="2"/>
  <c r="T478" i="2"/>
  <c r="R478" i="2"/>
  <c r="S478" i="2"/>
  <c r="T473" i="2"/>
  <c r="S473" i="2"/>
  <c r="R473" i="2"/>
  <c r="R468" i="2"/>
  <c r="T468" i="2"/>
  <c r="S468" i="2"/>
  <c r="S462" i="2"/>
  <c r="R462" i="2"/>
  <c r="T462" i="2"/>
  <c r="T458" i="2"/>
  <c r="S458" i="2"/>
  <c r="T454" i="2"/>
  <c r="S454" i="2"/>
  <c r="T450" i="2"/>
  <c r="S450" i="2"/>
  <c r="T446" i="2"/>
  <c r="R446" i="2"/>
  <c r="S446" i="2"/>
  <c r="T442" i="2"/>
  <c r="S442" i="2"/>
  <c r="R442" i="2"/>
  <c r="R438" i="2"/>
  <c r="T438" i="2"/>
  <c r="S438" i="2"/>
  <c r="S434" i="2"/>
  <c r="T434" i="2"/>
  <c r="T430" i="2"/>
  <c r="S430" i="2"/>
  <c r="T426" i="2"/>
  <c r="S426" i="2"/>
  <c r="T422" i="2"/>
  <c r="R422" i="2"/>
  <c r="S422" i="2"/>
  <c r="T418" i="2"/>
  <c r="S418" i="2"/>
  <c r="T414" i="2"/>
  <c r="S414" i="2"/>
  <c r="R414" i="2"/>
  <c r="T410" i="2"/>
  <c r="S410" i="2"/>
  <c r="T406" i="2"/>
  <c r="S406" i="2"/>
  <c r="T402" i="2"/>
  <c r="S402" i="2"/>
  <c r="R402" i="2"/>
  <c r="T398" i="2"/>
  <c r="S398" i="2"/>
  <c r="R394" i="2"/>
  <c r="T394" i="2"/>
  <c r="S394" i="2"/>
  <c r="S390" i="2"/>
  <c r="T390" i="2"/>
  <c r="S386" i="2"/>
  <c r="T386" i="2"/>
  <c r="T382" i="2"/>
  <c r="S382" i="2"/>
  <c r="S378" i="2"/>
  <c r="T378" i="2"/>
  <c r="S374" i="2"/>
  <c r="T374" i="2"/>
  <c r="R374" i="2"/>
  <c r="S370" i="2"/>
  <c r="R370" i="2"/>
  <c r="T370" i="2"/>
  <c r="S366" i="2"/>
  <c r="T366" i="2"/>
  <c r="R366" i="2"/>
  <c r="S362" i="2"/>
  <c r="R362" i="2"/>
  <c r="T362" i="2"/>
  <c r="S358" i="2"/>
  <c r="T358" i="2"/>
  <c r="T354" i="2"/>
  <c r="R354" i="2"/>
  <c r="S354" i="2"/>
  <c r="S350" i="2"/>
  <c r="T350" i="2"/>
  <c r="R350" i="2"/>
  <c r="T346" i="2"/>
  <c r="S346" i="2"/>
  <c r="S342" i="2"/>
  <c r="T342" i="2"/>
  <c r="R342" i="2"/>
  <c r="R338" i="2"/>
  <c r="T338" i="2"/>
  <c r="S338" i="2"/>
  <c r="T334" i="2"/>
  <c r="S334" i="2"/>
  <c r="R334" i="2"/>
  <c r="S330" i="2"/>
  <c r="R330" i="2"/>
  <c r="T330" i="2"/>
  <c r="T326" i="2"/>
  <c r="S326" i="2"/>
  <c r="T322" i="2"/>
  <c r="S322" i="2"/>
  <c r="R322" i="2"/>
  <c r="S318" i="2"/>
  <c r="T318" i="2"/>
  <c r="T314" i="2"/>
  <c r="S314" i="2"/>
  <c r="R314" i="2"/>
  <c r="S310" i="2"/>
  <c r="T310" i="2"/>
  <c r="S306" i="2"/>
  <c r="R306" i="2"/>
  <c r="T306" i="2"/>
  <c r="T302" i="2"/>
  <c r="S302" i="2"/>
  <c r="T298" i="2"/>
  <c r="S298" i="2"/>
  <c r="R298" i="2"/>
  <c r="R294" i="2"/>
  <c r="T294" i="2"/>
  <c r="S294" i="2"/>
  <c r="T290" i="2"/>
  <c r="S290" i="2"/>
  <c r="T286" i="2"/>
  <c r="S286" i="2"/>
  <c r="R286" i="2"/>
  <c r="T282" i="2"/>
  <c r="R282" i="2"/>
  <c r="S282" i="2"/>
  <c r="T278" i="2"/>
  <c r="S278" i="2"/>
  <c r="T274" i="2"/>
  <c r="S274" i="2"/>
  <c r="T270" i="2"/>
  <c r="S270" i="2"/>
  <c r="R270" i="2"/>
  <c r="R266" i="2"/>
  <c r="T266" i="2"/>
  <c r="S266" i="2"/>
  <c r="T262" i="2"/>
  <c r="R262" i="2"/>
  <c r="S262" i="2"/>
  <c r="T258" i="2"/>
  <c r="R258" i="2"/>
  <c r="S258" i="2"/>
  <c r="T254" i="2"/>
  <c r="S254" i="2"/>
  <c r="T250" i="2"/>
  <c r="S250" i="2"/>
  <c r="T939" i="2"/>
  <c r="S939" i="2"/>
  <c r="S776" i="2"/>
  <c r="T776" i="2"/>
  <c r="R776" i="2"/>
  <c r="R656" i="2"/>
  <c r="S656" i="2"/>
  <c r="T656" i="2"/>
  <c r="T601" i="2"/>
  <c r="S601" i="2"/>
  <c r="S569" i="2"/>
  <c r="T569" i="2"/>
  <c r="T537" i="2"/>
  <c r="S537" i="2"/>
  <c r="S505" i="2"/>
  <c r="T505" i="2"/>
  <c r="R505" i="2"/>
  <c r="S477" i="2"/>
  <c r="T477" i="2"/>
  <c r="R477" i="2"/>
  <c r="T457" i="2"/>
  <c r="S457" i="2"/>
  <c r="R457" i="2"/>
  <c r="T441" i="2"/>
  <c r="S441" i="2"/>
  <c r="S425" i="2"/>
  <c r="T425" i="2"/>
  <c r="R425" i="2"/>
  <c r="T409" i="2"/>
  <c r="S409" i="2"/>
  <c r="R393" i="2"/>
  <c r="T393" i="2"/>
  <c r="S393" i="2"/>
  <c r="S377" i="2"/>
  <c r="T377" i="2"/>
  <c r="S361" i="2"/>
  <c r="R361" i="2"/>
  <c r="T361" i="2"/>
  <c r="T345" i="2"/>
  <c r="S345" i="2"/>
  <c r="T329" i="2"/>
  <c r="R329" i="2"/>
  <c r="S329" i="2"/>
  <c r="S313" i="2"/>
  <c r="T313" i="2"/>
  <c r="T297" i="2"/>
  <c r="S297" i="2"/>
  <c r="R297" i="2"/>
  <c r="R281" i="2"/>
  <c r="T281" i="2"/>
  <c r="S281" i="2"/>
  <c r="S265" i="2"/>
  <c r="T265" i="2"/>
  <c r="S249" i="2"/>
  <c r="R249" i="2"/>
  <c r="T249" i="2"/>
  <c r="T244" i="2"/>
  <c r="S244" i="2"/>
  <c r="R244" i="2"/>
  <c r="R240" i="2"/>
  <c r="T240" i="2"/>
  <c r="S240" i="2"/>
  <c r="S236" i="2"/>
  <c r="T236" i="2"/>
  <c r="S232" i="2"/>
  <c r="T232" i="2"/>
  <c r="T228" i="2"/>
  <c r="S228" i="2"/>
  <c r="S224" i="2"/>
  <c r="T224" i="2"/>
  <c r="T220" i="2"/>
  <c r="S220" i="2"/>
  <c r="T216" i="2"/>
  <c r="S216" i="2"/>
  <c r="R216" i="2"/>
  <c r="R212" i="2"/>
  <c r="S212" i="2"/>
  <c r="T212" i="2"/>
  <c r="R208" i="2"/>
  <c r="T208" i="2"/>
  <c r="S208" i="2"/>
  <c r="T204" i="2"/>
  <c r="S204" i="2"/>
  <c r="R204" i="2"/>
  <c r="S200" i="2"/>
  <c r="T200" i="2"/>
  <c r="R200" i="2"/>
  <c r="R196" i="2"/>
  <c r="S196" i="2"/>
  <c r="T196" i="2"/>
  <c r="T192" i="2"/>
  <c r="R192" i="2"/>
  <c r="S192" i="2"/>
  <c r="S188" i="2"/>
  <c r="R188" i="2"/>
  <c r="T188" i="2"/>
  <c r="S184" i="2"/>
  <c r="R184" i="2"/>
  <c r="T184" i="2"/>
  <c r="T180" i="2"/>
  <c r="S180" i="2"/>
  <c r="T176" i="2"/>
  <c r="S176" i="2"/>
  <c r="T172" i="2"/>
  <c r="R172" i="2"/>
  <c r="S172" i="2"/>
  <c r="T168" i="2"/>
  <c r="S168" i="2"/>
  <c r="T164" i="2"/>
  <c r="S164" i="2"/>
  <c r="T160" i="2"/>
  <c r="S160" i="2"/>
  <c r="T156" i="2"/>
  <c r="S156" i="2"/>
  <c r="R152" i="2"/>
  <c r="T152" i="2"/>
  <c r="S152" i="2"/>
  <c r="T148" i="2"/>
  <c r="S148" i="2"/>
  <c r="R148" i="2"/>
  <c r="S144" i="2"/>
  <c r="T144" i="2"/>
  <c r="S140" i="2"/>
  <c r="T140" i="2"/>
  <c r="R136" i="2"/>
  <c r="S136" i="2"/>
  <c r="T136" i="2"/>
  <c r="T132" i="2"/>
  <c r="S132" i="2"/>
  <c r="R128" i="2"/>
  <c r="T128" i="2"/>
  <c r="S128" i="2"/>
  <c r="S124" i="2"/>
  <c r="T124" i="2"/>
  <c r="S120" i="2"/>
  <c r="T120" i="2"/>
  <c r="R116" i="2"/>
  <c r="T116" i="2"/>
  <c r="S116" i="2"/>
  <c r="T112" i="2"/>
  <c r="R112" i="2"/>
  <c r="S112" i="2"/>
  <c r="R108" i="2"/>
  <c r="S108" i="2"/>
  <c r="T108" i="2"/>
  <c r="R104" i="2"/>
  <c r="T104" i="2"/>
  <c r="S104" i="2"/>
  <c r="T100" i="2"/>
  <c r="S100" i="2"/>
  <c r="R100" i="2"/>
  <c r="S96" i="2"/>
  <c r="T96" i="2"/>
  <c r="S92" i="2"/>
  <c r="T92" i="2"/>
  <c r="S88" i="2"/>
  <c r="R88" i="2"/>
  <c r="T84" i="2"/>
  <c r="R84" i="2"/>
  <c r="S84" i="2"/>
  <c r="S80" i="2"/>
  <c r="T80" i="2"/>
  <c r="R76" i="2"/>
  <c r="S76" i="2"/>
  <c r="T76" i="2"/>
  <c r="T72" i="2"/>
  <c r="S72" i="2"/>
  <c r="S68" i="2"/>
  <c r="T68" i="2"/>
  <c r="T64" i="2"/>
  <c r="S64" i="2"/>
  <c r="R60" i="2"/>
  <c r="T60" i="2"/>
  <c r="S60" i="2"/>
  <c r="S56" i="2"/>
  <c r="R56" i="2"/>
  <c r="T56" i="2"/>
  <c r="T52" i="2"/>
  <c r="R52" i="2"/>
  <c r="S52" i="2"/>
  <c r="S48" i="2"/>
  <c r="T48" i="2"/>
  <c r="R48" i="2"/>
  <c r="S44" i="2"/>
  <c r="R44" i="2"/>
  <c r="T40" i="2"/>
  <c r="R40" i="2"/>
  <c r="S40" i="2"/>
  <c r="T36" i="2"/>
  <c r="S36" i="2"/>
  <c r="R36" i="2"/>
  <c r="R32" i="2"/>
  <c r="T32" i="2"/>
  <c r="S32" i="2"/>
  <c r="T28" i="2"/>
  <c r="S28" i="2"/>
  <c r="T24" i="2"/>
  <c r="R24" i="2"/>
  <c r="S24" i="2"/>
  <c r="S20" i="2"/>
  <c r="T20" i="2"/>
  <c r="R20" i="2"/>
  <c r="R16" i="2"/>
  <c r="S16" i="2"/>
  <c r="T16" i="2"/>
  <c r="S12" i="2"/>
  <c r="S8" i="2"/>
  <c r="R8" i="2"/>
  <c r="T8" i="2"/>
  <c r="S4" i="2"/>
  <c r="R4" i="2"/>
  <c r="T4" i="2"/>
  <c r="S7" i="2"/>
  <c r="T7" i="2"/>
  <c r="R7" i="2"/>
  <c r="T11" i="2"/>
  <c r="S11" i="2"/>
  <c r="S15" i="2"/>
  <c r="T15" i="2"/>
  <c r="R19" i="2"/>
  <c r="S19" i="2"/>
  <c r="T19" i="2"/>
  <c r="R23" i="2"/>
  <c r="S23" i="2"/>
  <c r="T23" i="2"/>
  <c r="R27" i="2"/>
  <c r="T27" i="2"/>
  <c r="S27" i="2"/>
  <c r="T31" i="2"/>
  <c r="S31" i="2"/>
  <c r="T35" i="2"/>
  <c r="S35" i="2"/>
  <c r="R35" i="2"/>
  <c r="T39" i="2"/>
  <c r="S39" i="2"/>
  <c r="T43" i="2"/>
  <c r="S43" i="2"/>
  <c r="R43" i="2"/>
  <c r="T47" i="2"/>
  <c r="S47" i="2"/>
  <c r="R51" i="2"/>
  <c r="T51" i="2"/>
  <c r="S51" i="2"/>
  <c r="R55" i="2"/>
  <c r="S55" i="2"/>
  <c r="T55" i="2"/>
  <c r="R59" i="2"/>
  <c r="T59" i="2"/>
  <c r="S59" i="2"/>
  <c r="T63" i="2"/>
  <c r="S63" i="2"/>
  <c r="R63" i="2"/>
  <c r="R67" i="2"/>
  <c r="S67" i="2"/>
  <c r="T67" i="2"/>
  <c r="T71" i="2"/>
  <c r="S71" i="2"/>
  <c r="T75" i="2"/>
  <c r="S75" i="2"/>
  <c r="S79" i="2"/>
  <c r="T79" i="2"/>
  <c r="R83" i="2"/>
  <c r="T83" i="2"/>
  <c r="S83" i="2"/>
  <c r="R87" i="2"/>
  <c r="T87" i="2"/>
  <c r="S87" i="2"/>
  <c r="T91" i="2"/>
  <c r="S91" i="2"/>
  <c r="T95" i="2"/>
  <c r="S95" i="2"/>
  <c r="T99" i="2"/>
  <c r="R99" i="2"/>
  <c r="S99" i="2"/>
  <c r="T103" i="2"/>
  <c r="S103" i="2"/>
  <c r="S107" i="2"/>
  <c r="R107" i="2"/>
  <c r="S111" i="2"/>
  <c r="T111" i="2"/>
  <c r="S115" i="2"/>
  <c r="R115" i="2"/>
  <c r="T119" i="2"/>
  <c r="S119" i="2"/>
  <c r="R123" i="2"/>
  <c r="T123" i="2"/>
  <c r="S123" i="2"/>
  <c r="S127" i="2"/>
  <c r="T127" i="2"/>
  <c r="S131" i="2"/>
  <c r="R131" i="2"/>
  <c r="T131" i="2"/>
  <c r="S135" i="2"/>
  <c r="T135" i="2"/>
  <c r="R135" i="2"/>
  <c r="R139" i="2"/>
  <c r="S139" i="2"/>
  <c r="T143" i="2"/>
  <c r="R143" i="2"/>
  <c r="S143" i="2"/>
  <c r="R147" i="2"/>
  <c r="S147" i="2"/>
  <c r="T147" i="2"/>
  <c r="S151" i="2"/>
  <c r="T151" i="2"/>
  <c r="S155" i="2"/>
  <c r="T155" i="2"/>
  <c r="R155" i="2"/>
  <c r="T159" i="2"/>
  <c r="S159" i="2"/>
  <c r="T163" i="2"/>
  <c r="S163" i="2"/>
  <c r="T167" i="2"/>
  <c r="S167" i="2"/>
  <c r="R167" i="2"/>
  <c r="S171" i="2"/>
  <c r="T171" i="2"/>
  <c r="R175" i="2"/>
  <c r="S175" i="2"/>
  <c r="T175" i="2"/>
  <c r="T179" i="2"/>
  <c r="R179" i="2"/>
  <c r="S179" i="2"/>
  <c r="S183" i="2"/>
  <c r="R183" i="2"/>
  <c r="T183" i="2"/>
  <c r="T187" i="2"/>
  <c r="S187" i="2"/>
  <c r="R187" i="2"/>
  <c r="T191" i="2"/>
  <c r="S191" i="2"/>
  <c r="T195" i="2"/>
  <c r="S195" i="2"/>
  <c r="S199" i="2"/>
  <c r="T199" i="2"/>
  <c r="S203" i="2"/>
  <c r="R203" i="2"/>
  <c r="T203" i="2"/>
  <c r="S207" i="2"/>
  <c r="T207" i="2"/>
  <c r="R207" i="2"/>
  <c r="S211" i="2"/>
  <c r="T211" i="2"/>
  <c r="T215" i="2"/>
  <c r="S215" i="2"/>
  <c r="R215" i="2"/>
  <c r="R219" i="2"/>
  <c r="T219" i="2"/>
  <c r="S219" i="2"/>
  <c r="T223" i="2"/>
  <c r="S223" i="2"/>
  <c r="S227" i="2"/>
  <c r="T227" i="2"/>
  <c r="T231" i="2"/>
  <c r="S231" i="2"/>
  <c r="S235" i="2"/>
  <c r="T235" i="2"/>
  <c r="R239" i="2"/>
  <c r="T239" i="2"/>
  <c r="S239" i="2"/>
  <c r="T243" i="2"/>
  <c r="S243" i="2"/>
  <c r="R243" i="2"/>
  <c r="T875" i="2"/>
  <c r="S875" i="2"/>
  <c r="R875" i="2"/>
  <c r="T744" i="2"/>
  <c r="R744" i="2"/>
  <c r="S744" i="2"/>
  <c r="T640" i="2"/>
  <c r="R640" i="2"/>
  <c r="S640" i="2"/>
  <c r="S593" i="2"/>
  <c r="R593" i="2"/>
  <c r="T593" i="2"/>
  <c r="T561" i="2"/>
  <c r="S561" i="2"/>
  <c r="R529" i="2"/>
  <c r="S529" i="2"/>
  <c r="T529" i="2"/>
  <c r="T497" i="2"/>
  <c r="R497" i="2"/>
  <c r="S497" i="2"/>
  <c r="T472" i="2"/>
  <c r="S472" i="2"/>
  <c r="R472" i="2"/>
  <c r="S453" i="2"/>
  <c r="T453" i="2"/>
  <c r="R437" i="2"/>
  <c r="T437" i="2"/>
  <c r="S437" i="2"/>
  <c r="T421" i="2"/>
  <c r="S421" i="2"/>
  <c r="R421" i="2"/>
  <c r="T405" i="2"/>
  <c r="S405" i="2"/>
  <c r="T389" i="2"/>
  <c r="S389" i="2"/>
  <c r="T373" i="2"/>
  <c r="S373" i="2"/>
  <c r="R373" i="2"/>
  <c r="T357" i="2"/>
  <c r="S357" i="2"/>
  <c r="S341" i="2"/>
  <c r="R341" i="2"/>
  <c r="T341" i="2"/>
  <c r="R325" i="2"/>
  <c r="S325" i="2"/>
  <c r="T325" i="2"/>
  <c r="T309" i="2"/>
  <c r="S309" i="2"/>
  <c r="R309" i="2"/>
  <c r="S293" i="2"/>
  <c r="R293" i="2"/>
  <c r="T293" i="2"/>
  <c r="S277" i="2"/>
  <c r="T277" i="2"/>
  <c r="S261" i="2"/>
  <c r="R261" i="2"/>
  <c r="T261" i="2"/>
  <c r="S248" i="2"/>
  <c r="T248" i="2"/>
  <c r="R248" i="2"/>
  <c r="S840" i="2"/>
  <c r="T840" i="2"/>
  <c r="R840" i="2"/>
  <c r="T712" i="2"/>
  <c r="S712" i="2"/>
  <c r="S624" i="2"/>
  <c r="T624" i="2"/>
  <c r="T585" i="2"/>
  <c r="R585" i="2"/>
  <c r="S585" i="2"/>
  <c r="R553" i="2"/>
  <c r="S553" i="2"/>
  <c r="T521" i="2"/>
  <c r="S521" i="2"/>
  <c r="T489" i="2"/>
  <c r="S489" i="2"/>
  <c r="T466" i="2"/>
  <c r="S466" i="2"/>
  <c r="T449" i="2"/>
  <c r="R449" i="2"/>
  <c r="S449" i="2"/>
  <c r="R433" i="2"/>
  <c r="S433" i="2"/>
  <c r="T433" i="2"/>
  <c r="S417" i="2"/>
  <c r="T417" i="2"/>
  <c r="S401" i="2"/>
  <c r="R401" i="2"/>
  <c r="T401" i="2"/>
  <c r="T385" i="2"/>
  <c r="R385" i="2"/>
  <c r="S385" i="2"/>
  <c r="T369" i="2"/>
  <c r="S369" i="2"/>
  <c r="R369" i="2"/>
  <c r="S353" i="2"/>
  <c r="R353" i="2"/>
  <c r="T353" i="2"/>
  <c r="T337" i="2"/>
  <c r="R337" i="2"/>
  <c r="S337" i="2"/>
  <c r="S321" i="2"/>
  <c r="R321" i="2"/>
  <c r="T321" i="2"/>
  <c r="T305" i="2"/>
  <c r="S305" i="2"/>
  <c r="T289" i="2"/>
  <c r="S289" i="2"/>
  <c r="R289" i="2"/>
  <c r="T273" i="2"/>
  <c r="S273" i="2"/>
  <c r="S257" i="2"/>
  <c r="R257" i="2"/>
  <c r="T257" i="2"/>
  <c r="T246" i="2"/>
  <c r="R246" i="2"/>
  <c r="S246" i="2"/>
  <c r="T242" i="2"/>
  <c r="S242" i="2"/>
  <c r="R242" i="2"/>
  <c r="T238" i="2"/>
  <c r="S238" i="2"/>
  <c r="R238" i="2"/>
  <c r="R234" i="2"/>
  <c r="T234" i="2"/>
  <c r="S234" i="2"/>
  <c r="T230" i="2"/>
  <c r="S230" i="2"/>
  <c r="T226" i="2"/>
  <c r="S226" i="2"/>
  <c r="R226" i="2"/>
  <c r="R222" i="2"/>
  <c r="S222" i="2"/>
  <c r="T222" i="2"/>
  <c r="R218" i="2"/>
  <c r="S218" i="2"/>
  <c r="T218" i="2"/>
  <c r="R214" i="2"/>
  <c r="S214" i="2"/>
  <c r="T214" i="2"/>
  <c r="S210" i="2"/>
  <c r="T210" i="2"/>
  <c r="R210" i="2"/>
  <c r="T206" i="2"/>
  <c r="S206" i="2"/>
  <c r="T202" i="2"/>
  <c r="S202" i="2"/>
  <c r="R202" i="2"/>
  <c r="T198" i="2"/>
  <c r="R198" i="2"/>
  <c r="S198" i="2"/>
  <c r="S194" i="2"/>
  <c r="T194" i="2"/>
  <c r="R190" i="2"/>
  <c r="S190" i="2"/>
  <c r="T190" i="2"/>
  <c r="R186" i="2"/>
  <c r="T186" i="2"/>
  <c r="S186" i="2"/>
  <c r="T182" i="2"/>
  <c r="R182" i="2"/>
  <c r="S182" i="2"/>
  <c r="T178" i="2"/>
  <c r="R178" i="2"/>
  <c r="S178" i="2"/>
  <c r="T174" i="2"/>
  <c r="S174" i="2"/>
  <c r="R170" i="2"/>
  <c r="T170" i="2"/>
  <c r="S170" i="2"/>
  <c r="T166" i="2"/>
  <c r="S166" i="2"/>
  <c r="T162" i="2"/>
  <c r="R162" i="2"/>
  <c r="S162" i="2"/>
  <c r="S158" i="2"/>
  <c r="T158" i="2"/>
  <c r="T154" i="2"/>
  <c r="S154" i="2"/>
  <c r="S150" i="2"/>
  <c r="T150" i="2"/>
  <c r="R150" i="2"/>
  <c r="T146" i="2"/>
  <c r="R146" i="2"/>
  <c r="S146" i="2"/>
  <c r="R142" i="2"/>
  <c r="S142" i="2"/>
  <c r="T142" i="2"/>
  <c r="S138" i="2"/>
  <c r="T138" i="2"/>
  <c r="R138" i="2"/>
  <c r="T134" i="2"/>
  <c r="S134" i="2"/>
  <c r="R134" i="2"/>
  <c r="T130" i="2"/>
  <c r="S130" i="2"/>
  <c r="T126" i="2"/>
  <c r="S126" i="2"/>
  <c r="R126" i="2"/>
  <c r="T122" i="2"/>
  <c r="S122" i="2"/>
  <c r="R122" i="2"/>
  <c r="R118" i="2"/>
  <c r="S118" i="2"/>
  <c r="S114" i="2"/>
  <c r="T114" i="2"/>
  <c r="S110" i="2"/>
  <c r="T110" i="2"/>
  <c r="S106" i="2"/>
  <c r="T106" i="2"/>
  <c r="R106" i="2"/>
  <c r="S102" i="2"/>
  <c r="T102" i="2"/>
  <c r="T98" i="2"/>
  <c r="S98" i="2"/>
  <c r="S94" i="2"/>
  <c r="R94" i="2"/>
  <c r="T94" i="2"/>
  <c r="R90" i="2"/>
  <c r="T90" i="2"/>
  <c r="S90" i="2"/>
  <c r="S86" i="2"/>
  <c r="T82" i="2"/>
  <c r="S82" i="2"/>
  <c r="T78" i="2"/>
  <c r="R78" i="2"/>
  <c r="S78" i="2"/>
  <c r="S74" i="2"/>
  <c r="T74" i="2"/>
  <c r="T70" i="2"/>
  <c r="S70" i="2"/>
  <c r="T66" i="2"/>
  <c r="S66" i="2"/>
  <c r="S62" i="2"/>
  <c r="T62" i="2"/>
  <c r="T58" i="2"/>
  <c r="S58" i="2"/>
  <c r="T54" i="2"/>
  <c r="S54" i="2"/>
  <c r="S50" i="2"/>
  <c r="T50" i="2"/>
  <c r="S46" i="2"/>
  <c r="T46" i="2"/>
  <c r="T42" i="2"/>
  <c r="S42" i="2"/>
  <c r="R42" i="2"/>
  <c r="S38" i="2"/>
  <c r="T38" i="2"/>
  <c r="S34" i="2"/>
  <c r="R34" i="2"/>
  <c r="T34" i="2"/>
  <c r="S30" i="2"/>
  <c r="T30" i="2"/>
  <c r="T26" i="2"/>
  <c r="S26" i="2"/>
  <c r="R26" i="2"/>
  <c r="T22" i="2"/>
  <c r="S22" i="2"/>
  <c r="T18" i="2"/>
  <c r="R18" i="2"/>
  <c r="S18" i="2"/>
  <c r="T14" i="2"/>
  <c r="R14" i="2"/>
  <c r="S14" i="2"/>
  <c r="R10" i="2"/>
  <c r="T10" i="2"/>
  <c r="S10" i="2"/>
  <c r="T6" i="2"/>
  <c r="S6" i="2"/>
  <c r="S2" i="2"/>
  <c r="T5" i="2"/>
  <c r="R5" i="2"/>
  <c r="S5" i="2"/>
  <c r="R9" i="2"/>
  <c r="T9" i="2"/>
  <c r="S9" i="2"/>
  <c r="S13" i="2"/>
  <c r="T13" i="2"/>
  <c r="S17" i="2"/>
  <c r="T17" i="2"/>
  <c r="R17" i="2"/>
  <c r="S21" i="2"/>
  <c r="T21" i="2"/>
  <c r="R21" i="2"/>
  <c r="S25" i="2"/>
  <c r="T25" i="2"/>
  <c r="R25" i="2"/>
  <c r="T29" i="2"/>
  <c r="S29" i="2"/>
  <c r="T33" i="2"/>
  <c r="S33" i="2"/>
  <c r="R37" i="2"/>
  <c r="S37" i="2"/>
  <c r="T37" i="2"/>
  <c r="T41" i="2"/>
  <c r="R41" i="2"/>
  <c r="S41" i="2"/>
  <c r="T45" i="2"/>
  <c r="S45" i="2"/>
  <c r="S49" i="2"/>
  <c r="T49" i="2"/>
  <c r="T53" i="2"/>
  <c r="R53" i="2"/>
  <c r="S53" i="2"/>
  <c r="T57" i="2"/>
  <c r="S57" i="2"/>
  <c r="R57" i="2"/>
  <c r="T61" i="2"/>
  <c r="S61" i="2"/>
  <c r="T65" i="2"/>
  <c r="S65" i="2"/>
  <c r="T69" i="2"/>
  <c r="S69" i="2"/>
  <c r="S73" i="2"/>
  <c r="T73" i="2"/>
  <c r="T77" i="2"/>
  <c r="S77" i="2"/>
  <c r="R81" i="2"/>
  <c r="T81" i="2"/>
  <c r="S81" i="2"/>
  <c r="S85" i="2"/>
  <c r="T85" i="2"/>
  <c r="S89" i="2"/>
  <c r="T89" i="2"/>
  <c r="S93" i="2"/>
  <c r="R93" i="2"/>
  <c r="T93" i="2"/>
  <c r="T97" i="2"/>
  <c r="S97" i="2"/>
  <c r="R97" i="2"/>
  <c r="R101" i="2"/>
  <c r="S101" i="2"/>
  <c r="T101" i="2"/>
  <c r="S105" i="2"/>
  <c r="R105" i="2"/>
  <c r="T105" i="2"/>
  <c r="T109" i="2"/>
  <c r="S109" i="2"/>
  <c r="S113" i="2"/>
  <c r="T113" i="2"/>
  <c r="T117" i="2"/>
  <c r="S117" i="2"/>
  <c r="T121" i="2"/>
  <c r="S121" i="2"/>
  <c r="T125" i="2"/>
  <c r="S125" i="2"/>
  <c r="S129" i="2"/>
  <c r="T129" i="2"/>
  <c r="S133" i="2"/>
  <c r="T133" i="2"/>
  <c r="S137" i="2"/>
  <c r="R137" i="2"/>
  <c r="T137" i="2"/>
  <c r="S141" i="2"/>
  <c r="T141" i="2"/>
  <c r="S145" i="2"/>
  <c r="T145" i="2"/>
  <c r="T149" i="2"/>
  <c r="S149" i="2"/>
  <c r="S153" i="2"/>
  <c r="T153" i="2"/>
  <c r="S157" i="2"/>
  <c r="T157" i="2"/>
  <c r="S161" i="2"/>
  <c r="T161" i="2"/>
  <c r="R161" i="2"/>
  <c r="S165" i="2"/>
  <c r="T165" i="2"/>
  <c r="T169" i="2"/>
  <c r="S169" i="2"/>
  <c r="T173" i="2"/>
  <c r="S173" i="2"/>
  <c r="S177" i="2"/>
  <c r="T177" i="2"/>
  <c r="R177" i="2"/>
  <c r="T181" i="2"/>
  <c r="S181" i="2"/>
  <c r="T185" i="2"/>
  <c r="S185" i="2"/>
  <c r="T189" i="2"/>
  <c r="S189" i="2"/>
  <c r="R193" i="2"/>
  <c r="S193" i="2"/>
  <c r="T193" i="2"/>
  <c r="S197" i="2"/>
  <c r="T197" i="2"/>
  <c r="R197" i="2"/>
  <c r="S201" i="2"/>
  <c r="T201" i="2"/>
  <c r="S205" i="2"/>
  <c r="R205" i="2"/>
  <c r="T205" i="2"/>
  <c r="T209" i="2"/>
  <c r="S209" i="2"/>
  <c r="R209" i="2"/>
  <c r="S213" i="2"/>
  <c r="R213" i="2"/>
  <c r="T213" i="2"/>
  <c r="T217" i="2"/>
  <c r="R217" i="2"/>
  <c r="S217" i="2"/>
  <c r="T221" i="2"/>
  <c r="S221" i="2"/>
  <c r="T225" i="2"/>
  <c r="R225" i="2"/>
  <c r="S225" i="2"/>
  <c r="S229" i="2"/>
  <c r="T229" i="2"/>
  <c r="R229" i="2"/>
  <c r="T233" i="2"/>
  <c r="S233" i="2"/>
  <c r="T237" i="2"/>
  <c r="S237" i="2"/>
  <c r="T241" i="2"/>
  <c r="S241" i="2"/>
  <c r="T245" i="2"/>
  <c r="R245" i="2"/>
  <c r="S245" i="2"/>
  <c r="S253" i="2"/>
  <c r="T253" i="2"/>
  <c r="R253" i="2"/>
  <c r="S269" i="2"/>
  <c r="T269" i="2"/>
  <c r="R269" i="2"/>
  <c r="R285" i="2"/>
  <c r="T285" i="2"/>
  <c r="S285" i="2"/>
  <c r="T301" i="2"/>
  <c r="S301" i="2"/>
  <c r="R301" i="2"/>
  <c r="T317" i="2"/>
  <c r="S317" i="2"/>
  <c r="S333" i="2"/>
  <c r="R333" i="2"/>
  <c r="T333" i="2"/>
  <c r="T349" i="2"/>
  <c r="S349" i="2"/>
  <c r="T808" i="2"/>
  <c r="R808" i="2"/>
  <c r="S808" i="2"/>
  <c r="S545" i="2"/>
  <c r="R545" i="2"/>
  <c r="T545" i="2"/>
  <c r="T445" i="2"/>
  <c r="R445" i="2"/>
  <c r="S445" i="2"/>
  <c r="S381" i="2"/>
  <c r="T381" i="2"/>
  <c r="R381" i="2"/>
  <c r="S365" i="2"/>
  <c r="T365" i="2"/>
  <c r="S397" i="2"/>
  <c r="T397" i="2"/>
  <c r="R413" i="2"/>
  <c r="S413" i="2"/>
  <c r="T413" i="2"/>
  <c r="T429" i="2"/>
  <c r="R429" i="2"/>
  <c r="S429" i="2"/>
  <c r="S461" i="2"/>
  <c r="T513" i="2"/>
  <c r="S513" i="2"/>
  <c r="T577" i="2"/>
  <c r="R577" i="2"/>
  <c r="S577" i="2"/>
  <c r="T609" i="2"/>
  <c r="R609" i="2"/>
  <c r="S609" i="2"/>
  <c r="S680" i="2"/>
  <c r="T680" i="2"/>
  <c r="T482" i="2"/>
  <c r="S482" i="2"/>
  <c r="R482" i="2"/>
  <c r="R3" i="2"/>
  <c r="S3" i="2"/>
  <c r="T3" i="2"/>
  <c r="R2" i="2"/>
  <c r="R1002" i="2" l="1"/>
  <c r="T1002" i="2"/>
</calcChain>
</file>

<file path=xl/sharedStrings.xml><?xml version="1.0" encoding="utf-8"?>
<sst xmlns="http://schemas.openxmlformats.org/spreadsheetml/2006/main" count="10199" uniqueCount="1117">
  <si>
    <t>TransactionID</t>
  </si>
  <si>
    <t>CustomerID</t>
  </si>
  <si>
    <t>MarketingSpend</t>
  </si>
  <si>
    <t>CampaignType</t>
  </si>
  <si>
    <t>Impressions</t>
  </si>
  <si>
    <t>Clicks</t>
  </si>
  <si>
    <t>ConversionRate</t>
  </si>
  <si>
    <t>Revenue</t>
  </si>
  <si>
    <t>ProductCategory</t>
  </si>
  <si>
    <t>PaidCustomer</t>
  </si>
  <si>
    <t>CustomerAge</t>
  </si>
  <si>
    <t>CustomerLocation</t>
  </si>
  <si>
    <t>ReferralSource</t>
  </si>
  <si>
    <t>CustomerSatisfaction</t>
  </si>
  <si>
    <t>TX0001</t>
  </si>
  <si>
    <t>PPC</t>
  </si>
  <si>
    <t>InvalidData</t>
  </si>
  <si>
    <t>Clothing</t>
  </si>
  <si>
    <t>West</t>
  </si>
  <si>
    <t>Organic</t>
  </si>
  <si>
    <t>TX0002</t>
  </si>
  <si>
    <t>Toys</t>
  </si>
  <si>
    <t>North</t>
  </si>
  <si>
    <t>Direct</t>
  </si>
  <si>
    <t>TX0003</t>
  </si>
  <si>
    <t>Affiliate</t>
  </si>
  <si>
    <t>Beauty</t>
  </si>
  <si>
    <t>TX0004</t>
  </si>
  <si>
    <t>Influencer</t>
  </si>
  <si>
    <t>Electronics</t>
  </si>
  <si>
    <t>TX0005</t>
  </si>
  <si>
    <t>East</t>
  </si>
  <si>
    <t>Social Media</t>
  </si>
  <si>
    <t>TX0006</t>
  </si>
  <si>
    <t>Home &amp; Kitchen</t>
  </si>
  <si>
    <t>TX0007</t>
  </si>
  <si>
    <t>TX0008</t>
  </si>
  <si>
    <t>South</t>
  </si>
  <si>
    <t>Paid Ad</t>
  </si>
  <si>
    <t>TX0009</t>
  </si>
  <si>
    <t>Email</t>
  </si>
  <si>
    <t>TX0010</t>
  </si>
  <si>
    <t>TX0011</t>
  </si>
  <si>
    <t>TX0012</t>
  </si>
  <si>
    <t>TX0013</t>
  </si>
  <si>
    <t>Unknown</t>
  </si>
  <si>
    <t>TX0014</t>
  </si>
  <si>
    <t>TX0015</t>
  </si>
  <si>
    <t>TX0016</t>
  </si>
  <si>
    <t>Invalid</t>
  </si>
  <si>
    <t>TX0017</t>
  </si>
  <si>
    <t>TX0018</t>
  </si>
  <si>
    <t>TX0019</t>
  </si>
  <si>
    <t>TX0020</t>
  </si>
  <si>
    <t>TX0021</t>
  </si>
  <si>
    <t>TX0022</t>
  </si>
  <si>
    <t>TX0023</t>
  </si>
  <si>
    <t>TX0024</t>
  </si>
  <si>
    <t>TX0025</t>
  </si>
  <si>
    <t>TX0026</t>
  </si>
  <si>
    <t>TX0027</t>
  </si>
  <si>
    <t>TX0028</t>
  </si>
  <si>
    <t>TX0029</t>
  </si>
  <si>
    <t>TX0030</t>
  </si>
  <si>
    <t>TX0031</t>
  </si>
  <si>
    <t>TX0032</t>
  </si>
  <si>
    <t>TX0033</t>
  </si>
  <si>
    <t>TX0034</t>
  </si>
  <si>
    <t>TX0035</t>
  </si>
  <si>
    <t>TX0036</t>
  </si>
  <si>
    <t>TX0037</t>
  </si>
  <si>
    <t>TX0038</t>
  </si>
  <si>
    <t>TX0039</t>
  </si>
  <si>
    <t>TX0040</t>
  </si>
  <si>
    <t>TX0041</t>
  </si>
  <si>
    <t>TX0042</t>
  </si>
  <si>
    <t>TX0043</t>
  </si>
  <si>
    <t>TX0044</t>
  </si>
  <si>
    <t>TX0045</t>
  </si>
  <si>
    <t>TX0046</t>
  </si>
  <si>
    <t>TX0047</t>
  </si>
  <si>
    <t>TX0048</t>
  </si>
  <si>
    <t>TX0049</t>
  </si>
  <si>
    <t>TX0050</t>
  </si>
  <si>
    <t>TX0051</t>
  </si>
  <si>
    <t>TX0052</t>
  </si>
  <si>
    <t>TX0053</t>
  </si>
  <si>
    <t>TX0054</t>
  </si>
  <si>
    <t>TX0055</t>
  </si>
  <si>
    <t>TX0056</t>
  </si>
  <si>
    <t>TX0057</t>
  </si>
  <si>
    <t>TX0058</t>
  </si>
  <si>
    <t>TX0059</t>
  </si>
  <si>
    <t>TX0060</t>
  </si>
  <si>
    <t>TX0061</t>
  </si>
  <si>
    <t>TX0062</t>
  </si>
  <si>
    <t>TX0063</t>
  </si>
  <si>
    <t>TX0064</t>
  </si>
  <si>
    <t>TX0065</t>
  </si>
  <si>
    <t>TX0066</t>
  </si>
  <si>
    <t>TX0067</t>
  </si>
  <si>
    <t>TX0068</t>
  </si>
  <si>
    <t>TX0069</t>
  </si>
  <si>
    <t>TX0070</t>
  </si>
  <si>
    <t>TX0071</t>
  </si>
  <si>
    <t>TX0072</t>
  </si>
  <si>
    <t>TX0073</t>
  </si>
  <si>
    <t>TX0074</t>
  </si>
  <si>
    <t>TX0075</t>
  </si>
  <si>
    <t>TX0076</t>
  </si>
  <si>
    <t>TX0077</t>
  </si>
  <si>
    <t>TX0078</t>
  </si>
  <si>
    <t>TX0079</t>
  </si>
  <si>
    <t>TX0080</t>
  </si>
  <si>
    <t>TX0081</t>
  </si>
  <si>
    <t>TX0082</t>
  </si>
  <si>
    <t>TX0083</t>
  </si>
  <si>
    <t>TX0084</t>
  </si>
  <si>
    <t>TX0085</t>
  </si>
  <si>
    <t>TX0086</t>
  </si>
  <si>
    <t>TX0087</t>
  </si>
  <si>
    <t>TX0088</t>
  </si>
  <si>
    <t>TX0089</t>
  </si>
  <si>
    <t>TX0090</t>
  </si>
  <si>
    <t>TX0091</t>
  </si>
  <si>
    <t>TX0092</t>
  </si>
  <si>
    <t>TX0093</t>
  </si>
  <si>
    <t>TX0094</t>
  </si>
  <si>
    <t>TX0095</t>
  </si>
  <si>
    <t>TX0096</t>
  </si>
  <si>
    <t>TX0097</t>
  </si>
  <si>
    <t>TX0098</t>
  </si>
  <si>
    <t>TX0099</t>
  </si>
  <si>
    <t>TX0100</t>
  </si>
  <si>
    <t>TX0101</t>
  </si>
  <si>
    <t>TX0102</t>
  </si>
  <si>
    <t>TX0103</t>
  </si>
  <si>
    <t>TX0104</t>
  </si>
  <si>
    <t>TX0105</t>
  </si>
  <si>
    <t>TX0106</t>
  </si>
  <si>
    <t>TX0107</t>
  </si>
  <si>
    <t>TX0108</t>
  </si>
  <si>
    <t>TX0109</t>
  </si>
  <si>
    <t>TX0110</t>
  </si>
  <si>
    <t>TX0111</t>
  </si>
  <si>
    <t>TX0112</t>
  </si>
  <si>
    <t>TX0113</t>
  </si>
  <si>
    <t>TX0114</t>
  </si>
  <si>
    <t>TX0115</t>
  </si>
  <si>
    <t>TX0116</t>
  </si>
  <si>
    <t>TX0117</t>
  </si>
  <si>
    <t>TX0118</t>
  </si>
  <si>
    <t>TX0119</t>
  </si>
  <si>
    <t>TX0120</t>
  </si>
  <si>
    <t>TX0121</t>
  </si>
  <si>
    <t>TX0122</t>
  </si>
  <si>
    <t>TX0123</t>
  </si>
  <si>
    <t>TX0124</t>
  </si>
  <si>
    <t>TX0125</t>
  </si>
  <si>
    <t>TX0126</t>
  </si>
  <si>
    <t>TX0127</t>
  </si>
  <si>
    <t>TX0128</t>
  </si>
  <si>
    <t>TX0129</t>
  </si>
  <si>
    <t>TX0130</t>
  </si>
  <si>
    <t>TX0131</t>
  </si>
  <si>
    <t>TX0132</t>
  </si>
  <si>
    <t>TX0133</t>
  </si>
  <si>
    <t>TX0134</t>
  </si>
  <si>
    <t>TX0135</t>
  </si>
  <si>
    <t>TX0136</t>
  </si>
  <si>
    <t>TX0137</t>
  </si>
  <si>
    <t>TX0138</t>
  </si>
  <si>
    <t>TX0139</t>
  </si>
  <si>
    <t>TX0140</t>
  </si>
  <si>
    <t>TX0141</t>
  </si>
  <si>
    <t>TX0142</t>
  </si>
  <si>
    <t>TX0143</t>
  </si>
  <si>
    <t>TX0144</t>
  </si>
  <si>
    <t>TX0145</t>
  </si>
  <si>
    <t>TX0146</t>
  </si>
  <si>
    <t>TX0147</t>
  </si>
  <si>
    <t>TX0148</t>
  </si>
  <si>
    <t>TX0149</t>
  </si>
  <si>
    <t>TX0150</t>
  </si>
  <si>
    <t>TX0151</t>
  </si>
  <si>
    <t>TX0152</t>
  </si>
  <si>
    <t>TX0153</t>
  </si>
  <si>
    <t>TX0154</t>
  </si>
  <si>
    <t>TX0155</t>
  </si>
  <si>
    <t>TX0156</t>
  </si>
  <si>
    <t>TX0157</t>
  </si>
  <si>
    <t>TX0158</t>
  </si>
  <si>
    <t>TX0159</t>
  </si>
  <si>
    <t>TX0160</t>
  </si>
  <si>
    <t>TX0161</t>
  </si>
  <si>
    <t>TX0162</t>
  </si>
  <si>
    <t>TX0163</t>
  </si>
  <si>
    <t>TX0164</t>
  </si>
  <si>
    <t>TX0165</t>
  </si>
  <si>
    <t>TX0166</t>
  </si>
  <si>
    <t>TX0167</t>
  </si>
  <si>
    <t>TX0168</t>
  </si>
  <si>
    <t>TX0169</t>
  </si>
  <si>
    <t>TX0170</t>
  </si>
  <si>
    <t>TX0171</t>
  </si>
  <si>
    <t>TX0172</t>
  </si>
  <si>
    <t>TX0173</t>
  </si>
  <si>
    <t>TX0174</t>
  </si>
  <si>
    <t>TX0175</t>
  </si>
  <si>
    <t>TX0176</t>
  </si>
  <si>
    <t>TX0177</t>
  </si>
  <si>
    <t>TX0178</t>
  </si>
  <si>
    <t>TX0179</t>
  </si>
  <si>
    <t>TX0180</t>
  </si>
  <si>
    <t>TX0181</t>
  </si>
  <si>
    <t>TX0182</t>
  </si>
  <si>
    <t>TX0183</t>
  </si>
  <si>
    <t>TX0184</t>
  </si>
  <si>
    <t>TX0185</t>
  </si>
  <si>
    <t>TX0186</t>
  </si>
  <si>
    <t>TX0187</t>
  </si>
  <si>
    <t>TX0188</t>
  </si>
  <si>
    <t>TX0189</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</si>
  <si>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</si>
  <si>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</si>
  <si>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</si>
  <si>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</si>
  <si>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</si>
  <si>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</si>
  <si>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</si>
  <si>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</si>
  <si>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</si>
  <si>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</si>
  <si>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</si>
  <si>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</si>
  <si>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</si>
  <si>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</si>
  <si>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</si>
  <si>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</si>
  <si>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</si>
  <si>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</si>
  <si>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</si>
  <si>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</si>
  <si>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</si>
  <si>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</si>
  <si>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</si>
  <si>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</si>
  <si>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</si>
  <si>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</si>
  <si>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TX0216</t>
  </si>
  <si>
    <t>TX0217</t>
  </si>
  <si>
    <t>TX0218</t>
  </si>
  <si>
    <t>TX0219</t>
  </si>
  <si>
    <t>TX0220</t>
  </si>
  <si>
    <t>TX0221</t>
  </si>
  <si>
    <t>TX0222</t>
  </si>
  <si>
    <t>TX0223</t>
  </si>
  <si>
    <t>TX0224</t>
  </si>
  <si>
    <t>TX0225</t>
  </si>
  <si>
    <t>TX0226</t>
  </si>
  <si>
    <t>TX0227</t>
  </si>
  <si>
    <t>TX0228</t>
  </si>
  <si>
    <t>TX0229</t>
  </si>
  <si>
    <t>TX0230</t>
  </si>
  <si>
    <t>TX0231</t>
  </si>
  <si>
    <t>TX0232</t>
  </si>
  <si>
    <t>TX0233</t>
  </si>
  <si>
    <t>TX0234</t>
  </si>
  <si>
    <t>TX0235</t>
  </si>
  <si>
    <t>TX0236</t>
  </si>
  <si>
    <t>TX0237</t>
  </si>
  <si>
    <t>TX0238</t>
  </si>
  <si>
    <t>TX0239</t>
  </si>
  <si>
    <t>TX0240</t>
  </si>
  <si>
    <t>TX0241</t>
  </si>
  <si>
    <t>TX0242</t>
  </si>
  <si>
    <t>TX0243</t>
  </si>
  <si>
    <t>TX0244</t>
  </si>
  <si>
    <t>TX0245</t>
  </si>
  <si>
    <t>TX0246</t>
  </si>
  <si>
    <t>TX0247</t>
  </si>
  <si>
    <t>TX0248</t>
  </si>
  <si>
    <t>TX0249</t>
  </si>
  <si>
    <t>TX0250</t>
  </si>
  <si>
    <t>TX0251</t>
  </si>
  <si>
    <t>TX0252</t>
  </si>
  <si>
    <t>TX0253</t>
  </si>
  <si>
    <t>TX0254</t>
  </si>
  <si>
    <t>TX0255</t>
  </si>
  <si>
    <t>TX0256</t>
  </si>
  <si>
    <t>TX0257</t>
  </si>
  <si>
    <t>TX0258</t>
  </si>
  <si>
    <t>TX0259</t>
  </si>
  <si>
    <t>TX0260</t>
  </si>
  <si>
    <t>TX0261</t>
  </si>
  <si>
    <t>TX0262</t>
  </si>
  <si>
    <t>TX0263</t>
  </si>
  <si>
    <t>TX0264</t>
  </si>
  <si>
    <t>TX0265</t>
  </si>
  <si>
    <t>TX0266</t>
  </si>
  <si>
    <t>TX0267</t>
  </si>
  <si>
    <t>TX0268</t>
  </si>
  <si>
    <t>TX0269</t>
  </si>
  <si>
    <t>TX0270</t>
  </si>
  <si>
    <t>TX0271</t>
  </si>
  <si>
    <t>TX0272</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</si>
  <si>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</si>
  <si>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</si>
  <si>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</si>
  <si>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</si>
  <si>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</si>
  <si>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</si>
  <si>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</si>
  <si>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</si>
  <si>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</si>
  <si>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</si>
  <si>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</si>
  <si>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</si>
  <si>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</si>
  <si>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</si>
  <si>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</si>
  <si>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</si>
  <si>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</si>
  <si>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</si>
  <si>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</si>
  <si>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</si>
  <si>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TX0293</t>
  </si>
  <si>
    <t>TX0294</t>
  </si>
  <si>
    <t>TX0295</t>
  </si>
  <si>
    <t>TX0296</t>
  </si>
  <si>
    <t>TX0297</t>
  </si>
  <si>
    <t>TX0298</t>
  </si>
  <si>
    <t>TX0299</t>
  </si>
  <si>
    <t>TX0300</t>
  </si>
  <si>
    <t>TX0301</t>
  </si>
  <si>
    <t>TX0302</t>
  </si>
  <si>
    <t>TX0303</t>
  </si>
  <si>
    <t>TX0304</t>
  </si>
  <si>
    <t>TX0305</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</si>
  <si>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</si>
  <si>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</si>
  <si>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</si>
  <si>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</si>
  <si>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</si>
  <si>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</si>
  <si>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</si>
  <si>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</si>
  <si>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</si>
  <si>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</si>
  <si>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</si>
  <si>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</si>
  <si>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</si>
  <si>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</si>
  <si>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</si>
  <si>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</si>
  <si>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</si>
  <si>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</si>
  <si>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</si>
  <si>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</si>
  <si>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</si>
  <si>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</si>
  <si>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</si>
  <si>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</si>
  <si>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</si>
  <si>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</si>
  <si>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</si>
  <si>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</si>
  <si>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</si>
  <si>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</si>
  <si>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</si>
  <si>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</si>
  <si>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</si>
  <si>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</si>
  <si>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</si>
  <si>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</si>
  <si>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</si>
  <si>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</si>
  <si>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</si>
  <si>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</si>
  <si>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</si>
  <si>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</si>
  <si>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</si>
  <si>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</si>
  <si>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</si>
  <si>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</si>
  <si>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</si>
  <si>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</si>
  <si>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</si>
  <si>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</si>
  <si>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</si>
  <si>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</si>
  <si>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</si>
  <si>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</si>
  <si>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</si>
  <si>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</si>
  <si>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</si>
  <si>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</si>
  <si>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</si>
  <si>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</si>
  <si>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</si>
  <si>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</si>
  <si>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</si>
  <si>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</si>
  <si>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</si>
  <si>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</si>
  <si>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</si>
  <si>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</si>
  <si>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</si>
  <si>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</si>
  <si>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</si>
  <si>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</si>
  <si>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</si>
  <si>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</si>
  <si>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</si>
  <si>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</si>
  <si>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</si>
  <si>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</si>
  <si>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</si>
  <si>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</si>
  <si>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</si>
  <si>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</si>
  <si>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</si>
  <si>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</si>
  <si>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</si>
  <si>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</si>
  <si>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</si>
  <si>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</si>
  <si>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</si>
  <si>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</si>
  <si>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</si>
  <si>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</si>
  <si>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</si>
  <si>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</si>
  <si>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</si>
  <si>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</si>
  <si>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</si>
  <si>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</si>
  <si>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</si>
  <si>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</si>
  <si>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</si>
  <si>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</si>
  <si>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</si>
  <si>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</si>
  <si>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</si>
  <si>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</si>
  <si>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</si>
  <si>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</si>
  <si>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</si>
  <si>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</si>
  <si>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</si>
  <si>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</si>
  <si>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</si>
  <si>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</si>
  <si>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</si>
  <si>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</si>
  <si>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</si>
  <si>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</si>
  <si>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</si>
  <si>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</si>
  <si>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</si>
  <si>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</si>
  <si>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</si>
  <si>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</si>
  <si>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</si>
  <si>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</si>
  <si>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</si>
  <si>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</si>
  <si>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</si>
  <si>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</si>
  <si>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</si>
  <si>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</si>
  <si>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</si>
  <si>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</si>
  <si>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</si>
  <si>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</si>
  <si>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</si>
  <si>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</si>
  <si>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TX0444</t>
  </si>
  <si>
    <t>TX0445</t>
  </si>
  <si>
    <t>TX0446</t>
  </si>
  <si>
    <t>TX0447</t>
  </si>
  <si>
    <t>TX0448</t>
  </si>
  <si>
    <t>TX0449</t>
  </si>
  <si>
    <t>TX0450</t>
  </si>
  <si>
    <t>TX0451</t>
  </si>
  <si>
    <t>TX0452</t>
  </si>
  <si>
    <t>TX0453</t>
  </si>
  <si>
    <t>TX0454</t>
  </si>
  <si>
    <t>TX0455</t>
  </si>
  <si>
    <t>TX0456</t>
  </si>
  <si>
    <t>TX0457</t>
  </si>
  <si>
    <t>TX0458</t>
  </si>
  <si>
    <t>TX0459</t>
  </si>
  <si>
    <t>TX0460</t>
  </si>
  <si>
    <t>TX0461</t>
  </si>
  <si>
    <t>TX0462</t>
  </si>
  <si>
    <t>TX0463</t>
  </si>
  <si>
    <t>TX0464</t>
  </si>
  <si>
    <t>TX0465</t>
  </si>
  <si>
    <t>TX0466</t>
  </si>
  <si>
    <t>TX0467</t>
  </si>
  <si>
    <t>TX0468</t>
  </si>
  <si>
    <t>TX0469</t>
  </si>
  <si>
    <t>TX0470</t>
  </si>
  <si>
    <t>TX0471</t>
  </si>
  <si>
    <t>TX0472</t>
  </si>
  <si>
    <t>TX0473</t>
  </si>
  <si>
    <t>TX0474</t>
  </si>
  <si>
    <t>TX0475</t>
  </si>
  <si>
    <t>TX0476</t>
  </si>
  <si>
    <t>TX0477</t>
  </si>
  <si>
    <t>TX0478</t>
  </si>
  <si>
    <t>TX0479</t>
  </si>
  <si>
    <t>TX0480</t>
  </si>
  <si>
    <t>TX0481</t>
  </si>
  <si>
    <t>TX0482</t>
  </si>
  <si>
    <t>TX0483</t>
  </si>
  <si>
    <t>TX0484</t>
  </si>
  <si>
    <t>TX0485</t>
  </si>
  <si>
    <t>TX0486</t>
  </si>
  <si>
    <t>TX0487</t>
  </si>
  <si>
    <t>TX0488</t>
  </si>
  <si>
    <t>TX0489</t>
  </si>
  <si>
    <t>TX0490</t>
  </si>
  <si>
    <t>TX0491</t>
  </si>
  <si>
    <t>TX0492</t>
  </si>
  <si>
    <t>TX0493</t>
  </si>
  <si>
    <t>TX0494</t>
  </si>
  <si>
    <t>TX0495</t>
  </si>
  <si>
    <t>TX0496</t>
  </si>
  <si>
    <t>TX0497</t>
  </si>
  <si>
    <t>TX0498</t>
  </si>
  <si>
    <t>TX0499</t>
  </si>
  <si>
    <t>TX0500</t>
  </si>
  <si>
    <t>TX0501</t>
  </si>
  <si>
    <t>TX0502</t>
  </si>
  <si>
    <t>TX0503</t>
  </si>
  <si>
    <t>TX0504</t>
  </si>
  <si>
    <t>TX0505</t>
  </si>
  <si>
    <t>TX0506</t>
  </si>
  <si>
    <t>TX0507</t>
  </si>
  <si>
    <t>TX0508</t>
  </si>
  <si>
    <t>TX0509</t>
  </si>
  <si>
    <t>TX0510</t>
  </si>
  <si>
    <t>TX0511</t>
  </si>
  <si>
    <t>TX0512</t>
  </si>
  <si>
    <t>TX0513</t>
  </si>
  <si>
    <t>TX0514</t>
  </si>
  <si>
    <t>TX0515</t>
  </si>
  <si>
    <t>TX0516</t>
  </si>
  <si>
    <t>TX0517</t>
  </si>
  <si>
    <t>TX0518</t>
  </si>
  <si>
    <t>TX0519</t>
  </si>
  <si>
    <t>TX0520</t>
  </si>
  <si>
    <t>TX0521</t>
  </si>
  <si>
    <t>TX0522</t>
  </si>
  <si>
    <t>TX0523</t>
  </si>
  <si>
    <t>TX0524</t>
  </si>
  <si>
    <t>TX0525</t>
  </si>
  <si>
    <t>TX0526</t>
  </si>
  <si>
    <t>TX0527</t>
  </si>
  <si>
    <t>TX0528</t>
  </si>
  <si>
    <t>TX0529</t>
  </si>
  <si>
    <t>TX0530</t>
  </si>
  <si>
    <t>TX0531</t>
  </si>
  <si>
    <t>TX0532</t>
  </si>
  <si>
    <t>TX0533</t>
  </si>
  <si>
    <t>TX0534</t>
  </si>
  <si>
    <t>TX0535</t>
  </si>
  <si>
    <t>TX0536</t>
  </si>
  <si>
    <t>TX0537</t>
  </si>
  <si>
    <t>TX0538</t>
  </si>
  <si>
    <t>TX0539</t>
  </si>
  <si>
    <t>TX0540</t>
  </si>
  <si>
    <t>TX0541</t>
  </si>
  <si>
    <t>TX0542</t>
  </si>
  <si>
    <t>TX0543</t>
  </si>
  <si>
    <t>TX0544</t>
  </si>
  <si>
    <t>TX0545</t>
  </si>
  <si>
    <t>TX0546</t>
  </si>
  <si>
    <t>TX0547</t>
  </si>
  <si>
    <t>TX0548</t>
  </si>
  <si>
    <t>TX0549</t>
  </si>
  <si>
    <t>TX0550</t>
  </si>
  <si>
    <t>TX0551</t>
  </si>
  <si>
    <t>TX0552</t>
  </si>
  <si>
    <t>TX0553</t>
  </si>
  <si>
    <t>TX0554</t>
  </si>
  <si>
    <t>TX0555</t>
  </si>
  <si>
    <t>TX0556</t>
  </si>
  <si>
    <t>TX0557</t>
  </si>
  <si>
    <t>TX0558</t>
  </si>
  <si>
    <t>TX0559</t>
  </si>
  <si>
    <t>TX0560</t>
  </si>
  <si>
    <t>TX0561</t>
  </si>
  <si>
    <t>TX0562</t>
  </si>
  <si>
    <t>TX0563</t>
  </si>
  <si>
    <t>TX0564</t>
  </si>
  <si>
    <t>TX0565</t>
  </si>
  <si>
    <t>TX0566</t>
  </si>
  <si>
    <t>TX0567</t>
  </si>
  <si>
    <t>TX0568</t>
  </si>
  <si>
    <t>TX0569</t>
  </si>
  <si>
    <t>TX0570</t>
  </si>
  <si>
    <t>TX0571</t>
  </si>
  <si>
    <t>TX0572</t>
  </si>
  <si>
    <t>TX0573</t>
  </si>
  <si>
    <t>TX0574</t>
  </si>
  <si>
    <t>TX0575</t>
  </si>
  <si>
    <t>TX0576</t>
  </si>
  <si>
    <t>TX0577</t>
  </si>
  <si>
    <t>TX0578</t>
  </si>
  <si>
    <t>TX0579</t>
  </si>
  <si>
    <t>TX0580</t>
  </si>
  <si>
    <t>TX0581</t>
  </si>
  <si>
    <t>TX0582</t>
  </si>
  <si>
    <t>TX0583</t>
  </si>
  <si>
    <t>TX0584</t>
  </si>
  <si>
    <t>TX0585</t>
  </si>
  <si>
    <t>TX0586</t>
  </si>
  <si>
    <t>TX0587</t>
  </si>
  <si>
    <t>TX0588</t>
  </si>
  <si>
    <t>TX0589</t>
  </si>
  <si>
    <t>TX0590</t>
  </si>
  <si>
    <t>TX0591</t>
  </si>
  <si>
    <t>TX0592</t>
  </si>
  <si>
    <t>TX0593</t>
  </si>
  <si>
    <t>TX0594</t>
  </si>
  <si>
    <t>TX0595</t>
  </si>
  <si>
    <t>TX0596</t>
  </si>
  <si>
    <t>TX0597</t>
  </si>
  <si>
    <t>TX0598</t>
  </si>
  <si>
    <t>TX0599</t>
  </si>
  <si>
    <t>TX0600</t>
  </si>
  <si>
    <t>TX0601</t>
  </si>
  <si>
    <t>TX0602</t>
  </si>
  <si>
    <t>TX0603</t>
  </si>
  <si>
    <t>TX0604</t>
  </si>
  <si>
    <t>TX0605</t>
  </si>
  <si>
    <t>TX0606</t>
  </si>
  <si>
    <t>TX0607</t>
  </si>
  <si>
    <t>TX0608</t>
  </si>
  <si>
    <t>TX0609</t>
  </si>
  <si>
    <t>TX0610</t>
  </si>
  <si>
    <t>TX0611</t>
  </si>
  <si>
    <t>TX0612</t>
  </si>
  <si>
    <t>TX0613</t>
  </si>
  <si>
    <t>TX0614</t>
  </si>
  <si>
    <t>TX0615</t>
  </si>
  <si>
    <t>TX0616</t>
  </si>
  <si>
    <t>TX0617</t>
  </si>
  <si>
    <t>TX0618</t>
  </si>
  <si>
    <t>TX0619</t>
  </si>
  <si>
    <t>TX0620</t>
  </si>
  <si>
    <t>TX0621</t>
  </si>
  <si>
    <t>TX0622</t>
  </si>
  <si>
    <t>TX0623</t>
  </si>
  <si>
    <t>TX0624</t>
  </si>
  <si>
    <t>TX0625</t>
  </si>
  <si>
    <t>TX0626</t>
  </si>
  <si>
    <t>TX0627</t>
  </si>
  <si>
    <t>TX0628</t>
  </si>
  <si>
    <t>TX0629</t>
  </si>
  <si>
    <t>TX0630</t>
  </si>
  <si>
    <t>TX0631</t>
  </si>
  <si>
    <t>TX0632</t>
  </si>
  <si>
    <t>TX0633</t>
  </si>
  <si>
    <t>TX0634</t>
  </si>
  <si>
    <t>TX0635</t>
  </si>
  <si>
    <t>TX0636</t>
  </si>
  <si>
    <t>TX0637</t>
  </si>
  <si>
    <t>TX0638</t>
  </si>
  <si>
    <t>TX0639</t>
  </si>
  <si>
    <t>TX0640</t>
  </si>
  <si>
    <t>TX0641</t>
  </si>
  <si>
    <t>TX0642</t>
  </si>
  <si>
    <t>TX0643</t>
  </si>
  <si>
    <t>TX0644</t>
  </si>
  <si>
    <t>TX0645</t>
  </si>
  <si>
    <t>TX0646</t>
  </si>
  <si>
    <t>TX0647</t>
  </si>
  <si>
    <t>TX0648</t>
  </si>
  <si>
    <t>TX0649</t>
  </si>
  <si>
    <t>TX0650</t>
  </si>
  <si>
    <t>TX0651</t>
  </si>
  <si>
    <t>TX0652</t>
  </si>
  <si>
    <t>TX0653</t>
  </si>
  <si>
    <t>TX0654</t>
  </si>
  <si>
    <t>TX0655</t>
  </si>
  <si>
    <t>TX0656</t>
  </si>
  <si>
    <t>TX0657</t>
  </si>
  <si>
    <t>TX0658</t>
  </si>
  <si>
    <t>TX0659</t>
  </si>
  <si>
    <t>TX0660</t>
  </si>
  <si>
    <t>TX0661</t>
  </si>
  <si>
    <t>TX0662</t>
  </si>
  <si>
    <t>TX0663</t>
  </si>
  <si>
    <t>TX0664</t>
  </si>
  <si>
    <t>TX0665</t>
  </si>
  <si>
    <t>TX0666</t>
  </si>
  <si>
    <t>TX0667</t>
  </si>
  <si>
    <t>TX0668</t>
  </si>
  <si>
    <t>TX0669</t>
  </si>
  <si>
    <t>TX0670</t>
  </si>
  <si>
    <t>TX0671</t>
  </si>
  <si>
    <t>TX0672</t>
  </si>
  <si>
    <t>TX0673</t>
  </si>
  <si>
    <t>TX0674</t>
  </si>
  <si>
    <t>TX0675</t>
  </si>
  <si>
    <t>TX0676</t>
  </si>
  <si>
    <t>TX0677</t>
  </si>
  <si>
    <t>TX0678</t>
  </si>
  <si>
    <t>TX0679</t>
  </si>
  <si>
    <t>TX0680</t>
  </si>
  <si>
    <t>TX0681</t>
  </si>
  <si>
    <t>TX0682</t>
  </si>
  <si>
    <t>TX0683</t>
  </si>
  <si>
    <t>TX0684</t>
  </si>
  <si>
    <t>TX0685</t>
  </si>
  <si>
    <t>TX0686</t>
  </si>
  <si>
    <t>TX0687</t>
  </si>
  <si>
    <t>TX0688</t>
  </si>
  <si>
    <t>TX0689</t>
  </si>
  <si>
    <t>TX0690</t>
  </si>
  <si>
    <t>TX0691</t>
  </si>
  <si>
    <t>TX0692</t>
  </si>
  <si>
    <t>TX0693</t>
  </si>
  <si>
    <t>TX0694</t>
  </si>
  <si>
    <t>TX0695</t>
  </si>
  <si>
    <t>TX0696</t>
  </si>
  <si>
    <t>TX0697</t>
  </si>
  <si>
    <t>TX0698</t>
  </si>
  <si>
    <t>TX0699</t>
  </si>
  <si>
    <t>TX0700</t>
  </si>
  <si>
    <t>TX0701</t>
  </si>
  <si>
    <t>TX0702</t>
  </si>
  <si>
    <t>TX0703</t>
  </si>
  <si>
    <t>TX0704</t>
  </si>
  <si>
    <t>TX0705</t>
  </si>
  <si>
    <t>TX0706</t>
  </si>
  <si>
    <t>TX0707</t>
  </si>
  <si>
    <t>TX0708</t>
  </si>
  <si>
    <t>TX0709</t>
  </si>
  <si>
    <t>TX0710</t>
  </si>
  <si>
    <t>TX0711</t>
  </si>
  <si>
    <t>TX0712</t>
  </si>
  <si>
    <t>TX0713</t>
  </si>
  <si>
    <t>TX0714</t>
  </si>
  <si>
    <t>TX0715</t>
  </si>
  <si>
    <t>TX0716</t>
  </si>
  <si>
    <t>TX0717</t>
  </si>
  <si>
    <t>TX0718</t>
  </si>
  <si>
    <t>TX0719</t>
  </si>
  <si>
    <t>TX0720</t>
  </si>
  <si>
    <t>TX0721</t>
  </si>
  <si>
    <t>TX0722</t>
  </si>
  <si>
    <t>TX0723</t>
  </si>
  <si>
    <t>TX0724</t>
  </si>
  <si>
    <t>TX0725</t>
  </si>
  <si>
    <t>TX0726</t>
  </si>
  <si>
    <t>TX0727</t>
  </si>
  <si>
    <t>TX0728</t>
  </si>
  <si>
    <t>TX0729</t>
  </si>
  <si>
    <t>TX0730</t>
  </si>
  <si>
    <t>TX0731</t>
  </si>
  <si>
    <t>TX0732</t>
  </si>
  <si>
    <t>TX0733</t>
  </si>
  <si>
    <t>TX0734</t>
  </si>
  <si>
    <t>TX0735</t>
  </si>
  <si>
    <t>TX0736</t>
  </si>
  <si>
    <t>TX0737</t>
  </si>
  <si>
    <t>TX0738</t>
  </si>
  <si>
    <t>TX0739</t>
  </si>
  <si>
    <t>TX0740</t>
  </si>
  <si>
    <t>TX0741</t>
  </si>
  <si>
    <t>TX0742</t>
  </si>
  <si>
    <t>TX0743</t>
  </si>
  <si>
    <t>TX0744</t>
  </si>
  <si>
    <t>TX0745</t>
  </si>
  <si>
    <t>TX0746</t>
  </si>
  <si>
    <t>TX0747</t>
  </si>
  <si>
    <t>TX0748</t>
  </si>
  <si>
    <t>TX0749</t>
  </si>
  <si>
    <t>TX0750</t>
  </si>
  <si>
    <t>TX0751</t>
  </si>
  <si>
    <t>TX0752</t>
  </si>
  <si>
    <t>TX0753</t>
  </si>
  <si>
    <t>TX0754</t>
  </si>
  <si>
    <t>TX0755</t>
  </si>
  <si>
    <t>TX0756</t>
  </si>
  <si>
    <t>TX0757</t>
  </si>
  <si>
    <t>TX0758</t>
  </si>
  <si>
    <t>TX0759</t>
  </si>
  <si>
    <t>TX0760</t>
  </si>
  <si>
    <t>TX0761</t>
  </si>
  <si>
    <t>TX0762</t>
  </si>
  <si>
    <t>TX0763</t>
  </si>
  <si>
    <t>TX0764</t>
  </si>
  <si>
    <t>TX0765</t>
  </si>
  <si>
    <t>TX0766</t>
  </si>
  <si>
    <t>TX0767</t>
  </si>
  <si>
    <t>TX0768</t>
  </si>
  <si>
    <t>TX0769</t>
  </si>
  <si>
    <t>TX0770</t>
  </si>
  <si>
    <t>TX0771</t>
  </si>
  <si>
    <t>TX0772</t>
  </si>
  <si>
    <t>TX0773</t>
  </si>
  <si>
    <t>TX0774</t>
  </si>
  <si>
    <t>TX0775</t>
  </si>
  <si>
    <t>TX0776</t>
  </si>
  <si>
    <t>TX0777</t>
  </si>
  <si>
    <t>TX0778</t>
  </si>
  <si>
    <t>TX0779</t>
  </si>
  <si>
    <t>TX0780</t>
  </si>
  <si>
    <t>TX0781</t>
  </si>
  <si>
    <t>TX0782</t>
  </si>
  <si>
    <t>TX0783</t>
  </si>
  <si>
    <t>TX0784</t>
  </si>
  <si>
    <t>TX0785</t>
  </si>
  <si>
    <t>TX0786</t>
  </si>
  <si>
    <t>TX0787</t>
  </si>
  <si>
    <t>TX0788</t>
  </si>
  <si>
    <t>TX0789</t>
  </si>
  <si>
    <t>TX0790</t>
  </si>
  <si>
    <t>TX0791</t>
  </si>
  <si>
    <t>TX0792</t>
  </si>
  <si>
    <t>TX0793</t>
  </si>
  <si>
    <t>TX0794</t>
  </si>
  <si>
    <t>TX0795</t>
  </si>
  <si>
    <t>TX0796</t>
  </si>
  <si>
    <t>TX0797</t>
  </si>
  <si>
    <t>TX0798</t>
  </si>
  <si>
    <t>TX0799</t>
  </si>
  <si>
    <t>TX0800</t>
  </si>
  <si>
    <t>TX0801</t>
  </si>
  <si>
    <t>TX0802</t>
  </si>
  <si>
    <t>TX0803</t>
  </si>
  <si>
    <t>TX0804</t>
  </si>
  <si>
    <t>TX0805</t>
  </si>
  <si>
    <t>TX0806</t>
  </si>
  <si>
    <t>TX0807</t>
  </si>
  <si>
    <t>TX0808</t>
  </si>
  <si>
    <t>TX0809</t>
  </si>
  <si>
    <t>TX0810</t>
  </si>
  <si>
    <t>TX0811</t>
  </si>
  <si>
    <t>TX0812</t>
  </si>
  <si>
    <t>TX0813</t>
  </si>
  <si>
    <t>TX0814</t>
  </si>
  <si>
    <t>TX0815</t>
  </si>
  <si>
    <t>TX0816</t>
  </si>
  <si>
    <t>TX0817</t>
  </si>
  <si>
    <t>TX0818</t>
  </si>
  <si>
    <t>TX0819</t>
  </si>
  <si>
    <t>TX0820</t>
  </si>
  <si>
    <t>TX0821</t>
  </si>
  <si>
    <t>TX0822</t>
  </si>
  <si>
    <t>TX0823</t>
  </si>
  <si>
    <t>TX0824</t>
  </si>
  <si>
    <t>TX0825</t>
  </si>
  <si>
    <t>TX0826</t>
  </si>
  <si>
    <t>TX0827</t>
  </si>
  <si>
    <t>TX0828</t>
  </si>
  <si>
    <t>TX0829</t>
  </si>
  <si>
    <t>TX0830</t>
  </si>
  <si>
    <t>TX0831</t>
  </si>
  <si>
    <t>TX0832</t>
  </si>
  <si>
    <t>TX0833</t>
  </si>
  <si>
    <t>TX0834</t>
  </si>
  <si>
    <t>TX0835</t>
  </si>
  <si>
    <t>TX0836</t>
  </si>
  <si>
    <t>TX0837</t>
  </si>
  <si>
    <t>TX0838</t>
  </si>
  <si>
    <t>TX0839</t>
  </si>
  <si>
    <t>TX0840</t>
  </si>
  <si>
    <t>TX0841</t>
  </si>
  <si>
    <t>TX0842</t>
  </si>
  <si>
    <t>TX0843</t>
  </si>
  <si>
    <t>TX0844</t>
  </si>
  <si>
    <t>TX0845</t>
  </si>
  <si>
    <t>TX0846</t>
  </si>
  <si>
    <t>TX0847</t>
  </si>
  <si>
    <t>TX0848</t>
  </si>
  <si>
    <t>TX0849</t>
  </si>
  <si>
    <t>TX0850</t>
  </si>
  <si>
    <t>TX0851</t>
  </si>
  <si>
    <t>TX0852</t>
  </si>
  <si>
    <t>TX0853</t>
  </si>
  <si>
    <t>TX0854</t>
  </si>
  <si>
    <t>TX0855</t>
  </si>
  <si>
    <t>TX0856</t>
  </si>
  <si>
    <t>TX0857</t>
  </si>
  <si>
    <t>TX0858</t>
  </si>
  <si>
    <t>TX0859</t>
  </si>
  <si>
    <t>TX0860</t>
  </si>
  <si>
    <t>TX0861</t>
  </si>
  <si>
    <t>TX0862</t>
  </si>
  <si>
    <t>TX0863</t>
  </si>
  <si>
    <t>TX0864</t>
  </si>
  <si>
    <t>TX0865</t>
  </si>
  <si>
    <t>TX0866</t>
  </si>
  <si>
    <t>TX0867</t>
  </si>
  <si>
    <t>TX0868</t>
  </si>
  <si>
    <t>TX0869</t>
  </si>
  <si>
    <t>TX0870</t>
  </si>
  <si>
    <t>TX0871</t>
  </si>
  <si>
    <t>TX0872</t>
  </si>
  <si>
    <t>TX0873</t>
  </si>
  <si>
    <t>TX0874</t>
  </si>
  <si>
    <t>TX0875</t>
  </si>
  <si>
    <t>TX0876</t>
  </si>
  <si>
    <t>TX0877</t>
  </si>
  <si>
    <t>TX0878</t>
  </si>
  <si>
    <t>TX0879</t>
  </si>
  <si>
    <t>TX0880</t>
  </si>
  <si>
    <t>TX0881</t>
  </si>
  <si>
    <t>TX0882</t>
  </si>
  <si>
    <t>TX0883</t>
  </si>
  <si>
    <t>TX0884</t>
  </si>
  <si>
    <t>TX0885</t>
  </si>
  <si>
    <t>TX0886</t>
  </si>
  <si>
    <t>TX0887</t>
  </si>
  <si>
    <t>TX0888</t>
  </si>
  <si>
    <t>TX0889</t>
  </si>
  <si>
    <t>TX0890</t>
  </si>
  <si>
    <t>TX0891</t>
  </si>
  <si>
    <t>TX0892</t>
  </si>
  <si>
    <t>TX0893</t>
  </si>
  <si>
    <t>TX0894</t>
  </si>
  <si>
    <t>TX0895</t>
  </si>
  <si>
    <t>TX0896</t>
  </si>
  <si>
    <t>TX0897</t>
  </si>
  <si>
    <t>TX0898</t>
  </si>
  <si>
    <t>TX0899</t>
  </si>
  <si>
    <t>TX0900</t>
  </si>
  <si>
    <t>TX0901</t>
  </si>
  <si>
    <t>TX0902</t>
  </si>
  <si>
    <t>TX0903</t>
  </si>
  <si>
    <t>TX0904</t>
  </si>
  <si>
    <t>TX0905</t>
  </si>
  <si>
    <t>TX0906</t>
  </si>
  <si>
    <t>TX0907</t>
  </si>
  <si>
    <t>TX0908</t>
  </si>
  <si>
    <t>TX0909</t>
  </si>
  <si>
    <t>TX0910</t>
  </si>
  <si>
    <t>TX0911</t>
  </si>
  <si>
    <t>TX0912</t>
  </si>
  <si>
    <t>TX0913</t>
  </si>
  <si>
    <t>TX0914</t>
  </si>
  <si>
    <t>TX0915</t>
  </si>
  <si>
    <t>TX0916</t>
  </si>
  <si>
    <t>TX0917</t>
  </si>
  <si>
    <t>TX0918</t>
  </si>
  <si>
    <t>TX0919</t>
  </si>
  <si>
    <t>TX0920</t>
  </si>
  <si>
    <t>TX0921</t>
  </si>
  <si>
    <t>TX0922</t>
  </si>
  <si>
    <t>TX0923</t>
  </si>
  <si>
    <t>TX0924</t>
  </si>
  <si>
    <t>TX0925</t>
  </si>
  <si>
    <t>TX0926</t>
  </si>
  <si>
    <t>TX0927</t>
  </si>
  <si>
    <t>TX0928</t>
  </si>
  <si>
    <t>TX0929</t>
  </si>
  <si>
    <t>TX0930</t>
  </si>
  <si>
    <t>TX0931</t>
  </si>
  <si>
    <t>TX0932</t>
  </si>
  <si>
    <t>TX0933</t>
  </si>
  <si>
    <t>TX0934</t>
  </si>
  <si>
    <t>TX0935</t>
  </si>
  <si>
    <t>TX0936</t>
  </si>
  <si>
    <t>TX0937</t>
  </si>
  <si>
    <t>TX0938</t>
  </si>
  <si>
    <t>TX0939</t>
  </si>
  <si>
    <t>TX0940</t>
  </si>
  <si>
    <t>TX0941</t>
  </si>
  <si>
    <t>TX0942</t>
  </si>
  <si>
    <t>TX0943</t>
  </si>
  <si>
    <t>TX0944</t>
  </si>
  <si>
    <t>TX0945</t>
  </si>
  <si>
    <t>TX0946</t>
  </si>
  <si>
    <t>TX0947</t>
  </si>
  <si>
    <t>TX0948</t>
  </si>
  <si>
    <t>TX0949</t>
  </si>
  <si>
    <t>TX0950</t>
  </si>
  <si>
    <t>TX0951</t>
  </si>
  <si>
    <t>TX0952</t>
  </si>
  <si>
    <t>TX0953</t>
  </si>
  <si>
    <t>TX0954</t>
  </si>
  <si>
    <t>TX0955</t>
  </si>
  <si>
    <t>TX0956</t>
  </si>
  <si>
    <t>TX0957</t>
  </si>
  <si>
    <t>TX0958</t>
  </si>
  <si>
    <t>TX0959</t>
  </si>
  <si>
    <t>TX0960</t>
  </si>
  <si>
    <t>TX0961</t>
  </si>
  <si>
    <t>TX0962</t>
  </si>
  <si>
    <t>TX0963</t>
  </si>
  <si>
    <t>TX0964</t>
  </si>
  <si>
    <t>TX0965</t>
  </si>
  <si>
    <t>TX0966</t>
  </si>
  <si>
    <t>TX0967</t>
  </si>
  <si>
    <t>TX0968</t>
  </si>
  <si>
    <t>TX0969</t>
  </si>
  <si>
    <t>TX0970</t>
  </si>
  <si>
    <t>TX0971</t>
  </si>
  <si>
    <t>TX0972</t>
  </si>
  <si>
    <t>TX0973</t>
  </si>
  <si>
    <t>TX0974</t>
  </si>
  <si>
    <t>TX0975</t>
  </si>
  <si>
    <t>TX0976</t>
  </si>
  <si>
    <t>TX0977</t>
  </si>
  <si>
    <t>TX0978</t>
  </si>
  <si>
    <t>TX0979</t>
  </si>
  <si>
    <t>TX0980</t>
  </si>
  <si>
    <t>TX0981</t>
  </si>
  <si>
    <t>TX0982</t>
  </si>
  <si>
    <t>TX0983</t>
  </si>
  <si>
    <t>TX0984</t>
  </si>
  <si>
    <t>TX0985</t>
  </si>
  <si>
    <t>TX0986</t>
  </si>
  <si>
    <t>TX0987</t>
  </si>
  <si>
    <t>TX0988</t>
  </si>
  <si>
    <t>TX0989</t>
  </si>
  <si>
    <t>TX0990</t>
  </si>
  <si>
    <t>TX0991</t>
  </si>
  <si>
    <t>TX0992</t>
  </si>
  <si>
    <t>TX0993</t>
  </si>
  <si>
    <t>TX0994</t>
  </si>
  <si>
    <t>TX0995</t>
  </si>
  <si>
    <t>TX0996</t>
  </si>
  <si>
    <t>TX0997</t>
  </si>
  <si>
    <t>TX0998</t>
  </si>
  <si>
    <t>TX0999</t>
  </si>
  <si>
    <t>TX1000</t>
  </si>
  <si>
    <t>Column Name</t>
  </si>
  <si>
    <t>Issue Identified</t>
  </si>
  <si>
    <t>Treatment Applied</t>
  </si>
  <si>
    <t>Justification</t>
  </si>
  <si>
    <t>Missing values</t>
  </si>
  <si>
    <t>Replaced with 0</t>
  </si>
  <si>
    <t>Missing when unpaid</t>
  </si>
  <si>
    <t>No revenue without payment</t>
  </si>
  <si>
    <t>Recalculated</t>
  </si>
  <si>
    <t>Median imputation</t>
  </si>
  <si>
    <t>Data Count</t>
  </si>
  <si>
    <t>Number of Issues</t>
  </si>
  <si>
    <t>% of Total</t>
  </si>
  <si>
    <t>No replacement</t>
  </si>
  <si>
    <t>Replaced with "Unknown"</t>
  </si>
  <si>
    <t>Primary key; records without ID would be excluded</t>
  </si>
  <si>
    <t>Required to track customer behavior</t>
  </si>
  <si>
    <t>No recorded spend implies zero cost</t>
  </si>
  <si>
    <t>Preserves row for campaign analysis</t>
  </si>
  <si>
    <t>No ad shown implies zero impressions</t>
  </si>
  <si>
    <t>Invalid click = no valid engagement</t>
  </si>
  <si>
    <t>Default assumption: no purchase</t>
  </si>
  <si>
    <t>Set to 0 if unpaid</t>
  </si>
  <si>
    <t>Inconsistent values</t>
  </si>
  <si>
    <t>Ensures mathematical accuracy</t>
  </si>
  <si>
    <t>Retains product-level analysis</t>
  </si>
  <si>
    <t>Descriptive variable; median reduces bias</t>
  </si>
  <si>
    <t>Maintains geographic segmentation</t>
  </si>
  <si>
    <t>Preserves attribution analysis</t>
  </si>
  <si>
    <t>Left blank</t>
  </si>
  <si>
    <t>Subjective metric; no assumption made</t>
  </si>
  <si>
    <t>Nil</t>
  </si>
  <si>
    <t>Missing when paid</t>
  </si>
  <si>
    <t>others</t>
  </si>
  <si>
    <t>CPC</t>
  </si>
  <si>
    <t>CTR</t>
  </si>
  <si>
    <t>CPA</t>
  </si>
  <si>
    <t>ROI</t>
  </si>
  <si>
    <t>RPC</t>
  </si>
  <si>
    <t>AgeGroup</t>
  </si>
  <si>
    <t>left blank</t>
  </si>
  <si>
    <t>Derived Columns</t>
  </si>
  <si>
    <t>Formulas</t>
  </si>
  <si>
    <t>Cost Per Click (CPC)</t>
  </si>
  <si>
    <t>Cost per Acquisition (CPA)</t>
  </si>
  <si>
    <t>clicks/impressions X 100</t>
  </si>
  <si>
    <t>Return On Investment (ROI)</t>
  </si>
  <si>
    <t>Return On Ads Spent (ROAS)</t>
  </si>
  <si>
    <t>ROAS</t>
  </si>
  <si>
    <t>Click Through Rate (CTR)</t>
  </si>
  <si>
    <t>Percentage of people who clicked after seeing the ad</t>
  </si>
  <si>
    <t>How much you pay per click</t>
  </si>
  <si>
    <t>ConvRate</t>
  </si>
  <si>
    <t>Revenue Per Click</t>
  </si>
  <si>
    <t>(Revenue-Marketing spend)/Markting spend</t>
  </si>
  <si>
    <t>Revenue/clicks</t>
  </si>
  <si>
    <t>Row Labels</t>
  </si>
  <si>
    <t>Grand Total</t>
  </si>
  <si>
    <t>Sum of MarketingSpend</t>
  </si>
  <si>
    <t>Sum of CPA</t>
  </si>
  <si>
    <t>Sum of PaidCustomer</t>
  </si>
  <si>
    <t>PaidCustomer= conversion flag</t>
  </si>
  <si>
    <t>How much does it cost the company to get one customer to purchase?</t>
  </si>
  <si>
    <t>Sum of Clicks</t>
  </si>
  <si>
    <t>KPIS</t>
  </si>
  <si>
    <t>SPEND</t>
  </si>
  <si>
    <t>TRAFFIC</t>
  </si>
  <si>
    <t>CONVERSION</t>
  </si>
  <si>
    <t>Total Marketing spend</t>
  </si>
  <si>
    <t>Total clicks</t>
  </si>
  <si>
    <t>Total Conversion</t>
  </si>
  <si>
    <t>Total ROI</t>
  </si>
  <si>
    <t>Total Revenue</t>
  </si>
  <si>
    <t>Sum of ROI</t>
  </si>
  <si>
    <t>Total CPA</t>
  </si>
  <si>
    <t>spend/paidcustomers</t>
  </si>
  <si>
    <t>spend/clicks</t>
  </si>
  <si>
    <t>Sum of Revenue</t>
  </si>
  <si>
    <t>50,672K</t>
  </si>
  <si>
    <t>Average of CTR</t>
  </si>
  <si>
    <t>💰</t>
  </si>
  <si>
    <t>Average of CPC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</si>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</sst>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quot;$&quot;#,##0.00"/>
    <numFmt numFmtId="165" formatCode="#,##0\K"/>
    <numFmt numFmtId="166" formatCode="&quot;$&quot;#,##0"/>
    <numFmt numFmtId="167" formatCode="&quot;$&quot;#,##0\K"/>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sz val="11"/>
      <color rgb="FFFFFFFF"/>
      <name val="+mn-ea"/>
    </font>
    <font>
      <sz val="11"/>
      <color theme="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9"/>
        <bgColor indexed="64"/>
      </patternFill>
    </fill>
    <fill>
      <patternFill patternType="solid">
        <fgColor rgb="FFC00000"/>
        <bgColor indexed="64"/>
      </patternFill>
    </fill>
    <fill>
      <patternFill patternType="solid">
        <fgColor theme="7" tint="0.59999389629810485"/>
        <bgColor indexed="64"/>
      </patternFill>
    </fill>
    <fill>
      <patternFill patternType="solid">
        <fgColor rgb="FFDDEBF7"/>
        <bgColor indexed="64"/>
      </patternFill>
    </fill>
    <fill>
      <patternFill patternType="solid">
        <fgColor theme="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73">
    <xf numFmtId="0" fontId="0" fillId="0" borderId="0" xfId="0"/>
    <xf numFmtId="0" fontId="0" fillId="0" borderId="0" xfId="0" applyNumberFormat="1"/>
    <xf numFmtId="0" fontId="16" fillId="0" borderId="0" xfId="0" applyFont="1" applyAlignment="1">
      <alignment horizontal="center" vertical="center"/>
    </xf>
    <xf numFmtId="0" fontId="0" fillId="0" borderId="0" xfId="0" applyAlignment="1">
      <alignment vertical="center"/>
    </xf>
    <xf numFmtId="9" fontId="0" fillId="0" borderId="0" xfId="42" applyFont="1" applyAlignment="1">
      <alignment vertical="center"/>
    </xf>
    <xf numFmtId="0" fontId="0" fillId="0" borderId="10" xfId="0" applyBorder="1" applyAlignment="1">
      <alignment vertical="center"/>
    </xf>
    <xf numFmtId="9" fontId="0" fillId="0" borderId="10" xfId="42" applyFont="1" applyBorder="1" applyAlignment="1">
      <alignment vertical="center"/>
    </xf>
    <xf numFmtId="0" fontId="0" fillId="0" borderId="10" xfId="0" applyBorder="1"/>
    <xf numFmtId="0" fontId="0" fillId="0" borderId="0" xfId="0" applyAlignment="1">
      <alignment horizontal="center"/>
    </xf>
    <xf numFmtId="0" fontId="0" fillId="0" borderId="0" xfId="0" applyAlignment="1">
      <alignment horizontal="center" vertical="center"/>
    </xf>
    <xf numFmtId="0" fontId="0" fillId="0" borderId="0" xfId="0" applyBorder="1" applyAlignment="1">
      <alignment horizontal="center"/>
    </xf>
    <xf numFmtId="0" fontId="0" fillId="0" borderId="0" xfId="43" applyNumberFormat="1" applyFont="1" applyAlignment="1">
      <alignment horizontal="right"/>
    </xf>
    <xf numFmtId="0" fontId="0" fillId="0" borderId="0" xfId="0" applyAlignment="1">
      <alignment horizontal="center"/>
    </xf>
    <xf numFmtId="0" fontId="16" fillId="33" borderId="0" xfId="0" applyFont="1" applyFill="1" applyAlignment="1">
      <alignment vertical="center"/>
    </xf>
    <xf numFmtId="0" fontId="16" fillId="33" borderId="0" xfId="0" applyFont="1" applyFill="1"/>
    <xf numFmtId="0" fontId="14" fillId="0" borderId="0" xfId="0" applyFont="1"/>
    <xf numFmtId="0" fontId="0" fillId="0" borderId="0" xfId="0" applyBorder="1"/>
    <xf numFmtId="0" fontId="0" fillId="0" borderId="0" xfId="0" pivotButton="1"/>
    <xf numFmtId="0" fontId="0" fillId="0" borderId="0" xfId="0" applyAlignment="1">
      <alignment horizontal="left"/>
    </xf>
    <xf numFmtId="49" fontId="0" fillId="0" borderId="0" xfId="0" applyNumberFormat="1"/>
    <xf numFmtId="49" fontId="0" fillId="0" borderId="0" xfId="0" applyNumberFormat="1" applyBorder="1"/>
    <xf numFmtId="1" fontId="0" fillId="0" borderId="0" xfId="0" applyNumberFormat="1" applyAlignment="1">
      <alignment horizontal="center"/>
    </xf>
    <xf numFmtId="164" fontId="0" fillId="0" borderId="10" xfId="43" applyNumberFormat="1" applyFont="1" applyBorder="1" applyAlignment="1">
      <alignment horizontal="center"/>
    </xf>
    <xf numFmtId="164" fontId="0" fillId="0" borderId="0" xfId="43" applyNumberFormat="1" applyFont="1" applyAlignment="1">
      <alignment horizontal="center"/>
    </xf>
    <xf numFmtId="164" fontId="0" fillId="0" borderId="0" xfId="43" applyNumberFormat="1" applyFont="1" applyBorder="1" applyAlignment="1">
      <alignment horizontal="center"/>
    </xf>
    <xf numFmtId="0" fontId="0" fillId="0" borderId="10" xfId="0" applyNumberFormat="1" applyBorder="1" applyAlignment="1">
      <alignment horizontal="center"/>
    </xf>
    <xf numFmtId="0" fontId="0" fillId="0" borderId="0" xfId="0" applyNumberFormat="1" applyAlignment="1">
      <alignment horizontal="center"/>
    </xf>
    <xf numFmtId="0" fontId="0" fillId="34" borderId="13" xfId="0" applyNumberFormat="1" applyFill="1" applyBorder="1" applyAlignment="1">
      <alignment horizontal="center"/>
    </xf>
    <xf numFmtId="0" fontId="0" fillId="0" borderId="0" xfId="0" applyNumberFormat="1" applyBorder="1" applyAlignment="1">
      <alignment horizontal="center"/>
    </xf>
    <xf numFmtId="49" fontId="0" fillId="0" borderId="11" xfId="0" applyNumberFormat="1" applyBorder="1"/>
    <xf numFmtId="164" fontId="0" fillId="0" borderId="0" xfId="0" applyNumberFormat="1" applyAlignment="1">
      <alignment horizontal="center"/>
    </xf>
    <xf numFmtId="164" fontId="0" fillId="0" borderId="0" xfId="0" applyNumberFormat="1" applyBorder="1" applyAlignment="1">
      <alignment horizontal="center"/>
    </xf>
    <xf numFmtId="0" fontId="0" fillId="35" borderId="0" xfId="0" applyFill="1" applyAlignment="1">
      <alignment horizontal="center"/>
    </xf>
    <xf numFmtId="10" fontId="0" fillId="35" borderId="0" xfId="42" applyNumberFormat="1" applyFont="1" applyFill="1" applyAlignment="1">
      <alignment horizontal="center"/>
    </xf>
    <xf numFmtId="164" fontId="0" fillId="0" borderId="0" xfId="0" applyNumberFormat="1"/>
    <xf numFmtId="0" fontId="0" fillId="36" borderId="10" xfId="0" applyFill="1" applyBorder="1"/>
    <xf numFmtId="0" fontId="16" fillId="36" borderId="10" xfId="0" applyFont="1" applyFill="1" applyBorder="1"/>
    <xf numFmtId="0" fontId="18" fillId="37" borderId="15" xfId="0" applyFont="1" applyFill="1" applyBorder="1" applyAlignment="1">
      <alignment vertical="center"/>
    </xf>
    <xf numFmtId="0" fontId="18" fillId="37" borderId="16" xfId="0" applyFont="1" applyFill="1" applyBorder="1" applyAlignment="1">
      <alignment vertical="center"/>
    </xf>
    <xf numFmtId="0" fontId="19" fillId="0" borderId="17" xfId="0" applyFont="1" applyBorder="1" applyAlignment="1">
      <alignment vertical="center"/>
    </xf>
    <xf numFmtId="0" fontId="19" fillId="0" borderId="18" xfId="0" applyFont="1" applyBorder="1" applyAlignment="1">
      <alignment horizontal="right" vertical="center"/>
    </xf>
    <xf numFmtId="0" fontId="18" fillId="37" borderId="17" xfId="0" applyFont="1" applyFill="1" applyBorder="1" applyAlignment="1">
      <alignment vertical="center"/>
    </xf>
    <xf numFmtId="0" fontId="18" fillId="37" borderId="18" xfId="0" applyFont="1" applyFill="1" applyBorder="1" applyAlignment="1">
      <alignment horizontal="right" vertical="center"/>
    </xf>
    <xf numFmtId="0" fontId="0" fillId="0" borderId="0" xfId="0" applyAlignment="1">
      <alignment horizontal="center"/>
    </xf>
    <xf numFmtId="164" fontId="0" fillId="36" borderId="10" xfId="0" applyNumberFormat="1" applyFill="1" applyBorder="1"/>
    <xf numFmtId="2" fontId="0" fillId="0" borderId="0" xfId="0" applyNumberFormat="1"/>
    <xf numFmtId="0" fontId="0" fillId="35" borderId="0" xfId="0" applyFill="1" applyBorder="1" applyAlignment="1">
      <alignment horizontal="center"/>
    </xf>
    <xf numFmtId="165" fontId="0" fillId="0" borderId="0" xfId="0" applyNumberFormat="1"/>
    <xf numFmtId="167" fontId="0" fillId="0" borderId="0" xfId="0" applyNumberFormat="1"/>
    <xf numFmtId="164" fontId="0" fillId="0" borderId="0" xfId="0" applyNumberFormat="1" applyFont="1" applyBorder="1" applyAlignment="1">
      <alignment horizontal="center"/>
    </xf>
    <xf numFmtId="10" fontId="0" fillId="35" borderId="0" xfId="0" applyNumberFormat="1" applyFont="1" applyFill="1" applyBorder="1" applyAlignment="1">
      <alignment horizontal="center"/>
    </xf>
    <xf numFmtId="167" fontId="0" fillId="36" borderId="10" xfId="43" applyNumberFormat="1" applyFont="1" applyFill="1" applyBorder="1"/>
    <xf numFmtId="165" fontId="0" fillId="0" borderId="0" xfId="0" applyNumberFormat="1" applyBorder="1" applyAlignment="1">
      <alignment horizontal="center"/>
    </xf>
    <xf numFmtId="165" fontId="0" fillId="0" borderId="0" xfId="0" applyNumberFormat="1" applyAlignment="1">
      <alignment horizontal="center"/>
    </xf>
    <xf numFmtId="167" fontId="0" fillId="34" borderId="12" xfId="0" applyNumberFormat="1" applyFont="1" applyFill="1" applyBorder="1" applyAlignment="1">
      <alignment horizontal="center"/>
    </xf>
    <xf numFmtId="165" fontId="0" fillId="36" borderId="10" xfId="0" applyNumberFormat="1" applyFill="1" applyBorder="1" applyAlignment="1">
      <alignment horizontal="center"/>
    </xf>
    <xf numFmtId="167" fontId="0" fillId="36" borderId="10" xfId="0" applyNumberFormat="1" applyFill="1" applyBorder="1"/>
    <xf numFmtId="167" fontId="0" fillId="0" borderId="0" xfId="0" applyNumberFormat="1" applyFont="1" applyBorder="1" applyAlignment="1">
      <alignment horizontal="center"/>
    </xf>
    <xf numFmtId="166" fontId="0" fillId="0" borderId="0" xfId="0" applyNumberFormat="1" applyBorder="1" applyAlignment="1">
      <alignment horizontal="center"/>
    </xf>
    <xf numFmtId="0" fontId="0" fillId="0" borderId="0" xfId="42" applyNumberFormat="1" applyFont="1" applyAlignment="1">
      <alignment horizontal="center"/>
    </xf>
    <xf numFmtId="0" fontId="0" fillId="0" borderId="0" xfId="0" applyNumberFormat="1" applyFont="1" applyBorder="1" applyAlignment="1">
      <alignment horizontal="center"/>
    </xf>
    <xf numFmtId="0" fontId="0" fillId="38" borderId="0" xfId="0" applyFill="1"/>
    <xf numFmtId="0" fontId="21" fillId="38" borderId="0" xfId="0" applyFont="1" applyFill="1"/>
    <xf numFmtId="0" fontId="20" fillId="38" borderId="0" xfId="0" applyFont="1" applyFill="1" applyAlignment="1">
      <alignment horizontal="left" vertical="center"/>
    </xf>
    <xf numFmtId="0" fontId="0" fillId="38" borderId="11" xfId="0" applyFill="1" applyBorder="1"/>
    <xf numFmtId="0" fontId="20" fillId="38" borderId="11" xfId="0" applyFont="1" applyFill="1" applyBorder="1" applyAlignment="1">
      <alignment horizontal="left" vertical="center"/>
    </xf>
    <xf numFmtId="0" fontId="16" fillId="36" borderId="0" xfId="0" applyFont="1" applyFill="1" applyAlignment="1">
      <alignment horizontal="center"/>
    </xf>
    <xf numFmtId="0" fontId="16" fillId="0" borderId="14" xfId="0" applyFont="1" applyBorder="1" applyAlignment="1">
      <alignment horizontal="center"/>
    </xf>
    <xf numFmtId="0" fontId="0" fillId="0" borderId="14" xfId="0" applyBorder="1" applyAlignment="1">
      <alignment horizontal="center"/>
    </xf>
    <xf numFmtId="0" fontId="16" fillId="0" borderId="0" xfId="0" applyFont="1" applyAlignment="1">
      <alignment horizontal="center"/>
    </xf>
    <xf numFmtId="0" fontId="16" fillId="0" borderId="10" xfId="0" applyFon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2">
    <dxf>
      <alignment horizontal="center" vertical="bottom" textRotation="0" wrapText="0" indent="0" justifyLastLine="0" shrinkToFit="0" readingOrder="0"/>
      <border diagonalUp="0" diagonalDown="0" outline="0">
        <left/>
        <right/>
        <top/>
        <bottom/>
      </border>
    </dxf>
    <dxf>
      <alignment horizontal="center" textRotation="0" wrapText="0" indent="0" justifyLastLine="0" shrinkToFit="0" readingOrder="0"/>
    </dxf>
    <dxf>
      <numFmt numFmtId="164" formatCode="&quot;$&quot;#,##0.00"/>
      <alignment horizontal="center" vertical="bottom" textRotation="0" wrapText="0" indent="0" justifyLastLine="0" shrinkToFit="0" readingOrder="0"/>
      <border diagonalUp="0" diagonalDown="0" outline="0">
        <left/>
        <right/>
        <top/>
        <bottom/>
      </border>
    </dxf>
    <dxf>
      <numFmt numFmtId="164" formatCode="&quot;$&quot;#,##0.00"/>
      <alignment horizontal="center"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numFmt numFmtId="166" formatCode="&quot;$&quot;#,##0"/>
      <alignment horizontal="center" vertical="bottom" textRotation="0" wrapText="0" indent="0" justifyLastLine="0" shrinkToFit="0" readingOrder="0"/>
      <border diagonalUp="0" diagonalDown="0" outline="0">
        <left/>
        <right/>
        <top/>
        <bottom/>
      </border>
    </dxf>
    <dxf>
      <numFmt numFmtId="164" formatCode="&quot;$&quot;#,##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border diagonalUp="0" diagonalDown="0" outline="0">
        <left/>
        <right/>
        <top/>
        <bottom/>
      </border>
    </dxf>
    <dxf>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0.00"/>
      <alignment horizontal="center" vertical="bottom" textRotation="0" wrapText="0" indent="0" justifyLastLine="0" shrinkToFit="0" readingOrder="0"/>
      <border diagonalUp="0" diagonalDown="0" outline="0">
        <left/>
        <right/>
        <top/>
        <bottom/>
      </border>
    </dxf>
    <dxf>
      <numFmt numFmtId="164" formatCode="&quot;$&quot;#,##0.00"/>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rgb="FFC00000"/>
        </patternFill>
      </fill>
      <alignment horizontal="center" vertical="bottom" textRotation="0" wrapText="0" indent="0" justifyLastLine="0" shrinkToFit="0" readingOrder="0"/>
      <border diagonalUp="0" diagonalDown="0" outline="0">
        <left/>
        <right/>
        <top/>
        <bottom/>
      </border>
    </dxf>
    <dxf>
      <numFmt numFmtId="14" formatCode="0.00%"/>
      <fill>
        <patternFill patternType="solid">
          <fgColor indexed="64"/>
          <bgColor rgb="FFC00000"/>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numFmt numFmtId="30" formatCode="@"/>
      <border diagonalUp="0" diagonalDown="0" outline="0">
        <left/>
        <right/>
        <top/>
        <bottom/>
      </border>
    </dxf>
    <dxf>
      <numFmt numFmtId="30" formatCode="@"/>
    </dxf>
    <dxf>
      <numFmt numFmtId="30" formatCode="@"/>
      <border diagonalUp="0" diagonalDown="0" outline="0">
        <left/>
        <right/>
        <top/>
        <bottom/>
      </border>
    </dxf>
    <dxf>
      <numFmt numFmtId="30" formatCode="@"/>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numFmt numFmtId="30" formatCode="@"/>
      <border diagonalUp="0" diagonalDown="0" outline="0">
        <left style="thin">
          <color indexed="64"/>
        </left>
        <right/>
        <top/>
        <bottom/>
      </border>
    </dxf>
    <dxf>
      <numFmt numFmtId="30" formatCode="@"/>
      <border outline="0">
        <left style="thin">
          <color indexed="64"/>
        </left>
        <right/>
      </border>
    </dxf>
    <dxf>
      <numFmt numFmtId="0" formatCode="General"/>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7" formatCode="&quot;$&quot;#,##0\K"/>
      <fill>
        <patternFill patternType="solid">
          <fgColor indexed="64"/>
          <bgColor theme="9"/>
        </patternFill>
      </fill>
      <alignment horizontal="center" vertical="bottom" textRotation="0" wrapText="0" indent="0" justifyLastLine="0" shrinkToFit="0" readingOrder="0"/>
      <border diagonalUp="0" diagonalDown="0" outline="0">
        <left/>
        <right style="thin">
          <color indexed="64"/>
        </right>
        <top style="thin">
          <color indexed="64"/>
        </top>
        <bottom/>
      </border>
    </dxf>
    <dxf>
      <numFmt numFmtId="164" formatCode="&quot;$&quot;#,##0.00"/>
      <fill>
        <patternFill patternType="solid">
          <fgColor indexed="64"/>
          <bgColor theme="9"/>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numFmt numFmtId="165" formatCode="#,##0\K"/>
      <alignment horizontal="center" vertical="bottom" textRotation="0" wrapText="0" indent="0" justifyLastLine="0" shrinkToFit="0" readingOrder="0"/>
      <border diagonalUp="0" diagonalDown="0" outline="0">
        <left/>
        <right/>
        <top/>
        <bottom/>
      </border>
    </dxf>
    <dxf>
      <numFmt numFmtId="1" formatCode="0"/>
      <alignment horizontal="center" vertical="bottom" textRotation="0" wrapText="0" indent="0" justifyLastLine="0" shrinkToFit="0" readingOrder="0"/>
    </dxf>
    <dxf>
      <numFmt numFmtId="165" formatCode="#,##0\K"/>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border diagonalUp="0" diagonalDown="0" outline="0">
        <left/>
        <right/>
        <top/>
        <bottom/>
      </border>
    </dxf>
    <dxf>
      <numFmt numFmtId="30" formatCode="@"/>
    </dxf>
    <dxf>
      <font>
        <b val="0"/>
        <i val="0"/>
        <strike val="0"/>
        <condense val="0"/>
        <extend val="0"/>
        <outline val="0"/>
        <shadow val="0"/>
        <u val="none"/>
        <vertAlign val="baseline"/>
        <sz val="11"/>
        <color theme="1"/>
        <name val="Calibri"/>
        <scheme val="minor"/>
      </font>
      <numFmt numFmtId="167" formatCode="&quot;$&quot;#,##0\K"/>
      <alignment horizontal="center" vertical="bottom" textRotation="0" wrapText="0" indent="0" justifyLastLine="0" shrinkToFit="0" readingOrder="0"/>
      <border diagonalUp="0" diagonalDown="0" outline="0">
        <left/>
        <right/>
        <top/>
        <bottom/>
      </border>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dxf>
    <dxf>
      <border diagonalUp="0" diagonalDown="0" outline="0">
        <left/>
        <right/>
        <top/>
        <bottom/>
      </border>
    </dxf>
    <dxf>
      <numFmt numFmtId="2" formatCode="0.00"/>
    </dxf>
    <dxf>
      <numFmt numFmtId="173" formatCode="0.0"/>
    </dxf>
    <dxf>
      <numFmt numFmtId="1" formatCode="0"/>
    </dxf>
    <dxf>
      <numFmt numFmtId="173" formatCode="0.0"/>
    </dxf>
    <dxf>
      <numFmt numFmtId="2" formatCode="0.00"/>
    </dxf>
    <dxf>
      <numFmt numFmtId="172" formatCode="0.000"/>
    </dxf>
    <dxf>
      <numFmt numFmtId="171" formatCode="0.0000"/>
    </dxf>
    <dxf>
      <numFmt numFmtId="170" formatCode="0.00000"/>
    </dxf>
    <dxf>
      <numFmt numFmtId="0" formatCode="General"/>
    </dxf>
    <dxf>
      <numFmt numFmtId="17" formatCode="#\ ?/?"/>
    </dxf>
    <dxf>
      <numFmt numFmtId="13" formatCode="0%"/>
    </dxf>
    <dxf>
      <numFmt numFmtId="2" formatCode="0.00"/>
    </dxf>
    <dxf>
      <numFmt numFmtId="0" formatCode="General"/>
    </dxf>
    <dxf>
      <numFmt numFmtId="13" formatCode="0%"/>
    </dxf>
    <dxf>
      <numFmt numFmtId="164" formatCode="&quot;$&quot;#,##0.00"/>
    </dxf>
    <dxf>
      <numFmt numFmtId="1" formatCode="0"/>
    </dxf>
    <dxf>
      <numFmt numFmtId="173" formatCode="0.0"/>
    </dxf>
    <dxf>
      <numFmt numFmtId="2" formatCode="0.00"/>
    </dxf>
    <dxf>
      <numFmt numFmtId="172" formatCode="0.000"/>
    </dxf>
    <dxf>
      <numFmt numFmtId="171" formatCode="0.0000"/>
    </dxf>
    <dxf>
      <numFmt numFmtId="170" formatCode="0.00000"/>
    </dxf>
    <dxf>
      <numFmt numFmtId="169" formatCode="0.000000"/>
    </dxf>
    <dxf>
      <numFmt numFmtId="168" formatCode="0.0000000"/>
    </dxf>
    <dxf>
      <numFmt numFmtId="174" formatCode="0.00000000"/>
    </dxf>
    <dxf>
      <numFmt numFmtId="1" formatCode="0"/>
    </dxf>
    <dxf>
      <numFmt numFmtId="173" formatCode="0.0"/>
    </dxf>
    <dxf>
      <numFmt numFmtId="2" formatCode="0.00"/>
    </dxf>
    <dxf>
      <numFmt numFmtId="172" formatCode="0.000"/>
    </dxf>
    <dxf>
      <numFmt numFmtId="171" formatCode="0.0000"/>
    </dxf>
    <dxf>
      <numFmt numFmtId="170" formatCode="0.00000"/>
    </dxf>
    <dxf>
      <numFmt numFmtId="169" formatCode="0.000000"/>
    </dxf>
    <dxf>
      <numFmt numFmtId="168" formatCode="0.0000000"/>
    </dxf>
    <dxf>
      <numFmt numFmtId="167" formatCode="&quot;$&quot;#,##0\K"/>
    </dxf>
    <dxf>
      <numFmt numFmtId="166" formatCode="&quot;$&quot;#,##0"/>
    </dxf>
    <dxf>
      <numFmt numFmtId="178" formatCode="&quot;$&quot;#,##0.0"/>
    </dxf>
    <dxf>
      <numFmt numFmtId="164" formatCode="&quot;$&quot;#,##0.00"/>
    </dxf>
    <dxf>
      <numFmt numFmtId="177" formatCode="&quot;$&quot;#,##0.000"/>
    </dxf>
    <dxf>
      <numFmt numFmtId="164" formatCode="&quot;$&quot;#,##0.00"/>
    </dxf>
    <dxf>
      <numFmt numFmtId="165" formatCode="#,##0\K"/>
    </dxf>
    <dxf>
      <numFmt numFmtId="167" formatCode="&quot;$&quot;#,##0\K"/>
    </dxf>
    <dxf>
      <numFmt numFmtId="166" formatCode="&quot;$&quot;#,##0"/>
    </dxf>
    <dxf>
      <numFmt numFmtId="175" formatCode="#,##0\k"/>
    </dxf>
    <dxf>
      <numFmt numFmtId="176" formatCode="#,##0.0\k"/>
    </dxf>
    <dxf>
      <numFmt numFmtId="175" formatCode="#,##0\k"/>
    </dxf>
    <dxf>
      <numFmt numFmtId="1" formatCode="0"/>
    </dxf>
    <dxf>
      <numFmt numFmtId="173" formatCode="0.0"/>
    </dxf>
    <dxf>
      <numFmt numFmtId="167" formatCode="&quot;$&quot;#,##0\K"/>
    </dxf>
    <dxf>
      <numFmt numFmtId="166" formatCode="&quot;$&quot;#,##0"/>
    </dxf>
    <dxf>
      <numFmt numFmtId="165" formatCode="#,##0\K"/>
    </dxf>
    <dxf>
      <font>
        <b/>
        <i val="0"/>
        <sz val="12"/>
        <color theme="0"/>
      </font>
      <border>
        <bottom style="thin">
          <color theme="7"/>
        </bottom>
        <vertical/>
        <horizontal/>
      </border>
    </dxf>
    <dxf>
      <font>
        <b val="0"/>
        <i val="0"/>
        <sz val="10"/>
        <color theme="7"/>
      </font>
      <fill>
        <patternFill>
          <bgColor theme="7" tint="-0.499984740745262"/>
        </patternFill>
      </fill>
      <border diagonalUp="1" diagonalDown="0">
        <left/>
        <right/>
        <top/>
        <bottom/>
        <diagonal style="thin">
          <color theme="7"/>
        </diagonal>
        <vertical/>
        <horizontal/>
      </border>
    </dxf>
  </dxfs>
  <tableStyles count="1" defaultTableStyle="TableStyleMedium2" defaultPivotStyle="PivotStyleLight16">
    <tableStyle name="SlicerStyleLight4 2" pivot="0" table="0" count="10">
      <tableStyleElement type="wholeTable" dxfId="91"/>
      <tableStyleElement type="headerRow" dxfId="90"/>
    </tableStyle>
  </tableStyles>
  <colors>
    <mruColors>
      <color rgb="FFDFD22D"/>
      <color rgb="FF20F039"/>
      <color rgb="FFD6DC8C"/>
      <color rgb="FFF8F880"/>
      <color rgb="FF96FEA7"/>
      <color rgb="FF2A42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sz val="11"/>
            <color theme="5" tint="-0.499984740745262"/>
          </font>
          <fill>
            <patternFill patternType="solid">
              <fgColor theme="7" tint="0.79998168889431442"/>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CPA</a:t>
            </a:r>
            <a:r>
              <a:rPr lang="en-US" baseline="0"/>
              <a:t> By Campaign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rgbClr val="92D050"/>
          </a:solidFill>
          <a:ln>
            <a:noFill/>
          </a:ln>
          <a:effectLst/>
        </c:spPr>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103105861767276"/>
          <c:y val="0.1452369495479732"/>
          <c:w val="0.38127121609798775"/>
          <c:h val="0.63545202682997959"/>
        </c:manualLayout>
      </c:layout>
      <c:barChart>
        <c:barDir val="bar"/>
        <c:grouping val="clustered"/>
        <c:varyColors val="0"/>
        <c:ser>
          <c:idx val="0"/>
          <c:order val="0"/>
          <c:tx>
            <c:strRef>
              <c:f>'Pivot Tables'!$C$15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5398-4376-A791-826A6B06CDFC}"/>
              </c:ext>
            </c:extLst>
          </c:dPt>
          <c:dPt>
            <c:idx val="1"/>
            <c:invertIfNegative val="0"/>
            <c:bubble3D val="0"/>
            <c:extLst>
              <c:ext xmlns:c16="http://schemas.microsoft.com/office/drawing/2014/chart" uri="{C3380CC4-5D6E-409C-BE32-E72D297353CC}">
                <c16:uniqueId val="{0000000F-5398-4376-A791-826A6B06CDFC}"/>
              </c:ext>
            </c:extLst>
          </c:dPt>
          <c:dPt>
            <c:idx val="2"/>
            <c:invertIfNegative val="0"/>
            <c:bubble3D val="0"/>
            <c:extLst>
              <c:ext xmlns:c16="http://schemas.microsoft.com/office/drawing/2014/chart" uri="{C3380CC4-5D6E-409C-BE32-E72D297353CC}">
                <c16:uniqueId val="{00000009-5398-4376-A791-826A6B06CDFC}"/>
              </c:ext>
            </c:extLst>
          </c:dPt>
          <c:dPt>
            <c:idx val="3"/>
            <c:invertIfNegative val="0"/>
            <c:bubble3D val="0"/>
            <c:extLst>
              <c:ext xmlns:c16="http://schemas.microsoft.com/office/drawing/2014/chart" uri="{C3380CC4-5D6E-409C-BE32-E72D297353CC}">
                <c16:uniqueId val="{00000008-5398-4376-A791-826A6B06CDFC}"/>
              </c:ext>
            </c:extLst>
          </c:dPt>
          <c:dPt>
            <c:idx val="5"/>
            <c:invertIfNegative val="0"/>
            <c:bubble3D val="0"/>
            <c:extLst>
              <c:ext xmlns:c16="http://schemas.microsoft.com/office/drawing/2014/chart" uri="{C3380CC4-5D6E-409C-BE32-E72D297353CC}">
                <c16:uniqueId val="{00000007-5398-4376-A791-826A6B06CD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Tables'!$B$16:$B$22</c:f>
              <c:strCache>
                <c:ptCount val="6"/>
                <c:pt idx="0">
                  <c:v>Unknown</c:v>
                </c:pt>
                <c:pt idx="1">
                  <c:v>Affiliate</c:v>
                </c:pt>
                <c:pt idx="2">
                  <c:v>PPC</c:v>
                </c:pt>
                <c:pt idx="3">
                  <c:v>Email</c:v>
                </c:pt>
                <c:pt idx="4">
                  <c:v>Social Media</c:v>
                </c:pt>
                <c:pt idx="5">
                  <c:v>Influencer</c:v>
                </c:pt>
              </c:strCache>
            </c:strRef>
          </c:cat>
          <c:val>
            <c:numRef>
              <c:f>'Pivot Tables'!$C$16:$C$22</c:f>
              <c:numCache>
                <c:formatCode>"$"#,##0\K</c:formatCode>
                <c:ptCount val="6"/>
                <c:pt idx="0">
                  <c:v>2.7330600000000005</c:v>
                </c:pt>
                <c:pt idx="1">
                  <c:v>3.0012899999999991</c:v>
                </c:pt>
                <c:pt idx="2">
                  <c:v>3.7065200000000003</c:v>
                </c:pt>
                <c:pt idx="3">
                  <c:v>3.9091499999999995</c:v>
                </c:pt>
                <c:pt idx="4">
                  <c:v>3.9355200000000008</c:v>
                </c:pt>
                <c:pt idx="5">
                  <c:v>5.3208000000000002</c:v>
                </c:pt>
              </c:numCache>
            </c:numRef>
          </c:val>
          <c:extLst>
            <c:ext xmlns:c16="http://schemas.microsoft.com/office/drawing/2014/chart" uri="{C3380CC4-5D6E-409C-BE32-E72D297353CC}">
              <c16:uniqueId val="{00000000-5398-4376-A791-826A6B06CDFC}"/>
            </c:ext>
          </c:extLst>
        </c:ser>
        <c:dLbls>
          <c:dLblPos val="outEnd"/>
          <c:showLegendKey val="0"/>
          <c:showVal val="1"/>
          <c:showCatName val="0"/>
          <c:showSerName val="0"/>
          <c:showPercent val="0"/>
          <c:showBubbleSize val="0"/>
        </c:dLbls>
        <c:gapWidth val="150"/>
        <c:axId val="2100668736"/>
        <c:axId val="2100677888"/>
      </c:barChart>
      <c:valAx>
        <c:axId val="2100677888"/>
        <c:scaling>
          <c:orientation val="minMax"/>
        </c:scaling>
        <c:delete val="1"/>
        <c:axPos val="b"/>
        <c:numFmt formatCode="&quot;$&quot;#,##0\K" sourceLinked="1"/>
        <c:majorTickMark val="none"/>
        <c:minorTickMark val="none"/>
        <c:tickLblPos val="nextTo"/>
        <c:crossAx val="2100668736"/>
        <c:crosses val="autoZero"/>
        <c:crossBetween val="between"/>
      </c:valAx>
      <c:catAx>
        <c:axId val="210066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7788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by </a:t>
            </a:r>
            <a:r>
              <a:rPr lang="en-US" sz="1400" b="0" i="0" u="none" strike="noStrike" baseline="0">
                <a:effectLst/>
              </a:rPr>
              <a:t>Campaign type </a:t>
            </a:r>
            <a:r>
              <a:rPr lang="en-US"/>
              <a:t>  </a:t>
            </a:r>
          </a:p>
        </c:rich>
      </c:tx>
      <c:layout>
        <c:manualLayout>
          <c:xMode val="edge"/>
          <c:yMode val="edge"/>
          <c:x val="0.2262460907491581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Tables'!$B$5:$B$11</c:f>
              <c:strCache>
                <c:ptCount val="6"/>
                <c:pt idx="0">
                  <c:v>Unknown</c:v>
                </c:pt>
                <c:pt idx="1">
                  <c:v>Affiliate</c:v>
                </c:pt>
                <c:pt idx="2">
                  <c:v>PPC</c:v>
                </c:pt>
                <c:pt idx="3">
                  <c:v>Email</c:v>
                </c:pt>
                <c:pt idx="4">
                  <c:v>Social Media</c:v>
                </c:pt>
                <c:pt idx="5">
                  <c:v>Influencer</c:v>
                </c:pt>
              </c:strCache>
            </c:strRef>
          </c:cat>
          <c:val>
            <c:numRef>
              <c:f>'Pivot Tables'!$C$5:$C$11</c:f>
              <c:numCache>
                <c:formatCode>"$"#,##0\K</c:formatCode>
                <c:ptCount val="6"/>
                <c:pt idx="0">
                  <c:v>8.9891100000000019</c:v>
                </c:pt>
                <c:pt idx="1">
                  <c:v>13.295150000000003</c:v>
                </c:pt>
                <c:pt idx="2">
                  <c:v>14.181700000000001</c:v>
                </c:pt>
                <c:pt idx="3">
                  <c:v>14.41484</c:v>
                </c:pt>
                <c:pt idx="4">
                  <c:v>14.591580000000002</c:v>
                </c:pt>
                <c:pt idx="5">
                  <c:v>18.569780000000002</c:v>
                </c:pt>
              </c:numCache>
            </c:numRef>
          </c:val>
          <c:extLst>
            <c:ext xmlns:c16="http://schemas.microsoft.com/office/drawing/2014/chart" uri="{C3380CC4-5D6E-409C-BE32-E72D297353CC}">
              <c16:uniqueId val="{00000000-D8BB-4E75-BE09-3D74687F60EE}"/>
            </c:ext>
          </c:extLst>
        </c:ser>
        <c:dLbls>
          <c:dLblPos val="outEnd"/>
          <c:showLegendKey val="0"/>
          <c:showVal val="1"/>
          <c:showCatName val="0"/>
          <c:showSerName val="0"/>
          <c:showPercent val="0"/>
          <c:showBubbleSize val="0"/>
        </c:dLbls>
        <c:gapWidth val="219"/>
        <c:overlap val="-27"/>
        <c:axId val="2029356912"/>
        <c:axId val="2029354416"/>
      </c:barChart>
      <c:catAx>
        <c:axId val="20293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354416"/>
        <c:crosses val="autoZero"/>
        <c:auto val="1"/>
        <c:lblAlgn val="ctr"/>
        <c:lblOffset val="100"/>
        <c:noMultiLvlLbl val="0"/>
      </c:catAx>
      <c:valAx>
        <c:axId val="2029354416"/>
        <c:scaling>
          <c:orientation val="minMax"/>
        </c:scaling>
        <c:delete val="1"/>
        <c:axPos val="l"/>
        <c:numFmt formatCode="&quot;$&quot;#,##0\K" sourceLinked="1"/>
        <c:majorTickMark val="none"/>
        <c:minorTickMark val="none"/>
        <c:tickLblPos val="nextTo"/>
        <c:crossAx val="2029356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Clicks</a:t>
            </a:r>
            <a:r>
              <a:rPr lang="en-US" baseline="0"/>
              <a:t> By Campaign type</a:t>
            </a:r>
            <a:endParaRPr lang="en-US"/>
          </a:p>
        </c:rich>
      </c:tx>
      <c:layout>
        <c:manualLayout>
          <c:xMode val="edge"/>
          <c:yMode val="edge"/>
          <c:x val="0.22231067742299085"/>
          <c:y val="4.3478260869565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Tables'!$B$28:$B$34</c:f>
              <c:strCache>
                <c:ptCount val="6"/>
                <c:pt idx="0">
                  <c:v>Unknown</c:v>
                </c:pt>
                <c:pt idx="1">
                  <c:v>Affiliate</c:v>
                </c:pt>
                <c:pt idx="2">
                  <c:v>Social Media</c:v>
                </c:pt>
                <c:pt idx="3">
                  <c:v>Email</c:v>
                </c:pt>
                <c:pt idx="4">
                  <c:v>PPC</c:v>
                </c:pt>
                <c:pt idx="5">
                  <c:v>Influencer</c:v>
                </c:pt>
              </c:strCache>
            </c:strRef>
          </c:cat>
          <c:val>
            <c:numRef>
              <c:f>'Pivot Tables'!$C$28:$C$34</c:f>
              <c:numCache>
                <c:formatCode>#,##0\K</c:formatCode>
                <c:ptCount val="6"/>
                <c:pt idx="0">
                  <c:v>602.38599999999997</c:v>
                </c:pt>
                <c:pt idx="1">
                  <c:v>790.84000000000026</c:v>
                </c:pt>
                <c:pt idx="2">
                  <c:v>796.50400000000002</c:v>
                </c:pt>
                <c:pt idx="3">
                  <c:v>811.29500000000007</c:v>
                </c:pt>
                <c:pt idx="4">
                  <c:v>850.71199999999931</c:v>
                </c:pt>
                <c:pt idx="5">
                  <c:v>979.98400000000038</c:v>
                </c:pt>
              </c:numCache>
            </c:numRef>
          </c:val>
          <c:extLst>
            <c:ext xmlns:c16="http://schemas.microsoft.com/office/drawing/2014/chart" uri="{C3380CC4-5D6E-409C-BE32-E72D297353CC}">
              <c16:uniqueId val="{00000000-80B1-4F1F-B499-ABEF1160E850}"/>
            </c:ext>
          </c:extLst>
        </c:ser>
        <c:dLbls>
          <c:dLblPos val="outEnd"/>
          <c:showLegendKey val="0"/>
          <c:showVal val="1"/>
          <c:showCatName val="0"/>
          <c:showSerName val="0"/>
          <c:showPercent val="0"/>
          <c:showBubbleSize val="0"/>
        </c:dLbls>
        <c:gapWidth val="150"/>
        <c:axId val="1367417759"/>
        <c:axId val="1367420255"/>
      </c:barChart>
      <c:catAx>
        <c:axId val="136741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20255"/>
        <c:crosses val="autoZero"/>
        <c:auto val="1"/>
        <c:lblAlgn val="ctr"/>
        <c:lblOffset val="100"/>
        <c:noMultiLvlLbl val="0"/>
      </c:catAx>
      <c:valAx>
        <c:axId val="1367420255"/>
        <c:scaling>
          <c:orientation val="minMax"/>
        </c:scaling>
        <c:delete val="1"/>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crossAx val="1367417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Tables'!$C$37</c:f>
              <c:strCache>
                <c:ptCount val="1"/>
                <c:pt idx="0">
                  <c:v>Average of CPC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Tables'!$B$38:$B$44</c:f>
              <c:strCache>
                <c:ptCount val="6"/>
                <c:pt idx="0">
                  <c:v>Social Media</c:v>
                </c:pt>
                <c:pt idx="1">
                  <c:v>PPC</c:v>
                </c:pt>
                <c:pt idx="2">
                  <c:v>Unknown</c:v>
                </c:pt>
                <c:pt idx="3">
                  <c:v>Affiliate</c:v>
                </c:pt>
                <c:pt idx="4">
                  <c:v>Email</c:v>
                </c:pt>
                <c:pt idx="5">
                  <c:v>Influencer</c:v>
                </c:pt>
              </c:strCache>
            </c:strRef>
          </c:cat>
          <c:val>
            <c:numRef>
              <c:f>'Pivot Tables'!$C$38:$C$44</c:f>
              <c:numCache>
                <c:formatCode>"$"#,##0.00</c:formatCode>
                <c:ptCount val="6"/>
                <c:pt idx="0">
                  <c:v>5.2551500993119615E-2</c:v>
                </c:pt>
                <c:pt idx="1">
                  <c:v>3.9897983012021035E-2</c:v>
                </c:pt>
                <c:pt idx="2">
                  <c:v>3.9169697495215129E-2</c:v>
                </c:pt>
                <c:pt idx="3">
                  <c:v>4.8793143840561534E-2</c:v>
                </c:pt>
                <c:pt idx="4">
                  <c:v>3.3248926206121673E-2</c:v>
                </c:pt>
                <c:pt idx="5">
                  <c:v>3.4589335645360313E-2</c:v>
                </c:pt>
              </c:numCache>
            </c:numRef>
          </c:val>
          <c:extLst>
            <c:ext xmlns:c16="http://schemas.microsoft.com/office/drawing/2014/chart" uri="{C3380CC4-5D6E-409C-BE32-E72D297353CC}">
              <c16:uniqueId val="{00000000-E3F5-4D50-90E9-262419F69AD3}"/>
            </c:ext>
          </c:extLst>
        </c:ser>
        <c:ser>
          <c:idx val="1"/>
          <c:order val="1"/>
          <c:tx>
            <c:strRef>
              <c:f>'Pivot Tables'!$D$37</c:f>
              <c:strCache>
                <c:ptCount val="1"/>
                <c:pt idx="0">
                  <c:v>Average of CTR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Tables'!$B$38:$B$44</c:f>
              <c:strCache>
                <c:ptCount val="6"/>
                <c:pt idx="0">
                  <c:v>Social Media</c:v>
                </c:pt>
                <c:pt idx="1">
                  <c:v>PPC</c:v>
                </c:pt>
                <c:pt idx="2">
                  <c:v>Unknown</c:v>
                </c:pt>
                <c:pt idx="3">
                  <c:v>Affiliate</c:v>
                </c:pt>
                <c:pt idx="4">
                  <c:v>Email</c:v>
                </c:pt>
                <c:pt idx="5">
                  <c:v>Influencer</c:v>
                </c:pt>
              </c:strCache>
            </c:strRef>
          </c:cat>
          <c:val>
            <c:numRef>
              <c:f>'Pivot Tables'!$D$38:$D$44</c:f>
              <c:numCache>
                <c:formatCode>0.00</c:formatCode>
                <c:ptCount val="6"/>
                <c:pt idx="0">
                  <c:v>0.17493927085618846</c:v>
                </c:pt>
                <c:pt idx="1">
                  <c:v>0.17747486704947898</c:v>
                </c:pt>
                <c:pt idx="2">
                  <c:v>0.20508185396143486</c:v>
                </c:pt>
                <c:pt idx="3">
                  <c:v>0.21739598741719829</c:v>
                </c:pt>
                <c:pt idx="4">
                  <c:v>0.22019653220601496</c:v>
                </c:pt>
                <c:pt idx="5">
                  <c:v>0.24684102053855567</c:v>
                </c:pt>
              </c:numCache>
            </c:numRef>
          </c:val>
          <c:extLst>
            <c:ext xmlns:c16="http://schemas.microsoft.com/office/drawing/2014/chart" uri="{C3380CC4-5D6E-409C-BE32-E72D297353CC}">
              <c16:uniqueId val="{00000001-E3F5-4D50-90E9-262419F69AD3}"/>
            </c:ext>
          </c:extLst>
        </c:ser>
        <c:dLbls>
          <c:dLblPos val="outEnd"/>
          <c:showLegendKey val="0"/>
          <c:showVal val="1"/>
          <c:showCatName val="0"/>
          <c:showSerName val="0"/>
          <c:showPercent val="0"/>
          <c:showBubbleSize val="0"/>
        </c:dLbls>
        <c:gapWidth val="150"/>
        <c:axId val="1447201631"/>
        <c:axId val="1447203295"/>
      </c:barChart>
      <c:catAx>
        <c:axId val="144720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203295"/>
        <c:crosses val="autoZero"/>
        <c:auto val="1"/>
        <c:lblAlgn val="ctr"/>
        <c:lblOffset val="100"/>
        <c:noMultiLvlLbl val="0"/>
      </c:catAx>
      <c:valAx>
        <c:axId val="1447203295"/>
        <c:scaling>
          <c:orientation val="minMax"/>
        </c:scaling>
        <c:delete val="1"/>
        <c:axPos val="b"/>
        <c:numFmt formatCode="&quot;$&quot;#,##0.00" sourceLinked="1"/>
        <c:majorTickMark val="none"/>
        <c:minorTickMark val="none"/>
        <c:tickLblPos val="nextTo"/>
        <c:crossAx val="1447201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paid customer by campaign type</a:t>
            </a:r>
          </a:p>
        </c:rich>
      </c:tx>
      <c:layout>
        <c:manualLayout>
          <c:xMode val="edge"/>
          <c:yMode val="edge"/>
          <c:x val="0.10238960938706192"/>
          <c:y val="3.19361478216152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Tables'!$C$49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Tables'!$B$50:$B$56</c:f>
              <c:strCache>
                <c:ptCount val="6"/>
                <c:pt idx="0">
                  <c:v>Affiliate</c:v>
                </c:pt>
                <c:pt idx="1">
                  <c:v>Unknown</c:v>
                </c:pt>
                <c:pt idx="2">
                  <c:v>Social Media</c:v>
                </c:pt>
                <c:pt idx="3">
                  <c:v>Email</c:v>
                </c:pt>
                <c:pt idx="4">
                  <c:v>PPC</c:v>
                </c:pt>
                <c:pt idx="5">
                  <c:v>Influencer</c:v>
                </c:pt>
              </c:strCache>
            </c:strRef>
          </c:cat>
          <c:val>
            <c:numRef>
              <c:f>'Pivot Tables'!$C$50:$C$56</c:f>
              <c:numCache>
                <c:formatCode>General</c:formatCode>
                <c:ptCount val="6"/>
                <c:pt idx="0">
                  <c:v>37</c:v>
                </c:pt>
                <c:pt idx="1">
                  <c:v>38</c:v>
                </c:pt>
                <c:pt idx="2">
                  <c:v>42</c:v>
                </c:pt>
                <c:pt idx="3">
                  <c:v>45</c:v>
                </c:pt>
                <c:pt idx="4">
                  <c:v>54</c:v>
                </c:pt>
                <c:pt idx="5">
                  <c:v>60</c:v>
                </c:pt>
              </c:numCache>
            </c:numRef>
          </c:val>
          <c:extLst>
            <c:ext xmlns:c16="http://schemas.microsoft.com/office/drawing/2014/chart" uri="{C3380CC4-5D6E-409C-BE32-E72D297353CC}">
              <c16:uniqueId val="{00000000-613D-4054-A908-15534148FCE4}"/>
            </c:ext>
          </c:extLst>
        </c:ser>
        <c:dLbls>
          <c:dLblPos val="outEnd"/>
          <c:showLegendKey val="0"/>
          <c:showVal val="1"/>
          <c:showCatName val="0"/>
          <c:showSerName val="0"/>
          <c:showPercent val="0"/>
          <c:showBubbleSize val="0"/>
        </c:dLbls>
        <c:gapWidth val="219"/>
        <c:overlap val="-27"/>
        <c:axId val="1725128415"/>
        <c:axId val="1725128831"/>
      </c:barChart>
      <c:catAx>
        <c:axId val="1725128415"/>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28831"/>
        <c:crosses val="autoZero"/>
        <c:auto val="1"/>
        <c:lblAlgn val="ctr"/>
        <c:lblOffset val="100"/>
        <c:noMultiLvlLbl val="0"/>
      </c:catAx>
      <c:valAx>
        <c:axId val="1725128831"/>
        <c:scaling>
          <c:orientation val="minMax"/>
        </c:scaling>
        <c:delete val="1"/>
        <c:axPos val="l"/>
        <c:numFmt formatCode="General" sourceLinked="1"/>
        <c:majorTickMark val="out"/>
        <c:minorTickMark val="none"/>
        <c:tickLblPos val="nextTo"/>
        <c:crossAx val="1725128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campaign</a:t>
            </a:r>
            <a:endParaRPr lang="en-US"/>
          </a:p>
        </c:rich>
      </c:tx>
      <c:layout>
        <c:manualLayout>
          <c:xMode val="edge"/>
          <c:yMode val="edge"/>
          <c:x val="0.25941907261592301"/>
          <c:y val="2.3147981976937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Tables'!$B$64:$B$70</c:f>
              <c:strCache>
                <c:ptCount val="6"/>
                <c:pt idx="0">
                  <c:v>Unknown</c:v>
                </c:pt>
                <c:pt idx="1">
                  <c:v>Social Media</c:v>
                </c:pt>
                <c:pt idx="2">
                  <c:v>Email</c:v>
                </c:pt>
                <c:pt idx="3">
                  <c:v>Affiliate</c:v>
                </c:pt>
                <c:pt idx="4">
                  <c:v>Influencer</c:v>
                </c:pt>
                <c:pt idx="5">
                  <c:v>PPC</c:v>
                </c:pt>
              </c:strCache>
            </c:strRef>
          </c:cat>
          <c:val>
            <c:numRef>
              <c:f>'Pivot Tables'!$C$64:$C$70</c:f>
              <c:numCache>
                <c:formatCode>"$"#,##0\K</c:formatCode>
                <c:ptCount val="6"/>
                <c:pt idx="0">
                  <c:v>8.5301600000000004</c:v>
                </c:pt>
                <c:pt idx="1">
                  <c:v>8.9098900000000025</c:v>
                </c:pt>
                <c:pt idx="2">
                  <c:v>9.1537400000000009</c:v>
                </c:pt>
                <c:pt idx="3">
                  <c:v>9.3215699999999995</c:v>
                </c:pt>
                <c:pt idx="4">
                  <c:v>11.30939</c:v>
                </c:pt>
                <c:pt idx="5">
                  <c:v>11.842360000000003</c:v>
                </c:pt>
              </c:numCache>
            </c:numRef>
          </c:val>
          <c:extLst>
            <c:ext xmlns:c16="http://schemas.microsoft.com/office/drawing/2014/chart" uri="{C3380CC4-5D6E-409C-BE32-E72D297353CC}">
              <c16:uniqueId val="{00000003-77BB-4A69-9DF1-B19E8AAC893C}"/>
            </c:ext>
          </c:extLst>
        </c:ser>
        <c:dLbls>
          <c:dLblPos val="outEnd"/>
          <c:showLegendKey val="0"/>
          <c:showVal val="1"/>
          <c:showCatName val="0"/>
          <c:showSerName val="0"/>
          <c:showPercent val="0"/>
          <c:showBubbleSize val="0"/>
        </c:dLbls>
        <c:gapWidth val="182"/>
        <c:axId val="1703844079"/>
        <c:axId val="1703851983"/>
      </c:barChart>
      <c:catAx>
        <c:axId val="17038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51983"/>
        <c:crosses val="autoZero"/>
        <c:auto val="1"/>
        <c:lblAlgn val="ctr"/>
        <c:lblOffset val="100"/>
        <c:noMultiLvlLbl val="0"/>
      </c:catAx>
      <c:valAx>
        <c:axId val="170385198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K" sourceLinked="1"/>
        <c:majorTickMark val="none"/>
        <c:minorTickMark val="none"/>
        <c:tickLblPos val="nextTo"/>
        <c:crossAx val="1703844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plotArea>
      <cx:plotAreaRegion>
        <cx:series layoutId="clusteredColumn" uniqueId="{2D294638-5AA5-41A8-A7E9-64332B24EA56}">
          <cx:tx>
            <cx:txData>
              <cx:f>_xlchart.1</cx:f>
              <cx:v>Sum of PaidCustomer</cx:v>
            </cx:txData>
          </cx:tx>
          <cx:dataLabels>
            <cx:visibility seriesName="0" categoryName="0" value="1"/>
          </cx:dataLabels>
          <cx:dataId val="0"/>
          <cx:layoutPr>
            <cx:aggregation/>
          </cx:layoutPr>
          <cx:axisId val="1"/>
        </cx:series>
        <cx:series layoutId="paretoLine" ownerIdx="0" uniqueId="{47F739F5-4FEE-4822-914D-D299013AA278}">
          <cx:axisId val="2"/>
        </cx:series>
      </cx:plotAreaRegion>
      <cx:axis id="0">
        <cx:catScaling gapWidth="0"/>
        <cx:tickLabels/>
      </cx:axis>
      <cx:axis id="1" hidden="1">
        <cx:valScaling/>
        <cx:majorGridlines/>
        <cx:tickLabels/>
      </cx:axis>
      <cx:axis id="2" hidden="1">
        <cx:valScaling max="1" min="0"/>
        <cx:units unit="percentage"/>
        <cx:tickLabels/>
      </cx:axis>
    </cx:plotArea>
  </cx:chart>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c:name>
    <c:fmtId val="6"/>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Spend by Campaign type </a:t>
            </a:r>
          </a:p>
        </c:rich>
      </c:tx>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solidFill>
          <a:ln>
            <a:noFill/>
          </a:ln>
          <a:effectLst/>
        </c:spPr>
      </c:pivotFmt>
    </c:pivotFmts>
    <c:plotArea>
      <c:layout/>
      <c:barChart>
        <c:barDir val="col"/>
        <c:grouping val="clustered"/>
        <c:varyColors val="0"/>
        <c:ser>
          <c:idx val="0"/>
          <c:order val="0"/>
          <c:tx>
            <c:strRef>
              <c:f>'Pivot Tables'!$C$4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Tables'!$B$5:$B$11</c:f>
              <c:strCache>
                <c:ptCount val="6"/>
                <c:pt idx="0">
                  <c:v>Unknown</c:v>
                </c:pt>
                <c:pt idx="1">
                  <c:v>Affiliate</c:v>
                </c:pt>
                <c:pt idx="2">
                  <c:v>PPC</c:v>
                </c:pt>
                <c:pt idx="3">
                  <c:v>Email</c:v>
                </c:pt>
                <c:pt idx="4">
                  <c:v>Social Media</c:v>
                </c:pt>
                <c:pt idx="5">
                  <c:v>Influencer</c:v>
                </c:pt>
              </c:strCache>
            </c:strRef>
          </c:cat>
          <c:val>
            <c:numRef>
              <c:f>'Pivot Tables'!$C$5:$C$11</c:f>
              <c:numCache>
                <c:formatCode>"$"#,##0\K</c:formatCode>
                <c:ptCount val="6"/>
                <c:pt idx="0">
                  <c:v>8.9891100000000019</c:v>
                </c:pt>
                <c:pt idx="1">
                  <c:v>13.295150000000003</c:v>
                </c:pt>
                <c:pt idx="2">
                  <c:v>14.181700000000001</c:v>
                </c:pt>
                <c:pt idx="3">
                  <c:v>14.41484</c:v>
                </c:pt>
                <c:pt idx="4">
                  <c:v>14.591580000000002</c:v>
                </c:pt>
                <c:pt idx="5">
                  <c:v>18.569780000000002</c:v>
                </c:pt>
              </c:numCache>
            </c:numRef>
          </c:val>
          <c:extLst>
            <c:ext xmlns:c16="http://schemas.microsoft.com/office/drawing/2014/chart" uri="{C3380CC4-5D6E-409C-BE32-E72D297353CC}">
              <c16:uniqueId val="{00000000-15DB-4911-BB26-2EEBA0BE8D0B}"/>
            </c:ext>
          </c:extLst>
        </c:ser>
        <c:dLbls>
          <c:dLblPos val="outEnd"/>
          <c:showLegendKey val="0"/>
          <c:showVal val="1"/>
          <c:showCatName val="0"/>
          <c:showSerName val="0"/>
          <c:showPercent val="0"/>
          <c:showBubbleSize val="0"/>
        </c:dLbls>
        <c:gapWidth val="219"/>
        <c:overlap val="-27"/>
        <c:axId val="2029356912"/>
        <c:axId val="2029354416"/>
      </c:barChart>
      <c:catAx>
        <c:axId val="20293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75000"/>
                  </a:schemeClr>
                </a:solidFill>
                <a:latin typeface="+mn-lt"/>
                <a:ea typeface="+mn-ea"/>
                <a:cs typeface="+mn-cs"/>
              </a:defRPr>
            </a:pPr>
            <a:endParaRPr lang="en-US"/>
          </a:p>
        </c:txPr>
        <c:crossAx val="2029354416"/>
        <c:crosses val="autoZero"/>
        <c:auto val="1"/>
        <c:lblAlgn val="ctr"/>
        <c:lblOffset val="100"/>
        <c:noMultiLvlLbl val="0"/>
      </c:catAx>
      <c:valAx>
        <c:axId val="2029354416"/>
        <c:scaling>
          <c:orientation val="minMax"/>
        </c:scaling>
        <c:delete val="1"/>
        <c:axPos val="l"/>
        <c:numFmt formatCode="&quot;$&quot;#,##0\K" sourceLinked="1"/>
        <c:majorTickMark val="none"/>
        <c:minorTickMark val="none"/>
        <c:tickLblPos val="nextTo"/>
        <c:crossAx val="2029356912"/>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Tables!PivotTable13</c:name>
    <c:fmtId val="5"/>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Paid customer by Campaign type</a:t>
            </a:r>
          </a:p>
        </c:rich>
      </c:tx>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Tables'!$C$49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Tables'!$B$50:$B$56</c:f>
              <c:strCache>
                <c:ptCount val="6"/>
                <c:pt idx="0">
                  <c:v>Affiliate</c:v>
                </c:pt>
                <c:pt idx="1">
                  <c:v>Unknown</c:v>
                </c:pt>
                <c:pt idx="2">
                  <c:v>Social Media</c:v>
                </c:pt>
                <c:pt idx="3">
                  <c:v>Email</c:v>
                </c:pt>
                <c:pt idx="4">
                  <c:v>PPC</c:v>
                </c:pt>
                <c:pt idx="5">
                  <c:v>Influencer</c:v>
                </c:pt>
              </c:strCache>
            </c:strRef>
          </c:cat>
          <c:val>
            <c:numRef>
              <c:f>'Pivot Tables'!$C$50:$C$56</c:f>
              <c:numCache>
                <c:formatCode>General</c:formatCode>
                <c:ptCount val="6"/>
                <c:pt idx="0">
                  <c:v>37</c:v>
                </c:pt>
                <c:pt idx="1">
                  <c:v>38</c:v>
                </c:pt>
                <c:pt idx="2">
                  <c:v>42</c:v>
                </c:pt>
                <c:pt idx="3">
                  <c:v>45</c:v>
                </c:pt>
                <c:pt idx="4">
                  <c:v>54</c:v>
                </c:pt>
                <c:pt idx="5">
                  <c:v>60</c:v>
                </c:pt>
              </c:numCache>
            </c:numRef>
          </c:val>
          <c:extLst>
            <c:ext xmlns:c16="http://schemas.microsoft.com/office/drawing/2014/chart" uri="{C3380CC4-5D6E-409C-BE32-E72D297353CC}">
              <c16:uniqueId val="{00000000-706C-4680-9B27-87C87B2FC05A}"/>
            </c:ext>
          </c:extLst>
        </c:ser>
        <c:dLbls>
          <c:dLblPos val="outEnd"/>
          <c:showLegendKey val="0"/>
          <c:showVal val="1"/>
          <c:showCatName val="0"/>
          <c:showSerName val="0"/>
          <c:showPercent val="0"/>
          <c:showBubbleSize val="0"/>
        </c:dLbls>
        <c:gapWidth val="219"/>
        <c:overlap val="-27"/>
        <c:axId val="1725128415"/>
        <c:axId val="1725128831"/>
      </c:barChart>
      <c:catAx>
        <c:axId val="172512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75000"/>
                  </a:schemeClr>
                </a:solidFill>
                <a:latin typeface="+mn-lt"/>
                <a:ea typeface="+mn-ea"/>
                <a:cs typeface="+mn-cs"/>
              </a:defRPr>
            </a:pPr>
            <a:endParaRPr lang="en-US"/>
          </a:p>
        </c:txPr>
        <c:crossAx val="1725128831"/>
        <c:crosses val="autoZero"/>
        <c:auto val="1"/>
        <c:lblAlgn val="ctr"/>
        <c:lblOffset val="100"/>
        <c:noMultiLvlLbl val="0"/>
      </c:catAx>
      <c:valAx>
        <c:axId val="1725128831"/>
        <c:scaling>
          <c:orientation val="minMax"/>
        </c:scaling>
        <c:delete val="1"/>
        <c:axPos val="l"/>
        <c:numFmt formatCode="General" sourceLinked="1"/>
        <c:majorTickMark val="out"/>
        <c:minorTickMark val="none"/>
        <c:tickLblPos val="nextTo"/>
        <c:crossAx val="1725128415"/>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Tables!PivotTable2</c:name>
    <c:fmtId val="6"/>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Revenue</a:t>
            </a:r>
            <a:r>
              <a:rPr lang="en-US" b="1" baseline="0">
                <a:solidFill>
                  <a:schemeClr val="accent4"/>
                </a:solidFill>
              </a:rPr>
              <a:t> by Campaign</a:t>
            </a:r>
            <a:endParaRPr lang="en-US" b="1">
              <a:solidFill>
                <a:schemeClr val="accent4"/>
              </a:solidFill>
            </a:endParaRPr>
          </a:p>
        </c:rich>
      </c:tx>
      <c:layout>
        <c:manualLayout>
          <c:xMode val="edge"/>
          <c:yMode val="edge"/>
          <c:x val="0.25941907261592301"/>
          <c:y val="2.3147981976937564E-2"/>
        </c:manualLayout>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8681097193880987"/>
          <c:y val="0.18262371047469278"/>
          <c:w val="0.5717163742582938"/>
          <c:h val="0.74586113056405345"/>
        </c:manualLayout>
      </c:layout>
      <c:barChart>
        <c:barDir val="bar"/>
        <c:grouping val="clustered"/>
        <c:varyColors val="0"/>
        <c:ser>
          <c:idx val="0"/>
          <c:order val="0"/>
          <c:tx>
            <c:strRef>
              <c:f>'Pivot Tables'!$C$63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Tables'!$B$64:$B$70</c:f>
              <c:strCache>
                <c:ptCount val="6"/>
                <c:pt idx="0">
                  <c:v>Unknown</c:v>
                </c:pt>
                <c:pt idx="1">
                  <c:v>Social Media</c:v>
                </c:pt>
                <c:pt idx="2">
                  <c:v>Email</c:v>
                </c:pt>
                <c:pt idx="3">
                  <c:v>Affiliate</c:v>
                </c:pt>
                <c:pt idx="4">
                  <c:v>Influencer</c:v>
                </c:pt>
                <c:pt idx="5">
                  <c:v>PPC</c:v>
                </c:pt>
              </c:strCache>
            </c:strRef>
          </c:cat>
          <c:val>
            <c:numRef>
              <c:f>'Pivot Tables'!$C$64:$C$70</c:f>
              <c:numCache>
                <c:formatCode>"$"#,##0\K</c:formatCode>
                <c:ptCount val="6"/>
                <c:pt idx="0">
                  <c:v>8.5301600000000004</c:v>
                </c:pt>
                <c:pt idx="1">
                  <c:v>8.9098900000000025</c:v>
                </c:pt>
                <c:pt idx="2">
                  <c:v>9.1537400000000009</c:v>
                </c:pt>
                <c:pt idx="3">
                  <c:v>9.3215699999999995</c:v>
                </c:pt>
                <c:pt idx="4">
                  <c:v>11.30939</c:v>
                </c:pt>
                <c:pt idx="5">
                  <c:v>11.842360000000003</c:v>
                </c:pt>
              </c:numCache>
            </c:numRef>
          </c:val>
          <c:extLst>
            <c:ext xmlns:c16="http://schemas.microsoft.com/office/drawing/2014/chart" uri="{C3380CC4-5D6E-409C-BE32-E72D297353CC}">
              <c16:uniqueId val="{00000003-EBE4-4BC2-AE49-334D459EDB5E}"/>
            </c:ext>
          </c:extLst>
        </c:ser>
        <c:dLbls>
          <c:dLblPos val="outEnd"/>
          <c:showLegendKey val="0"/>
          <c:showVal val="1"/>
          <c:showCatName val="0"/>
          <c:showSerName val="0"/>
          <c:showPercent val="0"/>
          <c:showBubbleSize val="0"/>
        </c:dLbls>
        <c:gapWidth val="182"/>
        <c:axId val="1703844079"/>
        <c:axId val="1703851983"/>
      </c:barChart>
      <c:catAx>
        <c:axId val="17038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75000"/>
                  </a:schemeClr>
                </a:solidFill>
                <a:latin typeface="+mn-lt"/>
                <a:ea typeface="+mn-ea"/>
                <a:cs typeface="+mn-cs"/>
              </a:defRPr>
            </a:pPr>
            <a:endParaRPr lang="en-US"/>
          </a:p>
        </c:txPr>
        <c:crossAx val="1703851983"/>
        <c:crosses val="autoZero"/>
        <c:auto val="1"/>
        <c:lblAlgn val="ctr"/>
        <c:lblOffset val="100"/>
        <c:noMultiLvlLbl val="0"/>
      </c:catAx>
      <c:valAx>
        <c:axId val="1703851983"/>
        <c:scaling>
          <c:orientation val="minMax"/>
        </c:scaling>
        <c:delete val="1"/>
        <c:axPos val="b"/>
        <c:numFmt formatCode="&quot;$&quot;#,##0\K" sourceLinked="1"/>
        <c:majorTickMark val="none"/>
        <c:minorTickMark val="none"/>
        <c:tickLblPos val="nextTo"/>
        <c:crossAx val="1703844079"/>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Tables!PivotTable3</c:name>
    <c:fmtId val="5"/>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CPA</a:t>
            </a:r>
            <a:r>
              <a:rPr lang="en-US" b="1" baseline="0">
                <a:solidFill>
                  <a:schemeClr val="accent4"/>
                </a:solidFill>
              </a:rPr>
              <a:t> By Campaign type</a:t>
            </a:r>
            <a:endParaRPr lang="en-US" b="1">
              <a:solidFill>
                <a:schemeClr val="accent4"/>
              </a:solidFill>
            </a:endParaRPr>
          </a:p>
        </c:rich>
      </c:tx>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rgbClr val="92D050"/>
          </a:solidFill>
          <a:ln>
            <a:noFill/>
          </a:ln>
          <a:effectLst/>
        </c:spPr>
      </c:pivotFmt>
      <c:pivotFmt>
        <c:idx val="6"/>
        <c:spPr>
          <a:solidFill>
            <a:srgbClr val="92D05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41198538175337"/>
          <c:y val="0.21337358118047342"/>
          <c:w val="0.63588021388435279"/>
          <c:h val="0.71597710769566936"/>
        </c:manualLayout>
      </c:layout>
      <c:barChart>
        <c:barDir val="bar"/>
        <c:grouping val="clustered"/>
        <c:varyColors val="0"/>
        <c:ser>
          <c:idx val="0"/>
          <c:order val="0"/>
          <c:tx>
            <c:strRef>
              <c:f>'Pivot Tables'!$C$15</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89C5-4F10-9564-37AD458F0F2B}"/>
              </c:ext>
            </c:extLst>
          </c:dPt>
          <c:dPt>
            <c:idx val="1"/>
            <c:invertIfNegative val="0"/>
            <c:bubble3D val="0"/>
            <c:extLst>
              <c:ext xmlns:c16="http://schemas.microsoft.com/office/drawing/2014/chart" uri="{C3380CC4-5D6E-409C-BE32-E72D297353CC}">
                <c16:uniqueId val="{00000001-89C5-4F10-9564-37AD458F0F2B}"/>
              </c:ext>
            </c:extLst>
          </c:dPt>
          <c:dPt>
            <c:idx val="2"/>
            <c:invertIfNegative val="0"/>
            <c:bubble3D val="0"/>
            <c:extLst>
              <c:ext xmlns:c16="http://schemas.microsoft.com/office/drawing/2014/chart" uri="{C3380CC4-5D6E-409C-BE32-E72D297353CC}">
                <c16:uniqueId val="{00000002-89C5-4F10-9564-37AD458F0F2B}"/>
              </c:ext>
            </c:extLst>
          </c:dPt>
          <c:dPt>
            <c:idx val="3"/>
            <c:invertIfNegative val="0"/>
            <c:bubble3D val="0"/>
            <c:extLst>
              <c:ext xmlns:c16="http://schemas.microsoft.com/office/drawing/2014/chart" uri="{C3380CC4-5D6E-409C-BE32-E72D297353CC}">
                <c16:uniqueId val="{00000003-89C5-4F10-9564-37AD458F0F2B}"/>
              </c:ext>
            </c:extLst>
          </c:dPt>
          <c:dPt>
            <c:idx val="5"/>
            <c:invertIfNegative val="0"/>
            <c:bubble3D val="0"/>
            <c:extLst>
              <c:ext xmlns:c16="http://schemas.microsoft.com/office/drawing/2014/chart" uri="{C3380CC4-5D6E-409C-BE32-E72D297353CC}">
                <c16:uniqueId val="{00000004-89C5-4F10-9564-37AD458F0F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Tables'!$B$16:$B$22</c:f>
              <c:strCache>
                <c:ptCount val="6"/>
                <c:pt idx="0">
                  <c:v>Unknown</c:v>
                </c:pt>
                <c:pt idx="1">
                  <c:v>Affiliate</c:v>
                </c:pt>
                <c:pt idx="2">
                  <c:v>PPC</c:v>
                </c:pt>
                <c:pt idx="3">
                  <c:v>Email</c:v>
                </c:pt>
                <c:pt idx="4">
                  <c:v>Social Media</c:v>
                </c:pt>
                <c:pt idx="5">
                  <c:v>Influencer</c:v>
                </c:pt>
              </c:strCache>
            </c:strRef>
          </c:cat>
          <c:val>
            <c:numRef>
              <c:f>'Pivot Tables'!$C$16:$C$22</c:f>
              <c:numCache>
                <c:formatCode>"$"#,##0\K</c:formatCode>
                <c:ptCount val="6"/>
                <c:pt idx="0">
                  <c:v>2.7330600000000005</c:v>
                </c:pt>
                <c:pt idx="1">
                  <c:v>3.0012899999999991</c:v>
                </c:pt>
                <c:pt idx="2">
                  <c:v>3.7065200000000003</c:v>
                </c:pt>
                <c:pt idx="3">
                  <c:v>3.9091499999999995</c:v>
                </c:pt>
                <c:pt idx="4">
                  <c:v>3.9355200000000008</c:v>
                </c:pt>
                <c:pt idx="5">
                  <c:v>5.3208000000000002</c:v>
                </c:pt>
              </c:numCache>
            </c:numRef>
          </c:val>
          <c:extLst>
            <c:ext xmlns:c16="http://schemas.microsoft.com/office/drawing/2014/chart" uri="{C3380CC4-5D6E-409C-BE32-E72D297353CC}">
              <c16:uniqueId val="{00000005-89C5-4F10-9564-37AD458F0F2B}"/>
            </c:ext>
          </c:extLst>
        </c:ser>
        <c:dLbls>
          <c:dLblPos val="outEnd"/>
          <c:showLegendKey val="0"/>
          <c:showVal val="1"/>
          <c:showCatName val="0"/>
          <c:showSerName val="0"/>
          <c:showPercent val="0"/>
          <c:showBubbleSize val="0"/>
        </c:dLbls>
        <c:gapWidth val="150"/>
        <c:axId val="2100668736"/>
        <c:axId val="2100677888"/>
      </c:barChart>
      <c:valAx>
        <c:axId val="2100677888"/>
        <c:scaling>
          <c:orientation val="minMax"/>
        </c:scaling>
        <c:delete val="1"/>
        <c:axPos val="b"/>
        <c:numFmt formatCode="&quot;$&quot;#,##0\K" sourceLinked="1"/>
        <c:majorTickMark val="none"/>
        <c:minorTickMark val="none"/>
        <c:tickLblPos val="nextTo"/>
        <c:crossAx val="2100668736"/>
        <c:crosses val="autoZero"/>
        <c:crossBetween val="between"/>
      </c:valAx>
      <c:catAx>
        <c:axId val="210066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2">
                    <a:lumMod val="75000"/>
                  </a:schemeClr>
                </a:solidFill>
                <a:latin typeface="+mn-lt"/>
                <a:ea typeface="+mn-ea"/>
                <a:cs typeface="+mn-cs"/>
              </a:defRPr>
            </a:pPr>
            <a:endParaRPr lang="en-US"/>
          </a:p>
        </c:txPr>
        <c:crossAx val="2100677888"/>
        <c:crosses val="autoZero"/>
        <c:auto val="1"/>
        <c:lblAlgn val="ctr"/>
        <c:lblOffset val="100"/>
        <c:noMultiLvlLbl val="0"/>
      </c:cat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Tables!PivotTable6</c:name>
    <c:fmtId val="6"/>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CPC/CTR</a:t>
            </a:r>
            <a:r>
              <a:rPr lang="en-US" b="1" baseline="0">
                <a:solidFill>
                  <a:schemeClr val="accent4"/>
                </a:solidFill>
              </a:rPr>
              <a:t> by Campaign type</a:t>
            </a:r>
            <a:endParaRPr lang="en-US" b="1">
              <a:solidFill>
                <a:schemeClr val="accent4"/>
              </a:solidFill>
            </a:endParaRPr>
          </a:p>
        </c:rich>
      </c:tx>
      <c:layout>
        <c:manualLayout>
          <c:xMode val="edge"/>
          <c:yMode val="edge"/>
          <c:x val="0.29663133250763679"/>
          <c:y val="0"/>
        </c:manualLayout>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303889068980268"/>
          <c:y val="0.13301718001400864"/>
          <c:w val="0.46095627585866927"/>
          <c:h val="0.85514392027005237"/>
        </c:manualLayout>
      </c:layout>
      <c:barChart>
        <c:barDir val="bar"/>
        <c:grouping val="clustered"/>
        <c:varyColors val="0"/>
        <c:ser>
          <c:idx val="0"/>
          <c:order val="0"/>
          <c:tx>
            <c:strRef>
              <c:f>'Pivot Tables'!$C$37</c:f>
              <c:strCache>
                <c:ptCount val="1"/>
                <c:pt idx="0">
                  <c:v>Average of CPC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Tables'!$B$38:$B$44</c:f>
              <c:strCache>
                <c:ptCount val="6"/>
                <c:pt idx="0">
                  <c:v>Social Media</c:v>
                </c:pt>
                <c:pt idx="1">
                  <c:v>PPC</c:v>
                </c:pt>
                <c:pt idx="2">
                  <c:v>Unknown</c:v>
                </c:pt>
                <c:pt idx="3">
                  <c:v>Affiliate</c:v>
                </c:pt>
                <c:pt idx="4">
                  <c:v>Email</c:v>
                </c:pt>
                <c:pt idx="5">
                  <c:v>Influencer</c:v>
                </c:pt>
              </c:strCache>
            </c:strRef>
          </c:cat>
          <c:val>
            <c:numRef>
              <c:f>'Pivot Tables'!$C$38:$C$44</c:f>
              <c:numCache>
                <c:formatCode>"$"#,##0.00</c:formatCode>
                <c:ptCount val="6"/>
                <c:pt idx="0">
                  <c:v>5.2551500993119615E-2</c:v>
                </c:pt>
                <c:pt idx="1">
                  <c:v>3.9897983012021035E-2</c:v>
                </c:pt>
                <c:pt idx="2">
                  <c:v>3.9169697495215129E-2</c:v>
                </c:pt>
                <c:pt idx="3">
                  <c:v>4.8793143840561534E-2</c:v>
                </c:pt>
                <c:pt idx="4">
                  <c:v>3.3248926206121673E-2</c:v>
                </c:pt>
                <c:pt idx="5">
                  <c:v>3.4589335645360313E-2</c:v>
                </c:pt>
              </c:numCache>
            </c:numRef>
          </c:val>
          <c:extLst>
            <c:ext xmlns:c16="http://schemas.microsoft.com/office/drawing/2014/chart" uri="{C3380CC4-5D6E-409C-BE32-E72D297353CC}">
              <c16:uniqueId val="{00000000-BF9E-4021-AE4C-4EFA27C66237}"/>
            </c:ext>
          </c:extLst>
        </c:ser>
        <c:ser>
          <c:idx val="1"/>
          <c:order val="1"/>
          <c:tx>
            <c:strRef>
              <c:f>'Pivot Tables'!$D$37</c:f>
              <c:strCache>
                <c:ptCount val="1"/>
                <c:pt idx="0">
                  <c:v>Average of CTR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Tables'!$B$38:$B$44</c:f>
              <c:strCache>
                <c:ptCount val="6"/>
                <c:pt idx="0">
                  <c:v>Social Media</c:v>
                </c:pt>
                <c:pt idx="1">
                  <c:v>PPC</c:v>
                </c:pt>
                <c:pt idx="2">
                  <c:v>Unknown</c:v>
                </c:pt>
                <c:pt idx="3">
                  <c:v>Affiliate</c:v>
                </c:pt>
                <c:pt idx="4">
                  <c:v>Email</c:v>
                </c:pt>
                <c:pt idx="5">
                  <c:v>Influencer</c:v>
                </c:pt>
              </c:strCache>
            </c:strRef>
          </c:cat>
          <c:val>
            <c:numRef>
              <c:f>'Pivot Tables'!$D$38:$D$44</c:f>
              <c:numCache>
                <c:formatCode>0.00</c:formatCode>
                <c:ptCount val="6"/>
                <c:pt idx="0">
                  <c:v>0.17493927085618846</c:v>
                </c:pt>
                <c:pt idx="1">
                  <c:v>0.17747486704947898</c:v>
                </c:pt>
                <c:pt idx="2">
                  <c:v>0.20508185396143486</c:v>
                </c:pt>
                <c:pt idx="3">
                  <c:v>0.21739598741719829</c:v>
                </c:pt>
                <c:pt idx="4">
                  <c:v>0.22019653220601496</c:v>
                </c:pt>
                <c:pt idx="5">
                  <c:v>0.24684102053855567</c:v>
                </c:pt>
              </c:numCache>
            </c:numRef>
          </c:val>
          <c:extLst>
            <c:ext xmlns:c16="http://schemas.microsoft.com/office/drawing/2014/chart" uri="{C3380CC4-5D6E-409C-BE32-E72D297353CC}">
              <c16:uniqueId val="{00000001-BF9E-4021-AE4C-4EFA27C66237}"/>
            </c:ext>
          </c:extLst>
        </c:ser>
        <c:dLbls>
          <c:dLblPos val="outEnd"/>
          <c:showLegendKey val="0"/>
          <c:showVal val="1"/>
          <c:showCatName val="0"/>
          <c:showSerName val="0"/>
          <c:showPercent val="0"/>
          <c:showBubbleSize val="0"/>
        </c:dLbls>
        <c:gapWidth val="150"/>
        <c:axId val="1447201631"/>
        <c:axId val="1447203295"/>
      </c:barChart>
      <c:catAx>
        <c:axId val="144720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75000"/>
                  </a:schemeClr>
                </a:solidFill>
                <a:latin typeface="+mn-lt"/>
                <a:ea typeface="+mn-ea"/>
                <a:cs typeface="+mn-cs"/>
              </a:defRPr>
            </a:pPr>
            <a:endParaRPr lang="en-US"/>
          </a:p>
        </c:txPr>
        <c:crossAx val="1447203295"/>
        <c:crosses val="autoZero"/>
        <c:auto val="1"/>
        <c:lblAlgn val="ctr"/>
        <c:lblOffset val="100"/>
        <c:noMultiLvlLbl val="0"/>
      </c:catAx>
      <c:valAx>
        <c:axId val="1447203295"/>
        <c:scaling>
          <c:orientation val="minMax"/>
        </c:scaling>
        <c:delete val="1"/>
        <c:axPos val="b"/>
        <c:numFmt formatCode="&quot;$&quot;#,##0.00" sourceLinked="1"/>
        <c:majorTickMark val="none"/>
        <c:minorTickMark val="none"/>
        <c:tickLblPos val="nextTo"/>
        <c:crossAx val="1447201631"/>
        <c:crosses val="autoZero"/>
        <c:crossBetween val="between"/>
      </c:valAx>
      <c:spPr>
        <a:solidFill>
          <a:schemeClr val="accent4">
            <a:lumMod val="20000"/>
            <a:lumOff val="80000"/>
          </a:schemeClr>
        </a:solidFill>
        <a:ln>
          <a:noFill/>
        </a:ln>
        <a:effectLst/>
      </c:spPr>
    </c:plotArea>
    <c:legend>
      <c:legendPos val="r"/>
      <c:layout/>
      <c:overlay val="0"/>
      <c:spPr>
        <a:solidFill>
          <a:schemeClr val="accent2">
            <a:lumMod val="50000"/>
          </a:schemeClr>
        </a:solidFill>
        <a:ln>
          <a:noFill/>
        </a:ln>
        <a:effectLst/>
      </c:spPr>
      <c:txPr>
        <a:bodyPr rot="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[GetShop Today Customer Data  Final project.xlsx]Pivot Tables!PivotTable12</c:name>
    <c:fmtId val="5"/>
  </c:pivotSource>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Clicks</a:t>
            </a:r>
            <a:r>
              <a:rPr lang="en-US" b="1" baseline="0">
                <a:solidFill>
                  <a:schemeClr val="accent4"/>
                </a:solidFill>
              </a:rPr>
              <a:t> By Campaign type</a:t>
            </a:r>
            <a:endParaRPr lang="en-US" b="1">
              <a:solidFill>
                <a:schemeClr val="accent4"/>
              </a:solidFill>
            </a:endParaRPr>
          </a:p>
        </c:rich>
      </c:tx>
      <c:layout>
        <c:manualLayout>
          <c:xMode val="edge"/>
          <c:yMode val="edge"/>
          <c:x val="0.22231067742299085"/>
          <c:y val="4.3478260869565216E-2"/>
        </c:manualLayout>
      </c:layout>
      <c:overlay val="0"/>
      <c:spPr>
        <a:solidFill>
          <a:schemeClr val="accent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Tables'!$C$27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Tables'!$B$28:$B$34</c:f>
              <c:strCache>
                <c:ptCount val="6"/>
                <c:pt idx="0">
                  <c:v>Unknown</c:v>
                </c:pt>
                <c:pt idx="1">
                  <c:v>Affiliate</c:v>
                </c:pt>
                <c:pt idx="2">
                  <c:v>Social Media</c:v>
                </c:pt>
                <c:pt idx="3">
                  <c:v>Email</c:v>
                </c:pt>
                <c:pt idx="4">
                  <c:v>PPC</c:v>
                </c:pt>
                <c:pt idx="5">
                  <c:v>Influencer</c:v>
                </c:pt>
              </c:strCache>
            </c:strRef>
          </c:cat>
          <c:val>
            <c:numRef>
              <c:f>'Pivot Tables'!$C$28:$C$34</c:f>
              <c:numCache>
                <c:formatCode>#,##0\K</c:formatCode>
                <c:ptCount val="6"/>
                <c:pt idx="0">
                  <c:v>602.38599999999997</c:v>
                </c:pt>
                <c:pt idx="1">
                  <c:v>790.84000000000026</c:v>
                </c:pt>
                <c:pt idx="2">
                  <c:v>796.50400000000002</c:v>
                </c:pt>
                <c:pt idx="3">
                  <c:v>811.29500000000007</c:v>
                </c:pt>
                <c:pt idx="4">
                  <c:v>850.71199999999931</c:v>
                </c:pt>
                <c:pt idx="5">
                  <c:v>979.98400000000038</c:v>
                </c:pt>
              </c:numCache>
            </c:numRef>
          </c:val>
          <c:extLst>
            <c:ext xmlns:c16="http://schemas.microsoft.com/office/drawing/2014/chart" uri="{C3380CC4-5D6E-409C-BE32-E72D297353CC}">
              <c16:uniqueId val="{00000000-0DA4-4A71-AC2F-9C85D012026B}"/>
            </c:ext>
          </c:extLst>
        </c:ser>
        <c:dLbls>
          <c:dLblPos val="outEnd"/>
          <c:showLegendKey val="0"/>
          <c:showVal val="1"/>
          <c:showCatName val="0"/>
          <c:showSerName val="0"/>
          <c:showPercent val="0"/>
          <c:showBubbleSize val="0"/>
        </c:dLbls>
        <c:gapWidth val="150"/>
        <c:axId val="1367417759"/>
        <c:axId val="1367420255"/>
      </c:barChart>
      <c:catAx>
        <c:axId val="136741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2">
                    <a:lumMod val="75000"/>
                  </a:schemeClr>
                </a:solidFill>
                <a:latin typeface="+mn-lt"/>
                <a:ea typeface="+mn-ea"/>
                <a:cs typeface="+mn-cs"/>
              </a:defRPr>
            </a:pPr>
            <a:endParaRPr lang="en-US"/>
          </a:p>
        </c:txPr>
        <c:crossAx val="1367420255"/>
        <c:crosses val="autoZero"/>
        <c:auto val="1"/>
        <c:lblAlgn val="ctr"/>
        <c:lblOffset val="100"/>
        <c:noMultiLvlLbl val="0"/>
      </c:catAx>
      <c:valAx>
        <c:axId val="1367420255"/>
        <c:scaling>
          <c:orientation val="minMax"/>
        </c:scaling>
        <c:delete val="1"/>
        <c:axPos val="b"/>
        <c:numFmt formatCode="#,##0\K" sourceLinked="1"/>
        <c:majorTickMark val="none"/>
        <c:minorTickMark val="none"/>
        <c:tickLblPos val="nextTo"/>
        <c:crossAx val="1367417759"/>
        <c:crosses val="autoZero"/>
        <c:crossBetween val="between"/>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jpe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380999</xdr:colOff>
      <xdr:row>15</xdr:row>
      <xdr:rowOff>19050</xdr:rowOff>
    </xdr:from>
    <xdr:to>
      <xdr:col>5</xdr:col>
      <xdr:colOff>1038225</xdr:colOff>
      <xdr:row>25</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xdr:colOff>
      <xdr:row>2</xdr:row>
      <xdr:rowOff>171450</xdr:rowOff>
    </xdr:from>
    <xdr:to>
      <xdr:col>5</xdr:col>
      <xdr:colOff>1152525</xdr:colOff>
      <xdr:row>12</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25</xdr:row>
      <xdr:rowOff>57150</xdr:rowOff>
    </xdr:from>
    <xdr:to>
      <xdr:col>5</xdr:col>
      <xdr:colOff>1171575</xdr:colOff>
      <xdr:row>34</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557212</xdr:colOff>
      <xdr:row>36</xdr:row>
      <xdr:rowOff>19050</xdr:rowOff>
    </xdr:from>
    <xdr:to>
      <xdr:col>7</xdr:col>
      <xdr:colOff>457200</xdr:colOff>
      <xdr:row>46</xdr:row>
      <xdr:rowOff>42861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352425</xdr:colOff>
      <xdr:row>46</xdr:row>
      <xdr:rowOff>133351</xdr:rowOff>
    </xdr:from>
    <xdr:to>
      <xdr:col>6</xdr:col>
      <xdr:colOff>238125</xdr:colOff>
      <xdr:row>58</xdr:row>
      <xdr:rowOff>147637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790575</xdr:colOff>
      <xdr:row>58</xdr:row>
      <xdr:rowOff>76200</xdr:rowOff>
    </xdr:from>
    <xdr:to>
      <xdr:col>7</xdr:col>
      <xdr:colOff>495300</xdr:colOff>
      <xdr:row>69</xdr:row>
      <xdr:rowOff>80961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409574</xdr:colOff>
      <xdr:row>48</xdr:row>
      <xdr:rowOff>0</xdr:rowOff>
    </xdr:from>
    <xdr:to>
      <xdr:col>15</xdr:col>
      <xdr:colOff>276225</xdr:colOff>
      <xdr:row>59</xdr:row>
      <xdr:rowOff>114300</xdr:rowOff>
    </xdr:to>
    <mc:AlternateContent xmlns:mc="http://schemas.openxmlformats.org/markup-compatibility/2006">
      <mc:Choice xmlns:cx="http://schemas.microsoft.com/office/drawing/2014/chartex" Requires="cx">
        <xdr:graphicFrame macro="">
          <xdr:nvGraphicFramePr>
            <xdr:cNvPr id="9" name="Chart 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166134</xdr:colOff>
      <xdr:row>1</xdr:row>
      <xdr:rowOff>107735</xdr:rowOff>
    </xdr:from>
    <xdr:to>
      <xdr:col>23</xdr:col>
      <xdr:colOff>254402</xdr:colOff>
      <xdr:row>34</xdr:row>
      <xdr:rowOff>180565</xdr:rowOff>
    </xdr:to>
    <xdr:sp macro="" textlink="">
      <xdr:nvSpPr>
        <xdr:cNvPr id="3" name="Rounded Rectangle 2"/>
        <xdr:cNvSpPr/>
      </xdr:nvSpPr>
      <xdr:spPr>
        <a:xfrm>
          <a:off x="1384448" y="296020"/>
          <a:ext cx="12880564" cy="6286231"/>
        </a:xfrm>
        <a:prstGeom prst="roundRect">
          <a:avLst>
            <a:gd name="adj" fmla="val 1724"/>
          </a:avLst>
        </a:prstGeom>
        <a:solidFill>
          <a:schemeClr val="accent4">
            <a:lumMod val="20000"/>
            <a:lumOff val="80000"/>
          </a:schemeClr>
        </a:solidFill>
        <a:ln w="3810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564856</xdr:colOff>
      <xdr:row>12</xdr:row>
      <xdr:rowOff>28865</xdr:rowOff>
    </xdr:from>
    <xdr:to>
      <xdr:col>11</xdr:col>
      <xdr:colOff>490424</xdr:colOff>
      <xdr:row>34</xdr:row>
      <xdr:rowOff>161926</xdr:rowOff>
    </xdr:to>
    <xdr:sp macro="" textlink="">
      <xdr:nvSpPr>
        <xdr:cNvPr id="4" name="Rectangle 3"/>
        <xdr:cNvSpPr/>
      </xdr:nvSpPr>
      <xdr:spPr>
        <a:xfrm>
          <a:off x="3610641" y="2288284"/>
          <a:ext cx="3580510" cy="4275328"/>
        </a:xfrm>
        <a:prstGeom prst="rect">
          <a:avLst/>
        </a:prstGeom>
        <a:solidFill>
          <a:schemeClr val="accent4">
            <a:lumMod val="20000"/>
            <a:lumOff val="80000"/>
          </a:schemeClr>
        </a:solidFill>
        <a:ln w="28575">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xdr:from>
      <xdr:col>11</xdr:col>
      <xdr:colOff>609156</xdr:colOff>
      <xdr:row>12</xdr:row>
      <xdr:rowOff>44302</xdr:rowOff>
    </xdr:from>
    <xdr:to>
      <xdr:col>17</xdr:col>
      <xdr:colOff>317427</xdr:colOff>
      <xdr:row>34</xdr:row>
      <xdr:rowOff>166134</xdr:rowOff>
    </xdr:to>
    <xdr:sp macro="" textlink="">
      <xdr:nvSpPr>
        <xdr:cNvPr id="5" name="Rectangle 4"/>
        <xdr:cNvSpPr/>
      </xdr:nvSpPr>
      <xdr:spPr>
        <a:xfrm>
          <a:off x="7309883" y="2303721"/>
          <a:ext cx="3363213" cy="4264099"/>
        </a:xfrm>
        <a:prstGeom prst="rect">
          <a:avLst/>
        </a:prstGeom>
        <a:solidFill>
          <a:schemeClr val="accent4">
            <a:lumMod val="20000"/>
            <a:lumOff val="80000"/>
          </a:schemeClr>
        </a:solidFill>
        <a:ln w="3810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443023</xdr:colOff>
      <xdr:row>12</xdr:row>
      <xdr:rowOff>33228</xdr:rowOff>
    </xdr:from>
    <xdr:to>
      <xdr:col>23</xdr:col>
      <xdr:colOff>265814</xdr:colOff>
      <xdr:row>34</xdr:row>
      <xdr:rowOff>143983</xdr:rowOff>
    </xdr:to>
    <xdr:sp macro="" textlink="">
      <xdr:nvSpPr>
        <xdr:cNvPr id="6" name="Rectangle 5"/>
        <xdr:cNvSpPr/>
      </xdr:nvSpPr>
      <xdr:spPr>
        <a:xfrm>
          <a:off x="10798692" y="2292647"/>
          <a:ext cx="3477732" cy="4253022"/>
        </a:xfrm>
        <a:prstGeom prst="rect">
          <a:avLst/>
        </a:prstGeom>
        <a:solidFill>
          <a:schemeClr val="accent4">
            <a:lumMod val="20000"/>
            <a:lumOff val="80000"/>
          </a:schemeClr>
        </a:solidFill>
        <a:ln w="3810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575932</xdr:colOff>
      <xdr:row>5</xdr:row>
      <xdr:rowOff>33227</xdr:rowOff>
    </xdr:from>
    <xdr:to>
      <xdr:col>23</xdr:col>
      <xdr:colOff>221512</xdr:colOff>
      <xdr:row>9</xdr:row>
      <xdr:rowOff>99680</xdr:rowOff>
    </xdr:to>
    <xdr:sp macro="" textlink="">
      <xdr:nvSpPr>
        <xdr:cNvPr id="7" name="Rounded Rectangle 6"/>
        <xdr:cNvSpPr/>
      </xdr:nvSpPr>
      <xdr:spPr>
        <a:xfrm>
          <a:off x="3621717" y="974651"/>
          <a:ext cx="10610405" cy="819593"/>
        </a:xfrm>
        <a:prstGeom prst="roundRect">
          <a:avLst>
            <a:gd name="adj" fmla="val 23039"/>
          </a:avLst>
        </a:prstGeom>
        <a:solidFill>
          <a:schemeClr val="accent4">
            <a:lumMod val="20000"/>
            <a:lumOff val="80000"/>
          </a:schemeClr>
        </a:solidFill>
        <a:ln w="38100">
          <a:solidFill>
            <a:schemeClr val="accent4"/>
          </a:solidFill>
        </a:ln>
        <a:effectLst>
          <a:innerShdw blurRad="63500" dist="50800" dir="5400000">
            <a:schemeClr val="accent2">
              <a:alpha val="50000"/>
            </a:scheme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solidFill>
              <a:schemeClr val="bg1"/>
            </a:solidFill>
          </a:endParaRPr>
        </a:p>
      </xdr:txBody>
    </xdr:sp>
    <xdr:clientData/>
  </xdr:twoCellAnchor>
  <xdr:twoCellAnchor>
    <xdr:from>
      <xdr:col>7</xdr:col>
      <xdr:colOff>121832</xdr:colOff>
      <xdr:row>1</xdr:row>
      <xdr:rowOff>132907</xdr:rowOff>
    </xdr:from>
    <xdr:to>
      <xdr:col>22</xdr:col>
      <xdr:colOff>11077</xdr:colOff>
      <xdr:row>3</xdr:row>
      <xdr:rowOff>149049</xdr:rowOff>
    </xdr:to>
    <xdr:sp macro="" textlink="">
      <xdr:nvSpPr>
        <xdr:cNvPr id="9" name="TextBox 8"/>
        <xdr:cNvSpPr txBox="1"/>
      </xdr:nvSpPr>
      <xdr:spPr>
        <a:xfrm>
          <a:off x="4385931" y="321192"/>
          <a:ext cx="9026599" cy="392712"/>
        </a:xfrm>
        <a:prstGeom prst="rect">
          <a:avLst/>
        </a:prstGeom>
        <a:solidFill>
          <a:schemeClr val="accent4">
            <a:lumMod val="50000"/>
          </a:schemeClr>
        </a:solidFill>
        <a:ln w="9525" cmpd="sng">
          <a:noFill/>
        </a:ln>
        <a:effectLst>
          <a:outerShdw blurRad="63500" sx="102000" sy="102000" algn="ctr" rotWithShape="0">
            <a:schemeClr val="accent4">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4"/>
              </a:solidFill>
            </a:rPr>
            <a:t>GETSHOPTODAY</a:t>
          </a:r>
          <a:r>
            <a:rPr lang="en-US" sz="2400" b="1" baseline="0">
              <a:solidFill>
                <a:schemeClr val="accent4"/>
              </a:solidFill>
            </a:rPr>
            <a:t> </a:t>
          </a:r>
          <a:r>
            <a:rPr lang="en-US" sz="2400" b="1">
              <a:solidFill>
                <a:schemeClr val="accent4"/>
              </a:solidFill>
            </a:rPr>
            <a:t>E-COMMERCE</a:t>
          </a:r>
          <a:r>
            <a:rPr lang="en-US" sz="2400" b="1" baseline="0">
              <a:solidFill>
                <a:schemeClr val="accent4"/>
              </a:solidFill>
            </a:rPr>
            <a:t> MARKETING CAMPAIGN DASHBOARD</a:t>
          </a:r>
          <a:endParaRPr lang="en-US" sz="2400" b="1">
            <a:solidFill>
              <a:schemeClr val="accent4"/>
            </a:solidFill>
          </a:endParaRPr>
        </a:p>
      </xdr:txBody>
    </xdr:sp>
    <xdr:clientData/>
  </xdr:twoCellAnchor>
  <xdr:twoCellAnchor>
    <xdr:from>
      <xdr:col>7</xdr:col>
      <xdr:colOff>348784</xdr:colOff>
      <xdr:row>7</xdr:row>
      <xdr:rowOff>18396</xdr:rowOff>
    </xdr:from>
    <xdr:to>
      <xdr:col>9</xdr:col>
      <xdr:colOff>33228</xdr:colOff>
      <xdr:row>9</xdr:row>
      <xdr:rowOff>55377</xdr:rowOff>
    </xdr:to>
    <xdr:sp macro="" textlink="'Pivot Tables'!B2">
      <xdr:nvSpPr>
        <xdr:cNvPr id="16" name="Rounded Rectangle 15"/>
        <xdr:cNvSpPr/>
      </xdr:nvSpPr>
      <xdr:spPr>
        <a:xfrm>
          <a:off x="4612883" y="1336390"/>
          <a:ext cx="902758" cy="413551"/>
        </a:xfrm>
        <a:prstGeom prst="round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9B5ACB9-31C5-4B0C-9574-BB2F6F089401}" type="TxLink">
            <a:rPr lang="en-US" sz="1800" b="1" i="0" u="none" strike="noStrike">
              <a:solidFill>
                <a:schemeClr val="accent2">
                  <a:lumMod val="50000"/>
                </a:schemeClr>
              </a:solidFill>
              <a:latin typeface="Calibri"/>
              <a:cs typeface="Calibri"/>
            </a:rPr>
            <a:pPr algn="l"/>
            <a:t>$84K</a:t>
          </a:fld>
          <a:endParaRPr lang="en-US" sz="1800" b="1">
            <a:solidFill>
              <a:schemeClr val="accent2">
                <a:lumMod val="50000"/>
              </a:schemeClr>
            </a:solidFill>
          </a:endParaRPr>
        </a:p>
      </xdr:txBody>
    </xdr:sp>
    <xdr:clientData/>
  </xdr:twoCellAnchor>
  <xdr:twoCellAnchor>
    <xdr:from>
      <xdr:col>15</xdr:col>
      <xdr:colOff>179436</xdr:colOff>
      <xdr:row>6</xdr:row>
      <xdr:rowOff>159185</xdr:rowOff>
    </xdr:from>
    <xdr:to>
      <xdr:col>16</xdr:col>
      <xdr:colOff>443021</xdr:colOff>
      <xdr:row>8</xdr:row>
      <xdr:rowOff>132904</xdr:rowOff>
    </xdr:to>
    <xdr:sp macro="" textlink="'Pivot Tables'!F2">
      <xdr:nvSpPr>
        <xdr:cNvPr id="17" name="Rounded Rectangle 16"/>
        <xdr:cNvSpPr/>
      </xdr:nvSpPr>
      <xdr:spPr>
        <a:xfrm>
          <a:off x="9316791" y="1288894"/>
          <a:ext cx="872742" cy="350289"/>
        </a:xfrm>
        <a:prstGeom prst="roundRect">
          <a:avLst>
            <a:gd name="adj" fmla="val 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F0B9678-01F0-490E-8D98-4DDB1256CD96}" type="TxLink">
            <a:rPr lang="en-US" sz="1800" b="1" i="0" u="none" strike="noStrike">
              <a:solidFill>
                <a:schemeClr val="accent2">
                  <a:lumMod val="50000"/>
                </a:schemeClr>
              </a:solidFill>
              <a:latin typeface="Calibri"/>
              <a:cs typeface="Calibri"/>
            </a:rPr>
            <a:pPr algn="l"/>
            <a:t>$23K</a:t>
          </a:fld>
          <a:endParaRPr lang="en-US" sz="3200" b="1">
            <a:solidFill>
              <a:schemeClr val="accent2">
                <a:lumMod val="50000"/>
              </a:schemeClr>
            </a:solidFill>
          </a:endParaRPr>
        </a:p>
      </xdr:txBody>
    </xdr:sp>
    <xdr:clientData/>
  </xdr:twoCellAnchor>
  <xdr:twoCellAnchor>
    <xdr:from>
      <xdr:col>21</xdr:col>
      <xdr:colOff>143987</xdr:colOff>
      <xdr:row>6</xdr:row>
      <xdr:rowOff>121832</xdr:rowOff>
    </xdr:from>
    <xdr:to>
      <xdr:col>22</xdr:col>
      <xdr:colOff>365495</xdr:colOff>
      <xdr:row>8</xdr:row>
      <xdr:rowOff>99681</xdr:rowOff>
    </xdr:to>
    <xdr:sp macro="" textlink="'Pivot Tables'!G2">
      <xdr:nvSpPr>
        <xdr:cNvPr id="18" name="Rounded Rectangle 17"/>
        <xdr:cNvSpPr/>
      </xdr:nvSpPr>
      <xdr:spPr>
        <a:xfrm>
          <a:off x="12936284" y="1251541"/>
          <a:ext cx="830664" cy="354419"/>
        </a:xfrm>
        <a:prstGeom prst="round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1EAAC62-09C7-4FD5-B3B1-F9A6DED76F26}" type="TxLink">
            <a:rPr lang="en-US" sz="1800" b="1" i="0" u="none" strike="noStrike">
              <a:solidFill>
                <a:schemeClr val="accent2">
                  <a:lumMod val="50000"/>
                </a:schemeClr>
              </a:solidFill>
              <a:latin typeface="Calibri"/>
              <a:cs typeface="Calibri"/>
            </a:rPr>
            <a:pPr algn="l"/>
            <a:t>$59K</a:t>
          </a:fld>
          <a:endParaRPr lang="en-US" sz="1800" b="1">
            <a:solidFill>
              <a:schemeClr val="accent2">
                <a:lumMod val="50000"/>
              </a:schemeClr>
            </a:solidFill>
          </a:endParaRPr>
        </a:p>
      </xdr:txBody>
    </xdr:sp>
    <xdr:clientData/>
  </xdr:twoCellAnchor>
  <xdr:twoCellAnchor>
    <xdr:from>
      <xdr:col>18</xdr:col>
      <xdr:colOff>307271</xdr:colOff>
      <xdr:row>6</xdr:row>
      <xdr:rowOff>110758</xdr:rowOff>
    </xdr:from>
    <xdr:to>
      <xdr:col>19</xdr:col>
      <xdr:colOff>420871</xdr:colOff>
      <xdr:row>8</xdr:row>
      <xdr:rowOff>77530</xdr:rowOff>
    </xdr:to>
    <xdr:sp macro="" textlink="'Pivot Tables'!D2">
      <xdr:nvSpPr>
        <xdr:cNvPr id="19" name="Rounded Rectangle 18"/>
        <xdr:cNvSpPr/>
      </xdr:nvSpPr>
      <xdr:spPr>
        <a:xfrm>
          <a:off x="11272097" y="1240467"/>
          <a:ext cx="722757" cy="343342"/>
        </a:xfrm>
        <a:prstGeom prst="round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F0D41FC-15C2-4AC1-8245-A407F26CEA97}" type="TxLink">
            <a:rPr lang="en-US" sz="1800" b="1" i="0" u="none" strike="noStrike">
              <a:solidFill>
                <a:schemeClr val="accent2">
                  <a:lumMod val="50000"/>
                </a:schemeClr>
              </a:solidFill>
              <a:latin typeface="Calibri"/>
              <a:cs typeface="Calibri"/>
            </a:rPr>
            <a:pPr algn="l"/>
            <a:t>276</a:t>
          </a:fld>
          <a:endParaRPr lang="en-US" sz="1800" b="1">
            <a:solidFill>
              <a:schemeClr val="accent2">
                <a:lumMod val="50000"/>
              </a:schemeClr>
            </a:solidFill>
          </a:endParaRPr>
        </a:p>
      </xdr:txBody>
    </xdr:sp>
    <xdr:clientData/>
  </xdr:twoCellAnchor>
  <xdr:twoCellAnchor>
    <xdr:from>
      <xdr:col>9</xdr:col>
      <xdr:colOff>502283</xdr:colOff>
      <xdr:row>7</xdr:row>
      <xdr:rowOff>24343</xdr:rowOff>
    </xdr:from>
    <xdr:to>
      <xdr:col>11</xdr:col>
      <xdr:colOff>188284</xdr:colOff>
      <xdr:row>8</xdr:row>
      <xdr:rowOff>132906</xdr:rowOff>
    </xdr:to>
    <xdr:sp macro="" textlink="'Pivot Tables'!E2">
      <xdr:nvSpPr>
        <xdr:cNvPr id="20" name="Rounded Rectangle 19"/>
        <xdr:cNvSpPr/>
      </xdr:nvSpPr>
      <xdr:spPr>
        <a:xfrm>
          <a:off x="5984696" y="1342337"/>
          <a:ext cx="904315" cy="296848"/>
        </a:xfrm>
        <a:prstGeom prst="round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9FBF601-8037-4D81-BDAB-603DC2DA2AAE}" type="TxLink">
            <a:rPr lang="en-US" sz="1800" b="1" i="0" u="none" strike="noStrike">
              <a:solidFill>
                <a:schemeClr val="accent2">
                  <a:lumMod val="50000"/>
                </a:schemeClr>
              </a:solidFill>
              <a:latin typeface="Calibri"/>
              <a:ea typeface="+mn-ea"/>
              <a:cs typeface="Calibri"/>
            </a:rPr>
            <a:pPr marL="0" indent="0" algn="l"/>
            <a:t>$49.54</a:t>
          </a:fld>
          <a:endParaRPr lang="en-US" sz="1800" b="1" i="0" u="none" strike="noStrike">
            <a:solidFill>
              <a:schemeClr val="accent2">
                <a:lumMod val="50000"/>
              </a:schemeClr>
            </a:solidFill>
            <a:latin typeface="Calibri"/>
            <a:ea typeface="+mn-ea"/>
            <a:cs typeface="Calibri"/>
          </a:endParaRPr>
        </a:p>
      </xdr:txBody>
    </xdr:sp>
    <xdr:clientData/>
  </xdr:twoCellAnchor>
  <xdr:twoCellAnchor>
    <xdr:from>
      <xdr:col>12</xdr:col>
      <xdr:colOff>471549</xdr:colOff>
      <xdr:row>7</xdr:row>
      <xdr:rowOff>11075</xdr:rowOff>
    </xdr:from>
    <xdr:to>
      <xdr:col>14</xdr:col>
      <xdr:colOff>221530</xdr:colOff>
      <xdr:row>8</xdr:row>
      <xdr:rowOff>143982</xdr:rowOff>
    </xdr:to>
    <xdr:sp macro="" textlink="'Pivot Tables'!C2">
      <xdr:nvSpPr>
        <xdr:cNvPr id="21" name="Rounded Rectangle 20"/>
        <xdr:cNvSpPr/>
      </xdr:nvSpPr>
      <xdr:spPr>
        <a:xfrm>
          <a:off x="7781433" y="1329069"/>
          <a:ext cx="968295" cy="321192"/>
        </a:xfrm>
        <a:prstGeom prst="round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14D9E33-77E1-42C7-9AA1-5672FD81FDE8}" type="TxLink">
            <a:rPr lang="en-US" sz="1800" b="1" i="0" u="none" strike="noStrike">
              <a:solidFill>
                <a:schemeClr val="accent2">
                  <a:lumMod val="50000"/>
                </a:schemeClr>
              </a:solidFill>
              <a:latin typeface="Calibri"/>
              <a:cs typeface="Calibri"/>
            </a:rPr>
            <a:pPr algn="l"/>
            <a:t>4,832K</a:t>
          </a:fld>
          <a:endParaRPr lang="en-US" sz="1800" b="1">
            <a:solidFill>
              <a:schemeClr val="accent2">
                <a:lumMod val="50000"/>
              </a:schemeClr>
            </a:solidFill>
          </a:endParaRPr>
        </a:p>
      </xdr:txBody>
    </xdr:sp>
    <xdr:clientData/>
  </xdr:twoCellAnchor>
  <xdr:twoCellAnchor>
    <xdr:from>
      <xdr:col>6</xdr:col>
      <xdr:colOff>145297</xdr:colOff>
      <xdr:row>12</xdr:row>
      <xdr:rowOff>48431</xdr:rowOff>
    </xdr:from>
    <xdr:to>
      <xdr:col>11</xdr:col>
      <xdr:colOff>435890</xdr:colOff>
      <xdr:row>23</xdr:row>
      <xdr:rowOff>-1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546960</xdr:colOff>
      <xdr:row>10</xdr:row>
      <xdr:rowOff>94929</xdr:rowOff>
    </xdr:from>
    <xdr:to>
      <xdr:col>10</xdr:col>
      <xdr:colOff>155058</xdr:colOff>
      <xdr:row>11</xdr:row>
      <xdr:rowOff>155058</xdr:rowOff>
    </xdr:to>
    <xdr:sp macro="" textlink="">
      <xdr:nvSpPr>
        <xdr:cNvPr id="26" name="TextBox 25"/>
        <xdr:cNvSpPr txBox="1"/>
      </xdr:nvSpPr>
      <xdr:spPr>
        <a:xfrm>
          <a:off x="4811059" y="1977778"/>
          <a:ext cx="1435569" cy="248414"/>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4"/>
              </a:solidFill>
              <a:latin typeface="Calibri"/>
              <a:cs typeface="Calibri"/>
            </a:rPr>
            <a:t>SPEND</a:t>
          </a:r>
          <a:r>
            <a:rPr lang="en-US" sz="1400" b="1" i="0" u="none" strike="noStrike" baseline="0">
              <a:solidFill>
                <a:schemeClr val="accent4"/>
              </a:solidFill>
              <a:latin typeface="Calibri"/>
              <a:cs typeface="Calibri"/>
            </a:rPr>
            <a:t> ANALYIS</a:t>
          </a:r>
          <a:endParaRPr lang="en-US" sz="1400" b="1" i="0" u="none" strike="noStrike">
            <a:solidFill>
              <a:schemeClr val="accent4"/>
            </a:solidFill>
            <a:latin typeface="Calibri"/>
            <a:cs typeface="Calibri"/>
          </a:endParaRPr>
        </a:p>
      </xdr:txBody>
    </xdr:sp>
    <xdr:clientData/>
  </xdr:twoCellAnchor>
  <xdr:twoCellAnchor>
    <xdr:from>
      <xdr:col>13</xdr:col>
      <xdr:colOff>247328</xdr:colOff>
      <xdr:row>10</xdr:row>
      <xdr:rowOff>102032</xdr:rowOff>
    </xdr:from>
    <xdr:to>
      <xdr:col>16</xdr:col>
      <xdr:colOff>23248</xdr:colOff>
      <xdr:row>11</xdr:row>
      <xdr:rowOff>136256</xdr:rowOff>
    </xdr:to>
    <xdr:sp macro="" textlink="">
      <xdr:nvSpPr>
        <xdr:cNvPr id="27" name="TextBox 26"/>
        <xdr:cNvSpPr txBox="1"/>
      </xdr:nvSpPr>
      <xdr:spPr>
        <a:xfrm>
          <a:off x="8222497" y="2039320"/>
          <a:ext cx="1616344" cy="2279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4"/>
              </a:solidFill>
              <a:latin typeface="Calibri"/>
              <a:cs typeface="Calibri"/>
            </a:rPr>
            <a:t>TRAFFIC ANALYSIS</a:t>
          </a:r>
        </a:p>
      </xdr:txBody>
    </xdr:sp>
    <xdr:clientData/>
  </xdr:twoCellAnchor>
  <xdr:twoCellAnchor>
    <xdr:from>
      <xdr:col>18</xdr:col>
      <xdr:colOff>464303</xdr:colOff>
      <xdr:row>10</xdr:row>
      <xdr:rowOff>92992</xdr:rowOff>
    </xdr:from>
    <xdr:to>
      <xdr:col>21</xdr:col>
      <xdr:colOff>587005</xdr:colOff>
      <xdr:row>11</xdr:row>
      <xdr:rowOff>155058</xdr:rowOff>
    </xdr:to>
    <xdr:sp macro="" textlink="">
      <xdr:nvSpPr>
        <xdr:cNvPr id="28" name="TextBox 27"/>
        <xdr:cNvSpPr txBox="1"/>
      </xdr:nvSpPr>
      <xdr:spPr>
        <a:xfrm>
          <a:off x="11429129" y="1975841"/>
          <a:ext cx="1950173" cy="250351"/>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4"/>
              </a:solidFill>
              <a:latin typeface="Calibri"/>
              <a:cs typeface="Calibri"/>
            </a:rPr>
            <a:t>CONVERSION</a:t>
          </a:r>
          <a:r>
            <a:rPr lang="en-US" sz="1400" b="1" i="0" u="none" strike="noStrike" baseline="0">
              <a:solidFill>
                <a:schemeClr val="accent4"/>
              </a:solidFill>
              <a:latin typeface="Calibri"/>
              <a:cs typeface="Calibri"/>
            </a:rPr>
            <a:t> ANALYSIS</a:t>
          </a:r>
          <a:endParaRPr lang="en-US" sz="1400" b="1" i="0" u="none" strike="noStrike">
            <a:solidFill>
              <a:schemeClr val="accent4"/>
            </a:solidFill>
            <a:latin typeface="Calibri"/>
            <a:cs typeface="Calibri"/>
          </a:endParaRPr>
        </a:p>
      </xdr:txBody>
    </xdr:sp>
    <xdr:clientData/>
  </xdr:twoCellAnchor>
  <xdr:twoCellAnchor>
    <xdr:from>
      <xdr:col>17</xdr:col>
      <xdr:colOff>476250</xdr:colOff>
      <xdr:row>12</xdr:row>
      <xdr:rowOff>55378</xdr:rowOff>
    </xdr:from>
    <xdr:to>
      <xdr:col>23</xdr:col>
      <xdr:colOff>226017</xdr:colOff>
      <xdr:row>23</xdr:row>
      <xdr:rowOff>169269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476250</xdr:colOff>
      <xdr:row>24</xdr:row>
      <xdr:rowOff>113008</xdr:rowOff>
    </xdr:from>
    <xdr:to>
      <xdr:col>23</xdr:col>
      <xdr:colOff>96865</xdr:colOff>
      <xdr:row>34</xdr:row>
      <xdr:rowOff>129152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67770</xdr:colOff>
      <xdr:row>23</xdr:row>
      <xdr:rowOff>144359</xdr:rowOff>
    </xdr:from>
    <xdr:to>
      <xdr:col>11</xdr:col>
      <xdr:colOff>110757</xdr:colOff>
      <xdr:row>34</xdr:row>
      <xdr:rowOff>63638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23</xdr:row>
      <xdr:rowOff>177584</xdr:rowOff>
    </xdr:from>
    <xdr:to>
      <xdr:col>17</xdr:col>
      <xdr:colOff>226018</xdr:colOff>
      <xdr:row>34</xdr:row>
      <xdr:rowOff>80720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178070</xdr:colOff>
      <xdr:row>8</xdr:row>
      <xdr:rowOff>65508</xdr:rowOff>
    </xdr:from>
    <xdr:to>
      <xdr:col>5</xdr:col>
      <xdr:colOff>548898</xdr:colOff>
      <xdr:row>19</xdr:row>
      <xdr:rowOff>88604</xdr:rowOff>
    </xdr:to>
    <mc:AlternateContent xmlns:mc="http://schemas.openxmlformats.org/markup-compatibility/2006" xmlns:a14="http://schemas.microsoft.com/office/drawing/2010/main">
      <mc:Choice Requires="a14">
        <xdr:graphicFrame macro="">
          <xdr:nvGraphicFramePr>
            <xdr:cNvPr id="11"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396384" y="1571787"/>
              <a:ext cx="2198299" cy="2094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177585</xdr:colOff>
      <xdr:row>19</xdr:row>
      <xdr:rowOff>99680</xdr:rowOff>
    </xdr:from>
    <xdr:to>
      <xdr:col>5</xdr:col>
      <xdr:colOff>532754</xdr:colOff>
      <xdr:row>27</xdr:row>
      <xdr:rowOff>183595</xdr:rowOff>
    </xdr:to>
    <mc:AlternateContent xmlns:mc="http://schemas.openxmlformats.org/markup-compatibility/2006" xmlns:a14="http://schemas.microsoft.com/office/drawing/2010/main">
      <mc:Choice Requires="a14">
        <xdr:graphicFrame macro="">
          <xdr:nvGraphicFramePr>
            <xdr:cNvPr id="12" name="CustomerLocation"/>
            <xdr:cNvGraphicFramePr/>
          </xdr:nvGraphicFramePr>
          <xdr:xfrm>
            <a:off x="0" y="0"/>
            <a:ext cx="0" cy="0"/>
          </xdr:xfrm>
          <a:graphic>
            <a:graphicData uri="http://schemas.microsoft.com/office/drawing/2010/slicer">
              <sle:slicer xmlns:sle="http://schemas.microsoft.com/office/drawing/2010/slicer" name="CustomerLocation"/>
            </a:graphicData>
          </a:graphic>
        </xdr:graphicFrame>
      </mc:Choice>
      <mc:Fallback xmlns="">
        <xdr:sp macro="" textlink="">
          <xdr:nvSpPr>
            <xdr:cNvPr id="0" name=""/>
            <xdr:cNvSpPr>
              <a:spLocks noTextEdit="1"/>
            </xdr:cNvSpPr>
          </xdr:nvSpPr>
          <xdr:spPr>
            <a:xfrm>
              <a:off x="1395899" y="3677093"/>
              <a:ext cx="2182640" cy="1590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177586</xdr:colOff>
      <xdr:row>28</xdr:row>
      <xdr:rowOff>0</xdr:rowOff>
    </xdr:from>
    <xdr:to>
      <xdr:col>5</xdr:col>
      <xdr:colOff>532754</xdr:colOff>
      <xdr:row>34</xdr:row>
      <xdr:rowOff>132907</xdr:rowOff>
    </xdr:to>
    <mc:AlternateContent xmlns:mc="http://schemas.openxmlformats.org/markup-compatibility/2006">
      <mc:Choice xmlns:a14="http://schemas.microsoft.com/office/drawing/2010/main" Requires="a14">
        <xdr:graphicFrame macro="">
          <xdr:nvGraphicFramePr>
            <xdr:cNvPr id="15" name="ReferralSource"/>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1395900" y="5271977"/>
              <a:ext cx="2182639" cy="126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532754</xdr:colOff>
      <xdr:row>23</xdr:row>
      <xdr:rowOff>110756</xdr:rowOff>
    </xdr:from>
    <xdr:to>
      <xdr:col>23</xdr:col>
      <xdr:colOff>310116</xdr:colOff>
      <xdr:row>23</xdr:row>
      <xdr:rowOff>141638</xdr:rowOff>
    </xdr:to>
    <xdr:cxnSp macro="">
      <xdr:nvCxnSpPr>
        <xdr:cNvPr id="23" name="Straight Connector 22"/>
        <xdr:cNvCxnSpPr>
          <a:stCxn id="12" idx="3"/>
        </xdr:cNvCxnSpPr>
      </xdr:nvCxnSpPr>
      <xdr:spPr>
        <a:xfrm flipV="1">
          <a:off x="3578539" y="4441308"/>
          <a:ext cx="10742187" cy="30882"/>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44302</xdr:colOff>
      <xdr:row>12</xdr:row>
      <xdr:rowOff>55377</xdr:rowOff>
    </xdr:from>
    <xdr:to>
      <xdr:col>17</xdr:col>
      <xdr:colOff>231085</xdr:colOff>
      <xdr:row>23</xdr:row>
      <xdr:rowOff>9197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509478</xdr:colOff>
      <xdr:row>4</xdr:row>
      <xdr:rowOff>155058</xdr:rowOff>
    </xdr:from>
    <xdr:to>
      <xdr:col>9</xdr:col>
      <xdr:colOff>143983</xdr:colOff>
      <xdr:row>6</xdr:row>
      <xdr:rowOff>77528</xdr:rowOff>
    </xdr:to>
    <xdr:sp macro="" textlink="">
      <xdr:nvSpPr>
        <xdr:cNvPr id="35" name="TextBox 34"/>
        <xdr:cNvSpPr txBox="1"/>
      </xdr:nvSpPr>
      <xdr:spPr>
        <a:xfrm>
          <a:off x="4164420" y="908198"/>
          <a:ext cx="1461976" cy="299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a:t>
          </a:r>
          <a:r>
            <a:rPr lang="en-US" sz="1800" b="1">
              <a:solidFill>
                <a:schemeClr val="accent2">
                  <a:lumMod val="50000"/>
                </a:schemeClr>
              </a:solidFill>
            </a:rPr>
            <a:t>Spend</a:t>
          </a:r>
        </a:p>
      </xdr:txBody>
    </xdr:sp>
    <xdr:clientData/>
  </xdr:twoCellAnchor>
  <xdr:twoCellAnchor>
    <xdr:from>
      <xdr:col>11</xdr:col>
      <xdr:colOff>562212</xdr:colOff>
      <xdr:row>4</xdr:row>
      <xdr:rowOff>152395</xdr:rowOff>
    </xdr:from>
    <xdr:to>
      <xdr:col>14</xdr:col>
      <xdr:colOff>196717</xdr:colOff>
      <xdr:row>6</xdr:row>
      <xdr:rowOff>63791</xdr:rowOff>
    </xdr:to>
    <xdr:sp macro="" textlink="">
      <xdr:nvSpPr>
        <xdr:cNvPr id="36" name="TextBox 35"/>
        <xdr:cNvSpPr txBox="1"/>
      </xdr:nvSpPr>
      <xdr:spPr>
        <a:xfrm>
          <a:off x="7262939" y="905535"/>
          <a:ext cx="1461976"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a:t>
          </a:r>
          <a:r>
            <a:rPr lang="en-US" sz="1800" b="1">
              <a:solidFill>
                <a:schemeClr val="accent2">
                  <a:lumMod val="50000"/>
                </a:schemeClr>
              </a:solidFill>
            </a:rPr>
            <a:t>Clicks</a:t>
          </a:r>
        </a:p>
      </xdr:txBody>
    </xdr:sp>
    <xdr:clientData/>
  </xdr:twoCellAnchor>
  <xdr:twoCellAnchor>
    <xdr:from>
      <xdr:col>17</xdr:col>
      <xdr:colOff>27913</xdr:colOff>
      <xdr:row>4</xdr:row>
      <xdr:rowOff>171889</xdr:rowOff>
    </xdr:from>
    <xdr:to>
      <xdr:col>20</xdr:col>
      <xdr:colOff>1</xdr:colOff>
      <xdr:row>6</xdr:row>
      <xdr:rowOff>83285</xdr:rowOff>
    </xdr:to>
    <xdr:sp macro="" textlink="">
      <xdr:nvSpPr>
        <xdr:cNvPr id="37" name="TextBox 36"/>
        <xdr:cNvSpPr txBox="1"/>
      </xdr:nvSpPr>
      <xdr:spPr>
        <a:xfrm>
          <a:off x="10383582" y="925029"/>
          <a:ext cx="1799559"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Conversion</a:t>
          </a:r>
          <a:endParaRPr lang="en-US" sz="1800" b="1">
            <a:solidFill>
              <a:schemeClr val="accent2">
                <a:lumMod val="50000"/>
              </a:schemeClr>
            </a:solidFill>
          </a:endParaRPr>
        </a:p>
      </xdr:txBody>
    </xdr:sp>
    <xdr:clientData/>
  </xdr:twoCellAnchor>
  <xdr:twoCellAnchor>
    <xdr:from>
      <xdr:col>9</xdr:col>
      <xdr:colOff>99680</xdr:colOff>
      <xdr:row>4</xdr:row>
      <xdr:rowOff>158153</xdr:rowOff>
    </xdr:from>
    <xdr:to>
      <xdr:col>10</xdr:col>
      <xdr:colOff>609155</xdr:colOff>
      <xdr:row>6</xdr:row>
      <xdr:rowOff>69549</xdr:rowOff>
    </xdr:to>
    <xdr:sp macro="" textlink="">
      <xdr:nvSpPr>
        <xdr:cNvPr id="38" name="TextBox 37"/>
        <xdr:cNvSpPr txBox="1"/>
      </xdr:nvSpPr>
      <xdr:spPr>
        <a:xfrm>
          <a:off x="5582093" y="911293"/>
          <a:ext cx="1118632"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ROI</a:t>
          </a:r>
          <a:endParaRPr lang="en-US" sz="1800" b="1">
            <a:solidFill>
              <a:schemeClr val="accent2">
                <a:lumMod val="50000"/>
              </a:schemeClr>
            </a:solidFill>
          </a:endParaRPr>
        </a:p>
      </xdr:txBody>
    </xdr:sp>
    <xdr:clientData/>
  </xdr:twoCellAnchor>
  <xdr:twoCellAnchor>
    <xdr:from>
      <xdr:col>14</xdr:col>
      <xdr:colOff>365495</xdr:colOff>
      <xdr:row>4</xdr:row>
      <xdr:rowOff>177645</xdr:rowOff>
    </xdr:from>
    <xdr:to>
      <xdr:col>16</xdr:col>
      <xdr:colOff>376571</xdr:colOff>
      <xdr:row>6</xdr:row>
      <xdr:rowOff>89041</xdr:rowOff>
    </xdr:to>
    <xdr:sp macro="" textlink="">
      <xdr:nvSpPr>
        <xdr:cNvPr id="39" name="TextBox 38"/>
        <xdr:cNvSpPr txBox="1"/>
      </xdr:nvSpPr>
      <xdr:spPr>
        <a:xfrm>
          <a:off x="8893693" y="930785"/>
          <a:ext cx="1229390"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CPA</a:t>
          </a:r>
          <a:endParaRPr lang="en-US" sz="1800" b="1">
            <a:solidFill>
              <a:schemeClr val="accent2">
                <a:lumMod val="50000"/>
              </a:schemeClr>
            </a:solidFill>
          </a:endParaRPr>
        </a:p>
      </xdr:txBody>
    </xdr:sp>
    <xdr:clientData/>
  </xdr:twoCellAnchor>
  <xdr:twoCellAnchor>
    <xdr:from>
      <xdr:col>20</xdr:col>
      <xdr:colOff>110756</xdr:colOff>
      <xdr:row>4</xdr:row>
      <xdr:rowOff>163917</xdr:rowOff>
    </xdr:from>
    <xdr:to>
      <xdr:col>22</xdr:col>
      <xdr:colOff>564855</xdr:colOff>
      <xdr:row>6</xdr:row>
      <xdr:rowOff>75313</xdr:rowOff>
    </xdr:to>
    <xdr:sp macro="" textlink="">
      <xdr:nvSpPr>
        <xdr:cNvPr id="40" name="TextBox 39"/>
        <xdr:cNvSpPr txBox="1"/>
      </xdr:nvSpPr>
      <xdr:spPr>
        <a:xfrm>
          <a:off x="12293896" y="917057"/>
          <a:ext cx="1672412" cy="28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a:t>
          </a:r>
          <a:r>
            <a:rPr lang="en-US" sz="1800" b="1" baseline="0">
              <a:solidFill>
                <a:schemeClr val="accent2">
                  <a:lumMod val="50000"/>
                </a:schemeClr>
              </a:solidFill>
            </a:rPr>
            <a:t> </a:t>
          </a:r>
          <a:r>
            <a:rPr lang="en-US" sz="1800" b="1">
              <a:solidFill>
                <a:schemeClr val="accent2">
                  <a:lumMod val="50000"/>
                </a:schemeClr>
              </a:solidFill>
            </a:rPr>
            <a:t>Revenue</a:t>
          </a:r>
        </a:p>
      </xdr:txBody>
    </xdr:sp>
    <xdr:clientData/>
  </xdr:twoCellAnchor>
  <xdr:twoCellAnchor>
    <xdr:from>
      <xdr:col>17</xdr:col>
      <xdr:colOff>307458</xdr:colOff>
      <xdr:row>23</xdr:row>
      <xdr:rowOff>74873</xdr:rowOff>
    </xdr:from>
    <xdr:to>
      <xdr:col>17</xdr:col>
      <xdr:colOff>473592</xdr:colOff>
      <xdr:row>24</xdr:row>
      <xdr:rowOff>8419</xdr:rowOff>
    </xdr:to>
    <xdr:sp macro="" textlink="">
      <xdr:nvSpPr>
        <xdr:cNvPr id="41" name="Oval 40"/>
        <xdr:cNvSpPr/>
      </xdr:nvSpPr>
      <xdr:spPr>
        <a:xfrm>
          <a:off x="10663127" y="4405425"/>
          <a:ext cx="166134" cy="121831"/>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490426</xdr:colOff>
      <xdr:row>23</xdr:row>
      <xdr:rowOff>80634</xdr:rowOff>
    </xdr:from>
    <xdr:to>
      <xdr:col>12</xdr:col>
      <xdr:colOff>47403</xdr:colOff>
      <xdr:row>24</xdr:row>
      <xdr:rowOff>14180</xdr:rowOff>
    </xdr:to>
    <xdr:sp macro="" textlink="">
      <xdr:nvSpPr>
        <xdr:cNvPr id="43" name="Oval 42"/>
        <xdr:cNvSpPr/>
      </xdr:nvSpPr>
      <xdr:spPr>
        <a:xfrm>
          <a:off x="7191153" y="4411186"/>
          <a:ext cx="166134" cy="121831"/>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287965</xdr:colOff>
      <xdr:row>6</xdr:row>
      <xdr:rowOff>127588</xdr:rowOff>
    </xdr:from>
    <xdr:to>
      <xdr:col>21</xdr:col>
      <xdr:colOff>66453</xdr:colOff>
      <xdr:row>8</xdr:row>
      <xdr:rowOff>110756</xdr:rowOff>
    </xdr:to>
    <xdr:pic>
      <xdr:nvPicPr>
        <xdr:cNvPr id="45" name="Picture 44"/>
        <xdr:cNvPicPr>
          <a:picLocks noChangeAspect="1"/>
        </xdr:cNvPicPr>
      </xdr:nvPicPr>
      <xdr:blipFill rotWithShape="1">
        <a:blip xmlns:r="http://schemas.openxmlformats.org/officeDocument/2006/relationships" r:embed="rId7"/>
        <a:srcRect l="31024" t="25372" r="30919" b="34034"/>
        <a:stretch/>
      </xdr:blipFill>
      <xdr:spPr>
        <a:xfrm>
          <a:off x="12471105" y="1257297"/>
          <a:ext cx="387645" cy="359738"/>
        </a:xfrm>
        <a:prstGeom prst="rect">
          <a:avLst/>
        </a:prstGeom>
        <a:solidFill>
          <a:schemeClr val="accent4"/>
        </a:solidFill>
      </xdr:spPr>
    </xdr:pic>
    <xdr:clientData/>
  </xdr:twoCellAnchor>
  <xdr:twoCellAnchor editAs="oneCell">
    <xdr:from>
      <xdr:col>12</xdr:col>
      <xdr:colOff>106309</xdr:colOff>
      <xdr:row>6</xdr:row>
      <xdr:rowOff>166133</xdr:rowOff>
    </xdr:from>
    <xdr:to>
      <xdr:col>12</xdr:col>
      <xdr:colOff>476251</xdr:colOff>
      <xdr:row>8</xdr:row>
      <xdr:rowOff>132906</xdr:rowOff>
    </xdr:to>
    <xdr:pic>
      <xdr:nvPicPr>
        <xdr:cNvPr id="14" name="Picture 13"/>
        <xdr:cNvPicPr>
          <a:picLocks noChangeAspect="1"/>
        </xdr:cNvPicPr>
      </xdr:nvPicPr>
      <xdr:blipFill rotWithShape="1">
        <a:blip xmlns:r="http://schemas.openxmlformats.org/officeDocument/2006/relationships" r:embed="rId8"/>
        <a:srcRect l="38421" t="30129" r="27991" b="37859"/>
        <a:stretch/>
      </xdr:blipFill>
      <xdr:spPr>
        <a:xfrm>
          <a:off x="7416193" y="1295842"/>
          <a:ext cx="369942" cy="343343"/>
        </a:xfrm>
        <a:prstGeom prst="rect">
          <a:avLst/>
        </a:prstGeom>
        <a:solidFill>
          <a:schemeClr val="accent4"/>
        </a:solidFill>
        <a:ln>
          <a:solidFill>
            <a:schemeClr val="accent4"/>
          </a:solidFill>
        </a:ln>
      </xdr:spPr>
    </xdr:pic>
    <xdr:clientData/>
  </xdr:twoCellAnchor>
  <xdr:twoCellAnchor editAs="oneCell">
    <xdr:from>
      <xdr:col>9</xdr:col>
      <xdr:colOff>155058</xdr:colOff>
      <xdr:row>6</xdr:row>
      <xdr:rowOff>188283</xdr:rowOff>
    </xdr:from>
    <xdr:to>
      <xdr:col>9</xdr:col>
      <xdr:colOff>505375</xdr:colOff>
      <xdr:row>8</xdr:row>
      <xdr:rowOff>137870</xdr:rowOff>
    </xdr:to>
    <xdr:pic>
      <xdr:nvPicPr>
        <xdr:cNvPr id="32" name="Picture 31"/>
        <xdr:cNvPicPr>
          <a:picLocks noChangeAspect="1"/>
        </xdr:cNvPicPr>
      </xdr:nvPicPr>
      <xdr:blipFill rotWithShape="1">
        <a:blip xmlns:r="http://schemas.openxmlformats.org/officeDocument/2006/relationships" r:embed="rId9"/>
        <a:srcRect l="27790" t="33647" r="35128" b="40983"/>
        <a:stretch/>
      </xdr:blipFill>
      <xdr:spPr>
        <a:xfrm>
          <a:off x="5637471" y="1317992"/>
          <a:ext cx="350317" cy="326157"/>
        </a:xfrm>
        <a:prstGeom prst="rect">
          <a:avLst/>
        </a:prstGeom>
        <a:solidFill>
          <a:schemeClr val="accent4"/>
        </a:solidFill>
      </xdr:spPr>
    </xdr:pic>
    <xdr:clientData/>
  </xdr:twoCellAnchor>
  <xdr:twoCellAnchor editAs="oneCell">
    <xdr:from>
      <xdr:col>6</xdr:col>
      <xdr:colOff>509477</xdr:colOff>
      <xdr:row>7</xdr:row>
      <xdr:rowOff>33225</xdr:rowOff>
    </xdr:from>
    <xdr:to>
      <xdr:col>7</xdr:col>
      <xdr:colOff>332267</xdr:colOff>
      <xdr:row>8</xdr:row>
      <xdr:rowOff>160595</xdr:rowOff>
    </xdr:to>
    <xdr:pic>
      <xdr:nvPicPr>
        <xdr:cNvPr id="46" name="Picture 45"/>
        <xdr:cNvPicPr>
          <a:picLocks noChangeAspect="1"/>
        </xdr:cNvPicPr>
      </xdr:nvPicPr>
      <xdr:blipFill rotWithShape="1">
        <a:blip xmlns:r="http://schemas.openxmlformats.org/officeDocument/2006/relationships" r:embed="rId10"/>
        <a:srcRect l="28333" t="29689" r="28333" b="38644"/>
        <a:stretch/>
      </xdr:blipFill>
      <xdr:spPr>
        <a:xfrm>
          <a:off x="4164419" y="1351219"/>
          <a:ext cx="431947" cy="315655"/>
        </a:xfrm>
        <a:prstGeom prst="rect">
          <a:avLst/>
        </a:prstGeom>
        <a:solidFill>
          <a:schemeClr val="accent4"/>
        </a:solidFill>
      </xdr:spPr>
    </xdr:pic>
    <xdr:clientData/>
  </xdr:twoCellAnchor>
  <xdr:twoCellAnchor editAs="oneCell">
    <xdr:from>
      <xdr:col>17</xdr:col>
      <xdr:colOff>409801</xdr:colOff>
      <xdr:row>6</xdr:row>
      <xdr:rowOff>143983</xdr:rowOff>
    </xdr:from>
    <xdr:to>
      <xdr:col>18</xdr:col>
      <xdr:colOff>177214</xdr:colOff>
      <xdr:row>8</xdr:row>
      <xdr:rowOff>99680</xdr:rowOff>
    </xdr:to>
    <xdr:pic>
      <xdr:nvPicPr>
        <xdr:cNvPr id="47" name="Picture 46"/>
        <xdr:cNvPicPr>
          <a:picLocks noChangeAspect="1"/>
        </xdr:cNvPicPr>
      </xdr:nvPicPr>
      <xdr:blipFill rotWithShape="1">
        <a:blip xmlns:r="http://schemas.openxmlformats.org/officeDocument/2006/relationships" r:embed="rId11"/>
        <a:srcRect l="31961" t="20980" r="32715" b="37451"/>
        <a:stretch/>
      </xdr:blipFill>
      <xdr:spPr>
        <a:xfrm>
          <a:off x="10765470" y="1273692"/>
          <a:ext cx="376570" cy="332267"/>
        </a:xfrm>
        <a:prstGeom prst="rect">
          <a:avLst/>
        </a:prstGeom>
        <a:solidFill>
          <a:schemeClr val="accent4"/>
        </a:solidFill>
      </xdr:spPr>
    </xdr:pic>
    <xdr:clientData/>
  </xdr:twoCellAnchor>
  <xdr:twoCellAnchor editAs="oneCell">
    <xdr:from>
      <xdr:col>14</xdr:col>
      <xdr:colOff>431946</xdr:colOff>
      <xdr:row>6</xdr:row>
      <xdr:rowOff>132907</xdr:rowOff>
    </xdr:from>
    <xdr:to>
      <xdr:col>15</xdr:col>
      <xdr:colOff>174330</xdr:colOff>
      <xdr:row>8</xdr:row>
      <xdr:rowOff>132906</xdr:rowOff>
    </xdr:to>
    <xdr:pic>
      <xdr:nvPicPr>
        <xdr:cNvPr id="49" name="Picture 48"/>
        <xdr:cNvPicPr>
          <a:picLocks noChangeAspect="1"/>
        </xdr:cNvPicPr>
      </xdr:nvPicPr>
      <xdr:blipFill rotWithShape="1">
        <a:blip xmlns:r="http://schemas.openxmlformats.org/officeDocument/2006/relationships" r:embed="rId12"/>
        <a:srcRect l="27826" t="22845" r="27826" b="33677"/>
        <a:stretch/>
      </xdr:blipFill>
      <xdr:spPr>
        <a:xfrm>
          <a:off x="8960144" y="1262616"/>
          <a:ext cx="351541" cy="376569"/>
        </a:xfrm>
        <a:prstGeom prst="rect">
          <a:avLst/>
        </a:prstGeom>
        <a:solidFill>
          <a:schemeClr val="accent4"/>
        </a:solidFill>
      </xdr:spPr>
    </xdr:pic>
    <xdr:clientData/>
  </xdr:twoCellAnchor>
  <xdr:twoCellAnchor editAs="oneCell">
    <xdr:from>
      <xdr:col>2</xdr:col>
      <xdr:colOff>110758</xdr:colOff>
      <xdr:row>1</xdr:row>
      <xdr:rowOff>121831</xdr:rowOff>
    </xdr:from>
    <xdr:to>
      <xdr:col>5</xdr:col>
      <xdr:colOff>598081</xdr:colOff>
      <xdr:row>8</xdr:row>
      <xdr:rowOff>88605</xdr:rowOff>
    </xdr:to>
    <xdr:pic>
      <xdr:nvPicPr>
        <xdr:cNvPr id="51" name="Picture 5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29072" y="310116"/>
          <a:ext cx="2314794" cy="1284768"/>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mmanuel Kebodi" refreshedDate="46073.28313703704" createdVersion="6" refreshedVersion="6" minRefreshableVersion="3" recordCount="1000">
  <cacheSource type="worksheet">
    <worksheetSource name="Table1"/>
  </cacheSource>
  <cacheFields count="21">
    <cacheField name="TransactionID" numFmtId="0">
      <sharedItems/>
    </cacheField>
    <cacheField name="CustomerID" numFmtId="0">
      <sharedItems containsSemiMixedTypes="0" containsString="0" containsNumber="1" containsInteger="1" minValue="1000" maxValue="9981"/>
    </cacheField>
    <cacheField name="MarketingSpend" numFmtId="164">
      <sharedItems containsSemiMixedTypes="0" containsString="0" containsNumber="1" minValue="0" maxValue="0.2"/>
    </cacheField>
    <cacheField name="CampaignType" numFmtId="49">
      <sharedItems count="6">
        <s v="PPC"/>
        <s v="Affiliate"/>
        <s v="Influencer"/>
        <s v="Social Media"/>
        <s v="Email"/>
        <s v="Unknown"/>
      </sharedItems>
    </cacheField>
    <cacheField name="Impressions" numFmtId="1">
      <sharedItems containsSemiMixedTypes="0" containsString="0" containsNumber="1" minValue="1.3919999999999999" maxValue="99.991"/>
    </cacheField>
    <cacheField name="Clicks" numFmtId="1">
      <sharedItems containsSemiMixedTypes="0" containsString="0" containsNumber="1" minValue="0" maxValue="9.9740000000000002"/>
    </cacheField>
    <cacheField name="Revenue" numFmtId="164">
      <sharedItems containsSemiMixedTypes="0" containsString="0" containsNumber="1" minValue="0" maxValue="0.49680999999999997"/>
    </cacheField>
    <cacheField name="PaidCustomer" numFmtId="0">
      <sharedItems containsSemiMixedTypes="0" containsString="0" containsNumber="1" containsInteger="1" minValue="0" maxValue="1"/>
    </cacheField>
    <cacheField name="ProductCategory" numFmtId="49">
      <sharedItems count="6">
        <s v="Clothing"/>
        <s v="Toys"/>
        <s v="Beauty"/>
        <s v="Electronics"/>
        <s v="Home &amp; Kitchen"/>
        <s v="others"/>
      </sharedItems>
    </cacheField>
    <cacheField name="CustomerAge" numFmtId="0">
      <sharedItems containsSemiMixedTypes="0" containsString="0" containsNumber="1" containsInteger="1" minValue="18" maxValue="65"/>
    </cacheField>
    <cacheField name="CustomerLocation" numFmtId="49">
      <sharedItems count="4">
        <s v="West"/>
        <s v="North"/>
        <s v="East"/>
        <s v="South"/>
      </sharedItems>
    </cacheField>
    <cacheField name="ReferralSource" numFmtId="49">
      <sharedItems count="5">
        <s v="Organic"/>
        <s v="Direct"/>
        <s v="Unknown"/>
        <s v="Social Media"/>
        <s v="Paid Ad"/>
      </sharedItems>
    </cacheField>
    <cacheField name="CustomerSatisfaction" numFmtId="0">
      <sharedItems containsMixedTypes="1" containsNumber="1" containsInteger="1" minValue="1" maxValue="5"/>
    </cacheField>
    <cacheField name="ConvRate" numFmtId="10">
      <sharedItems containsSemiMixedTypes="0" containsString="0" containsNumber="1" minValue="0" maxValue="5.4945054945054945"/>
    </cacheField>
    <cacheField name="CPC" numFmtId="164">
      <sharedItems containsSemiMixedTypes="0" containsString="0" containsNumber="1" minValue="0" maxValue="1.8471153846153847"/>
    </cacheField>
    <cacheField name="CTR" numFmtId="0">
      <sharedItems containsSemiMixedTypes="0" containsString="0" containsNumber="1" minValue="0" maxValue="4.7989417989417991"/>
    </cacheField>
    <cacheField name="CPA" numFmtId="164">
      <sharedItems containsSemiMixedTypes="0" containsString="0" containsNumber="1" minValue="0" maxValue="0.19789000000000001"/>
    </cacheField>
    <cacheField name="ROI" numFmtId="164">
      <sharedItems containsSemiMixedTypes="0" containsString="0" containsNumber="1" minValue="-1" maxValue="72.838041431261772"/>
    </cacheField>
    <cacheField name="ROAS" numFmtId="0">
      <sharedItems containsMixedTypes="1" containsNumber="1" minValue="0" maxValue="73.838041431261772"/>
    </cacheField>
    <cacheField name="RPC" numFmtId="164">
      <sharedItems containsSemiMixedTypes="0" containsString="0" containsNumber="1" minValue="0" maxValue="1.8239010989010991"/>
    </cacheField>
    <cacheField name="AgeGroup"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TX0001"/>
    <n v="1260"/>
    <n v="0.10188999999999999"/>
    <x v="0"/>
    <n v="7.5839999999999996"/>
    <n v="0"/>
    <n v="0"/>
    <n v="0"/>
    <x v="0"/>
    <n v="20"/>
    <x v="0"/>
    <x v="0"/>
    <n v="3"/>
    <n v="0"/>
    <n v="0"/>
    <n v="0"/>
    <n v="0"/>
    <n v="-1"/>
    <n v="0"/>
    <n v="0"/>
    <s v="18-24"/>
  </r>
  <r>
    <s v="TX0002"/>
    <n v="3474"/>
    <n v="8.8910000000000003E-2"/>
    <x v="0"/>
    <n v="61.262999999999998"/>
    <n v="0.56100000000000005"/>
    <n v="0"/>
    <n v="0"/>
    <x v="1"/>
    <n v="41"/>
    <x v="1"/>
    <x v="1"/>
    <n v="2"/>
    <n v="0"/>
    <n v="0.15848484848484848"/>
    <n v="9.1572400959796293E-3"/>
    <n v="0"/>
    <n v="-1"/>
    <n v="0"/>
    <n v="0"/>
    <s v="35-44"/>
  </r>
  <r>
    <s v="TX0003"/>
    <n v="5223"/>
    <n v="0.16042000000000001"/>
    <x v="1"/>
    <n v="89.887"/>
    <n v="0.77700000000000002"/>
    <n v="0"/>
    <n v="0"/>
    <x v="2"/>
    <n v="65"/>
    <x v="0"/>
    <x v="2"/>
    <n v="5"/>
    <n v="0"/>
    <n v="0.20646074646074647"/>
    <n v="8.6441865898294525E-3"/>
    <n v="0"/>
    <n v="-1"/>
    <n v="0"/>
    <n v="0"/>
    <s v="55+"/>
  </r>
  <r>
    <s v="TX0004"/>
    <n v="3090"/>
    <n v="0.10652"/>
    <x v="2"/>
    <n v="67.188999999999993"/>
    <n v="3.3519999999999999"/>
    <n v="0"/>
    <n v="0"/>
    <x v="3"/>
    <n v="54"/>
    <x v="0"/>
    <x v="1"/>
    <n v="1"/>
    <n v="0"/>
    <n v="3.1778042959427211E-2"/>
    <n v="4.9889118754558044E-2"/>
    <n v="0"/>
    <n v="-1"/>
    <n v="0"/>
    <n v="0"/>
    <s v="45-54"/>
  </r>
  <r>
    <s v="TX0005"/>
    <n v="1009"/>
    <n v="4.7649999999999998E-2"/>
    <x v="2"/>
    <n v="87.617999999999995"/>
    <n v="7.6669999999999998"/>
    <n v="0"/>
    <n v="0"/>
    <x v="1"/>
    <n v="41"/>
    <x v="2"/>
    <x v="3"/>
    <n v="5"/>
    <n v="0"/>
    <n v="6.2149471762097301E-3"/>
    <n v="8.7504850601474587E-2"/>
    <n v="0"/>
    <n v="-1"/>
    <n v="0"/>
    <n v="0"/>
    <s v="35-44"/>
  </r>
  <r>
    <s v="TX0006"/>
    <n v="3297"/>
    <n v="0.13872000000000001"/>
    <x v="3"/>
    <n v="52.258000000000003"/>
    <n v="0.434"/>
    <n v="0"/>
    <n v="0"/>
    <x v="4"/>
    <n v="41"/>
    <x v="1"/>
    <x v="1"/>
    <n v="3"/>
    <n v="0"/>
    <n v="0.31963133640552999"/>
    <n v="8.3049485246278077E-3"/>
    <n v="0"/>
    <n v="-1"/>
    <n v="0"/>
    <n v="0"/>
    <s v="35-44"/>
  </r>
  <r>
    <s v="TX0007"/>
    <n v="2218"/>
    <n v="0.11633"/>
    <x v="3"/>
    <n v="36.042000000000002"/>
    <n v="0.93"/>
    <n v="0"/>
    <n v="1"/>
    <x v="4"/>
    <n v="23"/>
    <x v="0"/>
    <x v="3"/>
    <n v="5"/>
    <n v="1.075268817204301"/>
    <n v="0.12508602150537634"/>
    <n v="2.5803229565506909E-2"/>
    <n v="0.11633"/>
    <n v="-1"/>
    <n v="0"/>
    <n v="0"/>
    <s v="18-24"/>
  </r>
  <r>
    <s v="TX0008"/>
    <n v="8907"/>
    <n v="0.18590999999999999"/>
    <x v="2"/>
    <n v="43.183999999999997"/>
    <n v="1.823"/>
    <n v="0"/>
    <n v="1"/>
    <x v="2"/>
    <n v="41"/>
    <x v="3"/>
    <x v="4"/>
    <n v="1"/>
    <n v="0.54854635216675807"/>
    <n v="0.10198025233132199"/>
    <n v="4.2214709151537605E-2"/>
    <n v="0.18590999999999999"/>
    <n v="-1"/>
    <n v="0"/>
    <n v="0"/>
    <s v="35-44"/>
  </r>
  <r>
    <s v="TX0009"/>
    <n v="6506"/>
    <n v="8.7400000000000005E-2"/>
    <x v="4"/>
    <n v="84.950999999999993"/>
    <n v="6.3220000000000001"/>
    <n v="0"/>
    <n v="0"/>
    <x v="1"/>
    <n v="43"/>
    <x v="3"/>
    <x v="0"/>
    <n v="5"/>
    <n v="0"/>
    <n v="1.3824739006643468E-2"/>
    <n v="7.4419371166907985E-2"/>
    <n v="0"/>
    <n v="-1"/>
    <n v="0"/>
    <n v="0"/>
    <s v="35-44"/>
  </r>
  <r>
    <s v="TX0010"/>
    <n v="6726"/>
    <n v="2.163E-2"/>
    <x v="0"/>
    <n v="9.2170000000000005"/>
    <n v="3.8260000000000001"/>
    <n v="0"/>
    <n v="0"/>
    <x v="1"/>
    <n v="62"/>
    <x v="0"/>
    <x v="3"/>
    <s v="Nil"/>
    <n v="0"/>
    <n v="5.6534239414532143E-3"/>
    <n v="0.41510252793750674"/>
    <n v="0"/>
    <n v="-1"/>
    <n v="0"/>
    <n v="0"/>
    <s v="55+"/>
  </r>
  <r>
    <s v="TX0011"/>
    <n v="5273"/>
    <n v="4.0410000000000001E-2"/>
    <x v="0"/>
    <n v="23.359000000000002"/>
    <n v="0"/>
    <n v="3.5029999999999999E-2"/>
    <n v="1"/>
    <x v="0"/>
    <n v="61"/>
    <x v="3"/>
    <x v="1"/>
    <n v="4"/>
    <n v="0"/>
    <n v="0"/>
    <n v="0"/>
    <n v="4.0410000000000001E-2"/>
    <n v="-0.1331353625340263"/>
    <n v="0.86686463746597375"/>
    <n v="0"/>
    <s v="55+"/>
  </r>
  <r>
    <s v="TX0012"/>
    <n v="6848"/>
    <n v="3.09E-2"/>
    <x v="2"/>
    <n v="25.023"/>
    <n v="3.0409999999999999"/>
    <n v="0"/>
    <n v="0"/>
    <x v="1"/>
    <n v="46"/>
    <x v="2"/>
    <x v="2"/>
    <n v="3"/>
    <n v="0"/>
    <n v="1.0161131206839856E-2"/>
    <n v="0.12152819406146345"/>
    <n v="0"/>
    <n v="-1"/>
    <n v="0"/>
    <n v="0"/>
    <s v="45-54"/>
  </r>
  <r>
    <s v="TX0013"/>
    <n v="7025"/>
    <n v="5.1769999999999997E-2"/>
    <x v="5"/>
    <n v="61.399000000000001"/>
    <n v="4.0010000000000003"/>
    <n v="0"/>
    <n v="0"/>
    <x v="2"/>
    <n v="33"/>
    <x v="1"/>
    <x v="2"/>
    <n v="4"/>
    <n v="0"/>
    <n v="1.2939265183704071E-2"/>
    <n v="6.516392775126631E-2"/>
    <n v="0"/>
    <n v="-1"/>
    <n v="0"/>
    <n v="0"/>
    <s v="25-34"/>
  </r>
  <r>
    <s v="TX0014"/>
    <n v="7472"/>
    <n v="0"/>
    <x v="0"/>
    <n v="77.253"/>
    <n v="3.5259999999999998"/>
    <n v="0.33565"/>
    <n v="1"/>
    <x v="3"/>
    <n v="63"/>
    <x v="0"/>
    <x v="1"/>
    <n v="3"/>
    <n v="0.2836074872376631"/>
    <n v="0"/>
    <n v="4.5642240430792326E-2"/>
    <n v="0"/>
    <n v="0"/>
    <e v="#DIV/0!"/>
    <n v="9.5192853091321611E-2"/>
    <s v="55+"/>
  </r>
  <r>
    <s v="TX0015"/>
    <n v="8998"/>
    <n v="6.9940000000000002E-2"/>
    <x v="0"/>
    <n v="42.872999999999998"/>
    <n v="1.7749999999999999"/>
    <n v="0"/>
    <n v="0"/>
    <x v="2"/>
    <n v="35"/>
    <x v="2"/>
    <x v="1"/>
    <n v="2"/>
    <n v="0"/>
    <n v="3.9402816901408455E-2"/>
    <n v="4.1401348167844562E-2"/>
    <n v="0"/>
    <n v="-1"/>
    <n v="0"/>
    <n v="0"/>
    <s v="35-44"/>
  </r>
  <r>
    <s v="TX0016"/>
    <n v="8281"/>
    <n v="0.18941"/>
    <x v="3"/>
    <n v="26.434999999999999"/>
    <n v="4.5190000000000001"/>
    <n v="0"/>
    <n v="0"/>
    <x v="5"/>
    <n v="20"/>
    <x v="0"/>
    <x v="3"/>
    <n v="4"/>
    <n v="0"/>
    <n v="4.1914140296525779E-2"/>
    <n v="0.17094760733875544"/>
    <n v="0"/>
    <n v="-1"/>
    <n v="0"/>
    <n v="0"/>
    <s v="18-24"/>
  </r>
  <r>
    <s v="TX0017"/>
    <n v="5355"/>
    <n v="0.13600000000000001"/>
    <x v="4"/>
    <n v="4.7670000000000003"/>
    <n v="1.0109999999999999"/>
    <n v="0"/>
    <n v="0"/>
    <x v="2"/>
    <n v="21"/>
    <x v="3"/>
    <x v="1"/>
    <n v="4"/>
    <n v="0"/>
    <n v="0.1345202769535114"/>
    <n v="0.21208307111390809"/>
    <n v="0"/>
    <n v="-1"/>
    <n v="0"/>
    <n v="0"/>
    <s v="18-24"/>
  </r>
  <r>
    <s v="TX0018"/>
    <n v="4295"/>
    <n v="0.14685999999999999"/>
    <x v="2"/>
    <n v="14.866"/>
    <n v="6.3650000000000002"/>
    <n v="0.27009"/>
    <n v="1"/>
    <x v="0"/>
    <n v="34"/>
    <x v="0"/>
    <x v="1"/>
    <n v="2"/>
    <n v="0.15710919088766692"/>
    <n v="2.3073055773762764E-2"/>
    <n v="0.42815821337279703"/>
    <n v="0.14685999999999999"/>
    <n v="0.83909846111943354"/>
    <n v="1.8390984611194336"/>
    <n v="4.2433621366849958E-2"/>
    <s v="25-34"/>
  </r>
  <r>
    <s v="TX0019"/>
    <n v="5340"/>
    <n v="6.0400000000000002E-2"/>
    <x v="0"/>
    <n v="51.8"/>
    <n v="6.6890000000000001"/>
    <n v="0"/>
    <n v="0"/>
    <x v="5"/>
    <n v="51"/>
    <x v="1"/>
    <x v="3"/>
    <s v="Nil"/>
    <n v="0"/>
    <n v="9.0297503363731494E-3"/>
    <n v="0.12913127413127415"/>
    <n v="0"/>
    <n v="-1"/>
    <n v="0"/>
    <n v="0"/>
    <s v="45-54"/>
  </r>
  <r>
    <s v="TX0020"/>
    <n v="8803"/>
    <n v="6.6570000000000004E-2"/>
    <x v="1"/>
    <n v="37.012"/>
    <n v="9.6440000000000001"/>
    <n v="0"/>
    <n v="0"/>
    <x v="2"/>
    <n v="35"/>
    <x v="0"/>
    <x v="1"/>
    <n v="5"/>
    <n v="0"/>
    <n v="6.9027374533388638E-3"/>
    <n v="0.26056414135955908"/>
    <n v="0"/>
    <n v="-1"/>
    <n v="0"/>
    <n v="0"/>
    <s v="35-44"/>
  </r>
  <r>
    <s v="TX0021"/>
    <n v="7055"/>
    <n v="0"/>
    <x v="3"/>
    <n v="64.527000000000001"/>
    <n v="0.58099999999999996"/>
    <n v="1.1639999999999999E-2"/>
    <n v="1"/>
    <x v="1"/>
    <n v="22"/>
    <x v="1"/>
    <x v="1"/>
    <n v="4"/>
    <n v="1.7211703958691911"/>
    <n v="0"/>
    <n v="9.0039828288933314E-3"/>
    <n v="0"/>
    <n v="0"/>
    <e v="#DIV/0!"/>
    <n v="2.0034423407917383E-2"/>
    <s v="18-24"/>
  </r>
  <r>
    <s v="TX0022"/>
    <n v="1098"/>
    <n v="0.19461000000000001"/>
    <x v="3"/>
    <n v="39.222000000000001"/>
    <n v="2.94"/>
    <n v="0.25812000000000002"/>
    <n v="1"/>
    <x v="1"/>
    <n v="18"/>
    <x v="2"/>
    <x v="2"/>
    <n v="1"/>
    <n v="0.3401360544217687"/>
    <n v="6.6193877551020408E-2"/>
    <n v="7.4957931772984543E-2"/>
    <n v="0.19461000000000001"/>
    <n v="0.3263449976876831"/>
    <n v="1.3263449976876831"/>
    <n v="8.7795918367346945E-2"/>
    <s v="18-24"/>
  </r>
  <r>
    <s v="TX0023"/>
    <n v="3124"/>
    <n v="8.8639999999999997E-2"/>
    <x v="4"/>
    <n v="91.587000000000003"/>
    <n v="8.5440000000000005"/>
    <n v="0"/>
    <n v="0"/>
    <x v="0"/>
    <n v="39"/>
    <x v="2"/>
    <x v="3"/>
    <n v="3"/>
    <n v="0"/>
    <n v="1.0374531835205992E-2"/>
    <n v="9.3288348783124239E-2"/>
    <n v="0"/>
    <n v="-1"/>
    <n v="0"/>
    <n v="0"/>
    <s v="35-44"/>
  </r>
  <r>
    <s v="TX0024"/>
    <n v="4550"/>
    <n v="0.17655000000000001"/>
    <x v="1"/>
    <n v="57.798999999999999"/>
    <n v="1.67"/>
    <n v="0"/>
    <n v="0"/>
    <x v="4"/>
    <n v="51"/>
    <x v="3"/>
    <x v="3"/>
    <n v="5"/>
    <n v="0"/>
    <n v="0.10571856287425151"/>
    <n v="2.8893233446945447E-2"/>
    <n v="0"/>
    <n v="-1"/>
    <n v="0"/>
    <n v="0"/>
    <s v="45-54"/>
  </r>
  <r>
    <s v="TX0025"/>
    <n v="3989"/>
    <n v="5.2929999999999998E-2"/>
    <x v="4"/>
    <n v="92.820999999999998"/>
    <n v="7.5369999999999999"/>
    <n v="0"/>
    <n v="0"/>
    <x v="3"/>
    <n v="52"/>
    <x v="3"/>
    <x v="3"/>
    <s v="Nil"/>
    <n v="0"/>
    <n v="7.022688072177259E-3"/>
    <n v="8.1199297572747547E-2"/>
    <n v="0"/>
    <n v="-1"/>
    <n v="0"/>
    <n v="0"/>
    <s v="45-54"/>
  </r>
  <r>
    <s v="TX0026"/>
    <n v="6539"/>
    <n v="0.1847"/>
    <x v="0"/>
    <n v="90.872"/>
    <n v="2.593"/>
    <n v="0"/>
    <n v="0"/>
    <x v="3"/>
    <n v="58"/>
    <x v="1"/>
    <x v="2"/>
    <n v="2"/>
    <n v="0"/>
    <n v="7.1230235248746623E-2"/>
    <n v="2.8534642133990668E-2"/>
    <n v="0"/>
    <n v="-1"/>
    <n v="0"/>
    <n v="0"/>
    <s v="55+"/>
  </r>
  <r>
    <s v="TX0027"/>
    <n v="8272"/>
    <n v="2.9139999999999999E-2"/>
    <x v="4"/>
    <n v="73.736000000000004"/>
    <n v="6.5720000000000001"/>
    <n v="0.10555"/>
    <n v="1"/>
    <x v="3"/>
    <n v="30"/>
    <x v="1"/>
    <x v="0"/>
    <n v="3"/>
    <n v="0.15216068167985392"/>
    <n v="4.4339622641509429E-3"/>
    <n v="8.9128783769122269E-2"/>
    <n v="2.9139999999999999E-2"/>
    <n v="2.6221688400823613"/>
    <n v="3.6221688400823613"/>
    <n v="1.6060559951308583E-2"/>
    <s v="25-34"/>
  </r>
  <r>
    <s v="TX0028"/>
    <n v="1987"/>
    <n v="4.9910000000000003E-2"/>
    <x v="3"/>
    <n v="71.283000000000001"/>
    <n v="4.4829999999999997"/>
    <n v="0"/>
    <n v="0"/>
    <x v="1"/>
    <n v="31"/>
    <x v="0"/>
    <x v="2"/>
    <n v="3"/>
    <n v="0"/>
    <n v="1.113316975239795E-2"/>
    <n v="6.289017016679993E-2"/>
    <n v="0"/>
    <n v="-1"/>
    <n v="0"/>
    <n v="0"/>
    <s v="25-34"/>
  </r>
  <r>
    <s v="TX0029"/>
    <n v="1555"/>
    <n v="0"/>
    <x v="4"/>
    <n v="29.654"/>
    <n v="0.98199999999999998"/>
    <n v="0"/>
    <n v="0"/>
    <x v="4"/>
    <n v="34"/>
    <x v="0"/>
    <x v="3"/>
    <s v="Nil"/>
    <n v="0"/>
    <n v="0"/>
    <n v="3.3115262696432182E-2"/>
    <n v="0"/>
    <n v="0"/>
    <n v="0"/>
    <n v="0"/>
    <s v="25-34"/>
  </r>
  <r>
    <s v="TX0030"/>
    <n v="2240"/>
    <n v="4.0750000000000001E-2"/>
    <x v="3"/>
    <n v="4.4210000000000003"/>
    <n v="4.5460000000000003"/>
    <n v="0"/>
    <n v="0"/>
    <x v="3"/>
    <n v="21"/>
    <x v="1"/>
    <x v="2"/>
    <n v="3"/>
    <n v="0"/>
    <n v="8.963924329080511E-3"/>
    <n v="1.0282741461207872"/>
    <n v="0"/>
    <n v="-1"/>
    <n v="0"/>
    <n v="0"/>
    <s v="18-24"/>
  </r>
  <r>
    <s v="TX0031"/>
    <n v="2898"/>
    <n v="0.12526000000000001"/>
    <x v="0"/>
    <n v="61.622999999999998"/>
    <n v="1.851"/>
    <n v="0"/>
    <n v="0"/>
    <x v="0"/>
    <n v="50"/>
    <x v="0"/>
    <x v="1"/>
    <n v="2"/>
    <n v="0"/>
    <n v="6.7671528903295516E-2"/>
    <n v="3.0037486003602551E-2"/>
    <n v="0"/>
    <n v="-1"/>
    <n v="0"/>
    <n v="0"/>
    <s v="45-54"/>
  </r>
  <r>
    <s v="TX0032"/>
    <n v="4045"/>
    <n v="1.618E-2"/>
    <x v="5"/>
    <n v="36.664000000000001"/>
    <n v="9.9039999999999999"/>
    <n v="0"/>
    <n v="0"/>
    <x v="2"/>
    <n v="41"/>
    <x v="2"/>
    <x v="1"/>
    <s v="Nil"/>
    <n v="0"/>
    <n v="1.6336833602584814E-3"/>
    <n v="0.27012873663539166"/>
    <n v="0"/>
    <n v="-1"/>
    <n v="0"/>
    <n v="0"/>
    <s v="35-44"/>
  </r>
  <r>
    <s v="TX0033"/>
    <n v="8663"/>
    <n v="0.19775000000000001"/>
    <x v="0"/>
    <n v="19.420999999999999"/>
    <n v="3.1539999999999999"/>
    <n v="0"/>
    <n v="0"/>
    <x v="4"/>
    <n v="39"/>
    <x v="1"/>
    <x v="1"/>
    <n v="4"/>
    <n v="0"/>
    <n v="6.2698161065313895E-2"/>
    <n v="0.16240152412337161"/>
    <n v="0"/>
    <n v="-1"/>
    <n v="0"/>
    <n v="0"/>
    <s v="35-44"/>
  </r>
  <r>
    <s v="TX0034"/>
    <n v="2766"/>
    <n v="0.14607000000000001"/>
    <x v="5"/>
    <n v="65.275000000000006"/>
    <n v="1.391"/>
    <n v="0"/>
    <n v="0"/>
    <x v="2"/>
    <n v="25"/>
    <x v="1"/>
    <x v="3"/>
    <n v="3"/>
    <n v="0"/>
    <n v="0.10501078360891446"/>
    <n v="2.1309842972041363E-2"/>
    <n v="0"/>
    <n v="-1"/>
    <n v="0"/>
    <n v="0"/>
    <s v="25-34"/>
  </r>
  <r>
    <s v="TX0035"/>
    <n v="2484"/>
    <n v="8.473E-2"/>
    <x v="3"/>
    <n v="37.718000000000004"/>
    <n v="2.0859999999999999"/>
    <n v="0"/>
    <n v="0"/>
    <x v="1"/>
    <n v="31"/>
    <x v="1"/>
    <x v="1"/>
    <s v="Nil"/>
    <n v="0"/>
    <n v="4.0618408437200389E-2"/>
    <n v="5.5305159340367983E-2"/>
    <n v="0"/>
    <n v="-1"/>
    <n v="0"/>
    <n v="0"/>
    <s v="25-34"/>
  </r>
  <r>
    <s v="TX0036"/>
    <n v="6139"/>
    <n v="6.7180000000000004E-2"/>
    <x v="5"/>
    <n v="62.164000000000001"/>
    <n v="5.9669999999999996"/>
    <n v="0"/>
    <n v="0"/>
    <x v="4"/>
    <n v="49"/>
    <x v="0"/>
    <x v="1"/>
    <n v="4"/>
    <n v="0"/>
    <n v="1.125858890564773E-2"/>
    <n v="9.5988031658194445E-2"/>
    <n v="0"/>
    <n v="-1"/>
    <n v="0"/>
    <n v="0"/>
    <s v="45-54"/>
  </r>
  <r>
    <s v="TX0037"/>
    <n v="7197"/>
    <n v="0"/>
    <x v="1"/>
    <n v="2.3719999999999999"/>
    <n v="4.5259999999999998"/>
    <n v="0"/>
    <n v="0"/>
    <x v="5"/>
    <n v="61"/>
    <x v="0"/>
    <x v="4"/>
    <n v="4"/>
    <n v="0"/>
    <n v="0"/>
    <n v="1.9080944350758853"/>
    <n v="0"/>
    <n v="0"/>
    <n v="0"/>
    <n v="0"/>
    <s v="55+"/>
  </r>
  <r>
    <s v="TX0038"/>
    <n v="5180"/>
    <n v="0"/>
    <x v="2"/>
    <n v="3.601"/>
    <n v="4.6790000000000003"/>
    <n v="0"/>
    <n v="0"/>
    <x v="2"/>
    <n v="29"/>
    <x v="2"/>
    <x v="3"/>
    <s v="Nil"/>
    <n v="0"/>
    <n v="0"/>
    <n v="1.2993612885309638"/>
    <n v="0"/>
    <n v="0"/>
    <n v="0"/>
    <n v="0"/>
    <s v="25-34"/>
  </r>
  <r>
    <s v="TX0039"/>
    <n v="1825"/>
    <n v="6.6640000000000005E-2"/>
    <x v="5"/>
    <n v="19.966999999999999"/>
    <n v="9.8379999999999992"/>
    <n v="0"/>
    <n v="0"/>
    <x v="3"/>
    <n v="43"/>
    <x v="3"/>
    <x v="2"/>
    <s v="Nil"/>
    <n v="0"/>
    <n v="6.7737344988818872E-3"/>
    <n v="0.49271297641107825"/>
    <n v="0"/>
    <n v="-1"/>
    <n v="0"/>
    <n v="0"/>
    <s v="35-44"/>
  </r>
  <r>
    <s v="TX0040"/>
    <n v="5349"/>
    <n v="5.1580000000000001E-2"/>
    <x v="3"/>
    <n v="65.638999999999996"/>
    <n v="8.3350000000000009"/>
    <n v="0"/>
    <n v="0"/>
    <x v="3"/>
    <n v="28"/>
    <x v="2"/>
    <x v="4"/>
    <s v="Nil"/>
    <n v="0"/>
    <n v="6.1883623275344928E-3"/>
    <n v="0.12698243422355615"/>
    <n v="0"/>
    <n v="-1"/>
    <n v="0"/>
    <n v="0"/>
    <s v="25-34"/>
  </r>
  <r>
    <s v="TX0041"/>
    <n v="8656"/>
    <n v="0.13186999999999999"/>
    <x v="1"/>
    <n v="6.0880000000000001"/>
    <n v="7.4770000000000003"/>
    <n v="0"/>
    <n v="1"/>
    <x v="3"/>
    <n v="26"/>
    <x v="0"/>
    <x v="3"/>
    <n v="4"/>
    <n v="0.13374348000534975"/>
    <n v="1.7636752708305468E-2"/>
    <n v="1.2281537450722733"/>
    <n v="0.13186999999999999"/>
    <n v="-1"/>
    <n v="0"/>
    <n v="0"/>
    <s v="25-34"/>
  </r>
  <r>
    <s v="TX0042"/>
    <n v="9373"/>
    <n v="8.3299999999999999E-2"/>
    <x v="4"/>
    <n v="47.790999999999997"/>
    <n v="9.2859999999999996"/>
    <n v="0"/>
    <n v="0"/>
    <x v="4"/>
    <n v="19"/>
    <x v="3"/>
    <x v="2"/>
    <n v="1"/>
    <n v="0"/>
    <n v="8.9704932155933673E-3"/>
    <n v="0.19430436693101211"/>
    <n v="0"/>
    <n v="-1"/>
    <n v="0"/>
    <n v="0"/>
    <s v="18-24"/>
  </r>
  <r>
    <s v="TX0043"/>
    <n v="9866"/>
    <n v="0.11265"/>
    <x v="2"/>
    <n v="21.719000000000001"/>
    <n v="0"/>
    <n v="0"/>
    <n v="0"/>
    <x v="2"/>
    <n v="41"/>
    <x v="1"/>
    <x v="0"/>
    <s v="Nil"/>
    <n v="0"/>
    <n v="0"/>
    <n v="0"/>
    <n v="0"/>
    <n v="-1"/>
    <n v="0"/>
    <n v="0"/>
    <s v="35-44"/>
  </r>
  <r>
    <s v="TX0044"/>
    <n v="4760"/>
    <n v="4.6710000000000002E-2"/>
    <x v="4"/>
    <n v="72.322000000000003"/>
    <n v="4.6900000000000004"/>
    <n v="0"/>
    <n v="0"/>
    <x v="4"/>
    <n v="64"/>
    <x v="3"/>
    <x v="0"/>
    <n v="5"/>
    <n v="0"/>
    <n v="9.9594882729211083E-3"/>
    <n v="6.4848870329913447E-2"/>
    <n v="0"/>
    <n v="-1"/>
    <n v="0"/>
    <n v="0"/>
    <s v="55+"/>
  </r>
  <r>
    <s v="TX0045"/>
    <n v="4935"/>
    <n v="2.5260000000000001E-2"/>
    <x v="1"/>
    <n v="51.756999999999998"/>
    <n v="6.3769999999999998"/>
    <n v="0"/>
    <n v="0"/>
    <x v="1"/>
    <n v="41"/>
    <x v="3"/>
    <x v="4"/>
    <n v="1"/>
    <n v="0"/>
    <n v="3.9611102399247297E-3"/>
    <n v="0.12321038700079216"/>
    <n v="0"/>
    <n v="-1"/>
    <n v="0"/>
    <n v="0"/>
    <s v="35-44"/>
  </r>
  <r>
    <s v="TX0046"/>
    <n v="5760"/>
    <n v="3.3890000000000003E-2"/>
    <x v="2"/>
    <n v="88.676000000000002"/>
    <n v="7.41"/>
    <n v="0"/>
    <n v="0"/>
    <x v="1"/>
    <n v="34"/>
    <x v="1"/>
    <x v="0"/>
    <n v="1"/>
    <n v="0"/>
    <n v="4.5735492577597845E-3"/>
    <n v="8.3562632504849119E-2"/>
    <n v="0"/>
    <n v="-1"/>
    <n v="0"/>
    <n v="0"/>
    <s v="25-34"/>
  </r>
  <r>
    <s v="TX0047"/>
    <n v="7017"/>
    <n v="0.19494"/>
    <x v="5"/>
    <n v="7.1740000000000004"/>
    <n v="7.3490000000000002"/>
    <n v="0"/>
    <n v="0"/>
    <x v="3"/>
    <n v="38"/>
    <x v="2"/>
    <x v="4"/>
    <s v="Nil"/>
    <n v="0"/>
    <n v="2.652605796707035E-2"/>
    <n v="1.0243936437134096"/>
    <n v="0"/>
    <n v="-1"/>
    <n v="0"/>
    <n v="0"/>
    <s v="35-44"/>
  </r>
  <r>
    <s v="TX0048"/>
    <n v="7721"/>
    <n v="1.787E-2"/>
    <x v="1"/>
    <n v="23.449000000000002"/>
    <n v="1.07"/>
    <n v="0"/>
    <n v="0"/>
    <x v="4"/>
    <n v="26"/>
    <x v="1"/>
    <x v="4"/>
    <n v="4"/>
    <n v="0"/>
    <n v="1.6700934579439251E-2"/>
    <n v="4.5630943750266537E-2"/>
    <n v="0"/>
    <n v="-1"/>
    <n v="0"/>
    <n v="0"/>
    <s v="25-34"/>
  </r>
  <r>
    <s v="TX0049"/>
    <n v="6293"/>
    <n v="3.4009999999999999E-2"/>
    <x v="1"/>
    <n v="38.023000000000003"/>
    <n v="9.718"/>
    <n v="0"/>
    <n v="0"/>
    <x v="2"/>
    <n v="55"/>
    <x v="2"/>
    <x v="0"/>
    <n v="2"/>
    <n v="0"/>
    <n v="3.499691294505042E-3"/>
    <n v="0.2555821476474765"/>
    <n v="0"/>
    <n v="-1"/>
    <n v="0"/>
    <n v="0"/>
    <s v="55+"/>
  </r>
  <r>
    <s v="TX0050"/>
    <n v="9203"/>
    <n v="0.16977999999999999"/>
    <x v="0"/>
    <n v="96.391000000000005"/>
    <n v="2.4750000000000001"/>
    <n v="0"/>
    <n v="0"/>
    <x v="3"/>
    <n v="21"/>
    <x v="1"/>
    <x v="4"/>
    <n v="3"/>
    <n v="0"/>
    <n v="6.8597979797979797E-2"/>
    <n v="2.5676671058501313E-2"/>
    <n v="0"/>
    <n v="-1"/>
    <n v="0"/>
    <n v="0"/>
    <s v="18-24"/>
  </r>
  <r>
    <s v="TX0051"/>
    <n v="6968"/>
    <n v="8.5500000000000007E-2"/>
    <x v="1"/>
    <n v="12.606999999999999"/>
    <n v="3.1680000000000001"/>
    <n v="0"/>
    <n v="0"/>
    <x v="1"/>
    <n v="40"/>
    <x v="2"/>
    <x v="3"/>
    <s v="Nil"/>
    <n v="0"/>
    <n v="2.6988636363636364E-2"/>
    <n v="0.25128896644721188"/>
    <n v="0"/>
    <n v="-1"/>
    <n v="0"/>
    <n v="0"/>
    <s v="35-44"/>
  </r>
  <r>
    <s v="TX0052"/>
    <n v="8460"/>
    <n v="6.3740000000000005E-2"/>
    <x v="4"/>
    <n v="65.144999999999996"/>
    <n v="4.242"/>
    <n v="0"/>
    <n v="0"/>
    <x v="0"/>
    <n v="49"/>
    <x v="0"/>
    <x v="4"/>
    <n v="5"/>
    <n v="0"/>
    <n v="1.5025931164545028E-2"/>
    <n v="6.5116279069767441E-2"/>
    <n v="0"/>
    <n v="-1"/>
    <n v="0"/>
    <n v="0"/>
    <s v="45-54"/>
  </r>
  <r>
    <s v="TX0053"/>
    <n v="5049"/>
    <n v="2.0060000000000001E-2"/>
    <x v="2"/>
    <n v="84.66"/>
    <n v="1.0900000000000001"/>
    <n v="0"/>
    <n v="0"/>
    <x v="2"/>
    <n v="41"/>
    <x v="1"/>
    <x v="2"/>
    <s v="Nil"/>
    <n v="0"/>
    <n v="1.8403669724770644E-2"/>
    <n v="1.2875029529884244E-2"/>
    <n v="0"/>
    <n v="-1"/>
    <n v="0"/>
    <n v="0"/>
    <s v="35-44"/>
  </r>
  <r>
    <s v="TX0054"/>
    <n v="5747"/>
    <n v="0.11990000000000001"/>
    <x v="3"/>
    <n v="25.177"/>
    <n v="0.42399999999999999"/>
    <n v="0"/>
    <n v="0"/>
    <x v="2"/>
    <n v="28"/>
    <x v="2"/>
    <x v="1"/>
    <s v="Nil"/>
    <n v="0"/>
    <n v="0.28278301886792456"/>
    <n v="1.6840767367041348E-2"/>
    <n v="0"/>
    <n v="-1"/>
    <n v="0"/>
    <n v="0"/>
    <s v="25-34"/>
  </r>
  <r>
    <s v="TX0055"/>
    <n v="5425"/>
    <n v="8.3330000000000001E-2"/>
    <x v="0"/>
    <n v="7.3280000000000003"/>
    <n v="0.95599999999999996"/>
    <n v="0"/>
    <n v="0"/>
    <x v="3"/>
    <n v="60"/>
    <x v="1"/>
    <x v="1"/>
    <n v="4"/>
    <n v="0"/>
    <n v="8.7165271966527208E-2"/>
    <n v="0.13045851528384278"/>
    <n v="0"/>
    <n v="-1"/>
    <n v="0"/>
    <n v="0"/>
    <s v="55+"/>
  </r>
  <r>
    <s v="TX0056"/>
    <n v="8611"/>
    <n v="9.6750000000000003E-2"/>
    <x v="4"/>
    <n v="59.536999999999999"/>
    <n v="0.996"/>
    <n v="0"/>
    <n v="0"/>
    <x v="1"/>
    <n v="62"/>
    <x v="0"/>
    <x v="0"/>
    <n v="2"/>
    <n v="0"/>
    <n v="9.713855421686747E-2"/>
    <n v="1.6729092833028199E-2"/>
    <n v="0"/>
    <n v="-1"/>
    <n v="0"/>
    <n v="0"/>
    <s v="55+"/>
  </r>
  <r>
    <s v="TX0057"/>
    <n v="4920"/>
    <n v="0"/>
    <x v="2"/>
    <n v="70.153000000000006"/>
    <n v="3.4740000000000002"/>
    <n v="0"/>
    <n v="0"/>
    <x v="1"/>
    <n v="58"/>
    <x v="3"/>
    <x v="3"/>
    <n v="2"/>
    <n v="0"/>
    <n v="0"/>
    <n v="4.9520334126837054E-2"/>
    <n v="0"/>
    <n v="0"/>
    <n v="0"/>
    <n v="0"/>
    <s v="55+"/>
  </r>
  <r>
    <s v="TX0058"/>
    <n v="6267"/>
    <n v="0.16519"/>
    <x v="0"/>
    <n v="80.228999999999999"/>
    <n v="7.4139999999999997"/>
    <n v="0"/>
    <n v="0"/>
    <x v="1"/>
    <n v="34"/>
    <x v="3"/>
    <x v="2"/>
    <s v="Nil"/>
    <n v="0"/>
    <n v="2.228082007013758E-2"/>
    <n v="9.2410475015268792E-2"/>
    <n v="0"/>
    <n v="-1"/>
    <n v="0"/>
    <n v="0"/>
    <s v="25-34"/>
  </r>
  <r>
    <s v="TX0059"/>
    <n v="4147"/>
    <n v="0.1187"/>
    <x v="2"/>
    <n v="95.58"/>
    <n v="7.133"/>
    <n v="0"/>
    <n v="0"/>
    <x v="1"/>
    <n v="49"/>
    <x v="0"/>
    <x v="4"/>
    <n v="5"/>
    <n v="0"/>
    <n v="1.6640964531052852E-2"/>
    <n v="7.4628583385645528E-2"/>
    <n v="0"/>
    <n v="-1"/>
    <n v="0"/>
    <n v="0"/>
    <s v="45-54"/>
  </r>
  <r>
    <s v="TX0060"/>
    <n v="3195"/>
    <n v="0"/>
    <x v="0"/>
    <n v="85.887"/>
    <n v="1.982"/>
    <n v="0"/>
    <n v="0"/>
    <x v="4"/>
    <n v="41"/>
    <x v="3"/>
    <x v="4"/>
    <n v="3"/>
    <n v="0"/>
    <n v="0"/>
    <n v="2.3076833513803019E-2"/>
    <n v="0"/>
    <n v="0"/>
    <n v="0"/>
    <n v="0"/>
    <s v="35-44"/>
  </r>
  <r>
    <s v="TX0061"/>
    <n v="2104"/>
    <n v="2.3230000000000001E-2"/>
    <x v="5"/>
    <n v="54.152000000000001"/>
    <n v="2.8479999999999999"/>
    <n v="0.32147999999999999"/>
    <n v="1"/>
    <x v="0"/>
    <n v="55"/>
    <x v="1"/>
    <x v="0"/>
    <n v="2"/>
    <n v="0.351123595505618"/>
    <n v="8.1566011235955065E-3"/>
    <n v="5.2592702023932632E-2"/>
    <n v="2.3230000000000001E-2"/>
    <n v="12.839001291433492"/>
    <n v="13.83900129143349"/>
    <n v="0.11287921348314607"/>
    <s v="55+"/>
  </r>
  <r>
    <s v="TX0062"/>
    <n v="4634"/>
    <n v="5.2830000000000002E-2"/>
    <x v="5"/>
    <n v="44.151000000000003"/>
    <n v="7.2480000000000002"/>
    <n v="0.18523999999999999"/>
    <n v="1"/>
    <x v="3"/>
    <n v="41"/>
    <x v="2"/>
    <x v="2"/>
    <n v="5"/>
    <n v="0.13796909492273729"/>
    <n v="7.2889072847682123E-3"/>
    <n v="0.16416389209757423"/>
    <n v="5.2830000000000002E-2"/>
    <n v="2.5063410940753355"/>
    <n v="3.5063410940753355"/>
    <n v="2.5557395143487857E-2"/>
    <s v="35-44"/>
  </r>
  <r>
    <s v="TX0063"/>
    <n v="6905"/>
    <n v="8.7100000000000007E-3"/>
    <x v="2"/>
    <n v="67.747"/>
    <n v="8.8879999999999999"/>
    <n v="0"/>
    <n v="0"/>
    <x v="2"/>
    <n v="53"/>
    <x v="2"/>
    <x v="0"/>
    <n v="4"/>
    <n v="0"/>
    <n v="9.7997299729973017E-4"/>
    <n v="0.13119400121038569"/>
    <n v="0"/>
    <n v="-1"/>
    <n v="0"/>
    <n v="0"/>
    <s v="45-54"/>
  </r>
  <r>
    <s v="TX0064"/>
    <n v="1279"/>
    <n v="1.7239999999999998E-2"/>
    <x v="2"/>
    <n v="67.456000000000003"/>
    <n v="3.601"/>
    <n v="0.18140999999999999"/>
    <n v="1"/>
    <x v="3"/>
    <n v="61"/>
    <x v="2"/>
    <x v="2"/>
    <n v="3"/>
    <n v="0.27770063871146905"/>
    <n v="4.787559011385726E-3"/>
    <n v="5.3382945920303605E-2"/>
    <n v="1.7239999999999998E-2"/>
    <n v="9.5226218097447788"/>
    <n v="10.522621809744781"/>
    <n v="5.0377672868647597E-2"/>
    <s v="55+"/>
  </r>
  <r>
    <s v="TX0065"/>
    <n v="6923"/>
    <n v="6.3400000000000001E-3"/>
    <x v="4"/>
    <n v="62.707999999999998"/>
    <n v="3.53"/>
    <n v="0"/>
    <n v="0"/>
    <x v="1"/>
    <n v="28"/>
    <x v="2"/>
    <x v="1"/>
    <n v="5"/>
    <n v="0"/>
    <n v="1.7960339943342777E-3"/>
    <n v="5.6292658034062637E-2"/>
    <n v="0"/>
    <n v="-1"/>
    <n v="0"/>
    <n v="0"/>
    <s v="25-34"/>
  </r>
  <r>
    <s v="TX0066"/>
    <n v="3212"/>
    <n v="0.19064"/>
    <x v="3"/>
    <n v="84.177000000000007"/>
    <n v="7.2270000000000003"/>
    <n v="0"/>
    <n v="0"/>
    <x v="4"/>
    <n v="19"/>
    <x v="1"/>
    <x v="2"/>
    <n v="1"/>
    <n v="0"/>
    <n v="2.637885706378857E-2"/>
    <n v="8.5854805944616697E-2"/>
    <n v="0"/>
    <n v="-1"/>
    <n v="0"/>
    <n v="0"/>
    <s v="18-24"/>
  </r>
  <r>
    <s v="TX0067"/>
    <n v="2262"/>
    <n v="3.3660000000000002E-2"/>
    <x v="3"/>
    <n v="94.828000000000003"/>
    <n v="5.2030000000000003"/>
    <n v="0"/>
    <n v="0"/>
    <x v="0"/>
    <n v="23"/>
    <x v="0"/>
    <x v="0"/>
    <n v="2"/>
    <n v="0"/>
    <n v="6.469344608879493E-3"/>
    <n v="5.4867760577044754E-2"/>
    <n v="0"/>
    <n v="-1"/>
    <n v="0"/>
    <n v="0"/>
    <s v="18-24"/>
  </r>
  <r>
    <s v="TX0068"/>
    <n v="1661"/>
    <n v="3.9879999999999999E-2"/>
    <x v="1"/>
    <n v="14.388999999999999"/>
    <n v="7.492"/>
    <n v="0"/>
    <n v="0"/>
    <x v="2"/>
    <n v="35"/>
    <x v="3"/>
    <x v="1"/>
    <n v="4"/>
    <n v="0"/>
    <n v="5.323011211959423E-3"/>
    <n v="0.52067551601918138"/>
    <n v="0"/>
    <n v="-1"/>
    <n v="0"/>
    <n v="0"/>
    <s v="35-44"/>
  </r>
  <r>
    <s v="TX0069"/>
    <n v="7913"/>
    <n v="1.6619999999999999E-2"/>
    <x v="3"/>
    <n v="44.219000000000001"/>
    <n v="8.2780000000000005"/>
    <n v="0"/>
    <n v="0"/>
    <x v="4"/>
    <n v="59"/>
    <x v="3"/>
    <x v="0"/>
    <s v="Nil"/>
    <n v="0"/>
    <n v="2.0077313360715148E-3"/>
    <n v="0.18720459530970851"/>
    <n v="0"/>
    <n v="-1"/>
    <n v="0"/>
    <n v="0"/>
    <s v="55+"/>
  </r>
  <r>
    <s v="TX0070"/>
    <n v="8841"/>
    <n v="1.346E-2"/>
    <x v="4"/>
    <n v="16.952999999999999"/>
    <n v="7.2149999999999999"/>
    <n v="0"/>
    <n v="0"/>
    <x v="0"/>
    <n v="44"/>
    <x v="3"/>
    <x v="3"/>
    <n v="4"/>
    <n v="0"/>
    <n v="1.8655578655578655E-3"/>
    <n v="0.42558839143514421"/>
    <n v="0"/>
    <n v="-1"/>
    <n v="0"/>
    <n v="0"/>
    <s v="35-44"/>
  </r>
  <r>
    <s v="TX0071"/>
    <n v="6353"/>
    <n v="0"/>
    <x v="5"/>
    <n v="48.883000000000003"/>
    <n v="9.4629999999999992"/>
    <n v="0.20038"/>
    <n v="1"/>
    <x v="1"/>
    <n v="33"/>
    <x v="1"/>
    <x v="4"/>
    <n v="4"/>
    <n v="0.10567473317129875"/>
    <n v="0"/>
    <n v="0.19358468179121574"/>
    <n v="0"/>
    <n v="0"/>
    <e v="#DIV/0!"/>
    <n v="2.1175103032864843E-2"/>
    <s v="25-34"/>
  </r>
  <r>
    <s v="TX0072"/>
    <n v="7772"/>
    <n v="2.7060000000000001E-2"/>
    <x v="0"/>
    <n v="41.05"/>
    <n v="9.7579999999999991"/>
    <n v="0.22267999999999999"/>
    <n v="1"/>
    <x v="1"/>
    <n v="46"/>
    <x v="3"/>
    <x v="2"/>
    <n v="5"/>
    <n v="0.10248001639680264"/>
    <n v="2.7731092436974795E-3"/>
    <n v="0.23771010962241168"/>
    <n v="2.7060000000000001E-2"/>
    <n v="7.2291204730229115"/>
    <n v="8.2291204730229115"/>
    <n v="2.2820250051240009E-2"/>
    <s v="45-54"/>
  </r>
  <r>
    <s v="TX0073"/>
    <n v="8643"/>
    <n v="1.6109999999999999E-2"/>
    <x v="0"/>
    <n v="65.012"/>
    <n v="8.5869999999999997"/>
    <n v="0"/>
    <n v="0"/>
    <x v="2"/>
    <n v="50"/>
    <x v="1"/>
    <x v="3"/>
    <n v="3"/>
    <n v="0"/>
    <n v="1.8760917666239664E-3"/>
    <n v="0.13208330769704055"/>
    <n v="0"/>
    <n v="-1"/>
    <n v="0"/>
    <n v="0"/>
    <s v="45-54"/>
  </r>
  <r>
    <s v="TX0074"/>
    <n v="4538"/>
    <n v="4.684E-2"/>
    <x v="3"/>
    <n v="87.99"/>
    <n v="1.1180000000000001"/>
    <n v="0"/>
    <n v="0"/>
    <x v="0"/>
    <n v="39"/>
    <x v="0"/>
    <x v="4"/>
    <n v="4"/>
    <n v="0"/>
    <n v="4.1896243291592125E-2"/>
    <n v="1.270598931696784E-2"/>
    <n v="0"/>
    <n v="-1"/>
    <n v="0"/>
    <n v="0"/>
    <s v="35-44"/>
  </r>
  <r>
    <s v="TX0075"/>
    <n v="4864"/>
    <n v="0.14438999999999999"/>
    <x v="4"/>
    <n v="35.043999999999997"/>
    <n v="6.6859999999999999"/>
    <n v="0"/>
    <n v="0"/>
    <x v="0"/>
    <n v="29"/>
    <x v="1"/>
    <x v="1"/>
    <n v="1"/>
    <n v="0"/>
    <n v="2.1595871971283279E-2"/>
    <n v="0.19078872274854469"/>
    <n v="0"/>
    <n v="-1"/>
    <n v="0"/>
    <n v="0"/>
    <s v="25-34"/>
  </r>
  <r>
    <s v="TX0076"/>
    <n v="7723"/>
    <n v="3.1040000000000002E-2"/>
    <x v="1"/>
    <n v="19.175999999999998"/>
    <n v="5.2119999999999997"/>
    <n v="0"/>
    <n v="0"/>
    <x v="1"/>
    <n v="43"/>
    <x v="1"/>
    <x v="1"/>
    <n v="4"/>
    <n v="0"/>
    <n v="5.9554873369148126E-3"/>
    <n v="0.27179808093450147"/>
    <n v="0"/>
    <n v="-1"/>
    <n v="0"/>
    <n v="0"/>
    <s v="35-44"/>
  </r>
  <r>
    <s v="TX0077"/>
    <n v="2487"/>
    <n v="6.6619999999999999E-2"/>
    <x v="1"/>
    <n v="51.246000000000002"/>
    <n v="0.73899999999999999"/>
    <n v="0"/>
    <n v="0"/>
    <x v="3"/>
    <n v="63"/>
    <x v="1"/>
    <x v="3"/>
    <n v="3"/>
    <n v="0"/>
    <n v="9.0148849797023006E-2"/>
    <n v="1.4420637708308941E-2"/>
    <n v="0"/>
    <n v="-1"/>
    <n v="0"/>
    <n v="0"/>
    <s v="55+"/>
  </r>
  <r>
    <s v="TX0078"/>
    <n v="6900"/>
    <n v="0"/>
    <x v="5"/>
    <n v="6.9109999999999996"/>
    <n v="0.69099999999999995"/>
    <n v="0.33585999999999999"/>
    <n v="1"/>
    <x v="2"/>
    <n v="63"/>
    <x v="2"/>
    <x v="3"/>
    <n v="4"/>
    <n v="1.4471780028943562"/>
    <n v="0"/>
    <n v="9.9985530313992182E-2"/>
    <n v="0"/>
    <n v="0"/>
    <e v="#DIV/0!"/>
    <n v="0.48604920405209845"/>
    <s v="55+"/>
  </r>
  <r>
    <s v="TX0079"/>
    <n v="8973"/>
    <n v="5.3099999999999996E-3"/>
    <x v="1"/>
    <n v="86.087999999999994"/>
    <n v="2.968"/>
    <n v="0.39207999999999998"/>
    <n v="1"/>
    <x v="4"/>
    <n v="21"/>
    <x v="2"/>
    <x v="0"/>
    <n v="5"/>
    <n v="0.33692722371967654"/>
    <n v="1.7890835579514824E-3"/>
    <n v="3.4476349781618808E-2"/>
    <n v="5.3099999999999996E-3"/>
    <n v="72.838041431261772"/>
    <n v="73.838041431261772"/>
    <n v="0.13210242587601079"/>
    <s v="18-24"/>
  </r>
  <r>
    <s v="TX0080"/>
    <n v="2476"/>
    <n v="0.19145000000000001"/>
    <x v="4"/>
    <n v="47.097999999999999"/>
    <n v="7.79"/>
    <n v="0.23691000000000001"/>
    <n v="1"/>
    <x v="2"/>
    <n v="61"/>
    <x v="0"/>
    <x v="3"/>
    <n v="1"/>
    <n v="0.12836970474967907"/>
    <n v="2.457637997432606E-2"/>
    <n v="0.16539980466261839"/>
    <n v="0.19145000000000001"/>
    <n v="0.23745103160094019"/>
    <n v="1.2374510316009402"/>
    <n v="3.0412066752246471E-2"/>
    <s v="55+"/>
  </r>
  <r>
    <s v="TX0081"/>
    <n v="6612"/>
    <n v="1.6879999999999999E-2"/>
    <x v="5"/>
    <n v="89.734999999999999"/>
    <n v="0.28499999999999998"/>
    <n v="0.43090000000000001"/>
    <n v="1"/>
    <x v="2"/>
    <n v="30"/>
    <x v="1"/>
    <x v="2"/>
    <n v="2"/>
    <n v="3.5087719298245617"/>
    <n v="5.9228070175438602E-2"/>
    <n v="3.1760182760349918E-3"/>
    <n v="1.6879999999999999E-2"/>
    <n v="24.527251184834125"/>
    <n v="25.527251184834125"/>
    <n v="1.5119298245614037"/>
    <s v="25-34"/>
  </r>
  <r>
    <s v="TX0082"/>
    <n v="1989"/>
    <n v="8.6980000000000002E-2"/>
    <x v="3"/>
    <n v="77.153000000000006"/>
    <n v="3.5190000000000001"/>
    <n v="0"/>
    <n v="0"/>
    <x v="2"/>
    <n v="46"/>
    <x v="3"/>
    <x v="2"/>
    <s v="Nil"/>
    <n v="0"/>
    <n v="2.4717249218527991E-2"/>
    <n v="4.5610669708242062E-2"/>
    <n v="0"/>
    <n v="-1"/>
    <n v="0"/>
    <n v="0"/>
    <s v="45-54"/>
  </r>
  <r>
    <s v="TX0083"/>
    <n v="9930"/>
    <n v="9.4820000000000002E-2"/>
    <x v="1"/>
    <n v="70.778000000000006"/>
    <n v="2.0209999999999999"/>
    <n v="0"/>
    <n v="0"/>
    <x v="0"/>
    <n v="42"/>
    <x v="1"/>
    <x v="4"/>
    <n v="2"/>
    <n v="0"/>
    <n v="4.6917367639782291E-2"/>
    <n v="2.8554070473876061E-2"/>
    <n v="0"/>
    <n v="-1"/>
    <n v="0"/>
    <n v="0"/>
    <s v="35-44"/>
  </r>
  <r>
    <s v="TX0084"/>
    <n v="5744"/>
    <n v="2.8799999999999999E-2"/>
    <x v="0"/>
    <n v="24.466999999999999"/>
    <n v="5.7409999999999997"/>
    <n v="0"/>
    <n v="0"/>
    <x v="3"/>
    <n v="59"/>
    <x v="0"/>
    <x v="0"/>
    <n v="5"/>
    <n v="0"/>
    <n v="5.0165476397840102E-3"/>
    <n v="0.2346425798013651"/>
    <n v="0"/>
    <n v="-1"/>
    <n v="0"/>
    <n v="0"/>
    <s v="55+"/>
  </r>
  <r>
    <s v="TX0085"/>
    <n v="3728"/>
    <n v="0"/>
    <x v="1"/>
    <n v="38.997"/>
    <n v="0"/>
    <n v="0.44424999999999998"/>
    <n v="1"/>
    <x v="3"/>
    <n v="61"/>
    <x v="2"/>
    <x v="2"/>
    <s v="Nil"/>
    <n v="0"/>
    <n v="0"/>
    <n v="0"/>
    <n v="0"/>
    <n v="0"/>
    <e v="#DIV/0!"/>
    <n v="0"/>
    <s v="55+"/>
  </r>
  <r>
    <s v="TX0086"/>
    <n v="9780"/>
    <n v="0.14243"/>
    <x v="1"/>
    <n v="38.223999999999997"/>
    <n v="9.2409999999999997"/>
    <n v="0"/>
    <n v="0"/>
    <x v="0"/>
    <n v="49"/>
    <x v="0"/>
    <x v="0"/>
    <s v="Nil"/>
    <n v="0"/>
    <n v="1.5412834108862678E-2"/>
    <n v="0.24175910422771035"/>
    <n v="0"/>
    <n v="-1"/>
    <n v="0"/>
    <n v="0"/>
    <s v="45-54"/>
  </r>
  <r>
    <s v="TX0087"/>
    <n v="3254"/>
    <n v="7.5179999999999997E-2"/>
    <x v="1"/>
    <n v="50.487000000000002"/>
    <n v="0"/>
    <n v="0"/>
    <n v="0"/>
    <x v="4"/>
    <n v="23"/>
    <x v="1"/>
    <x v="1"/>
    <s v="Nil"/>
    <n v="0"/>
    <n v="0"/>
    <n v="0"/>
    <n v="0"/>
    <n v="-1"/>
    <n v="0"/>
    <n v="0"/>
    <s v="18-24"/>
  </r>
  <r>
    <s v="TX0088"/>
    <n v="8631"/>
    <n v="0"/>
    <x v="2"/>
    <n v="6.3339999999999996"/>
    <n v="1.454"/>
    <n v="0"/>
    <n v="0"/>
    <x v="4"/>
    <n v="35"/>
    <x v="0"/>
    <x v="2"/>
    <n v="2"/>
    <n v="0"/>
    <n v="0"/>
    <n v="0.22955478370697821"/>
    <n v="0"/>
    <n v="0"/>
    <n v="0"/>
    <n v="0"/>
    <s v="35-44"/>
  </r>
  <r>
    <s v="TX0089"/>
    <n v="5610"/>
    <n v="8.0799999999999997E-2"/>
    <x v="1"/>
    <n v="29.065000000000001"/>
    <n v="8.032"/>
    <n v="0.42981999999999998"/>
    <n v="1"/>
    <x v="0"/>
    <n v="27"/>
    <x v="3"/>
    <x v="2"/>
    <n v="3"/>
    <n v="0.12450199203187251"/>
    <n v="1.0059760956175298E-2"/>
    <n v="0.27634612076380527"/>
    <n v="8.0799999999999997E-2"/>
    <n v="4.3195544554455445"/>
    <n v="5.3195544554455445"/>
    <n v="5.351344621513944E-2"/>
    <s v="25-34"/>
  </r>
  <r>
    <s v="TX0090"/>
    <n v="6462"/>
    <n v="1.465E-2"/>
    <x v="0"/>
    <n v="25.59"/>
    <n v="5.5789999999999997"/>
    <n v="0"/>
    <n v="0"/>
    <x v="2"/>
    <n v="38"/>
    <x v="2"/>
    <x v="0"/>
    <n v="5"/>
    <n v="0"/>
    <n v="2.6259186234092132E-3"/>
    <n v="0.21801484955060568"/>
    <n v="0"/>
    <n v="-1"/>
    <n v="0"/>
    <n v="0"/>
    <s v="35-44"/>
  </r>
  <r>
    <s v="TX0091"/>
    <n v="6265"/>
    <n v="0"/>
    <x v="0"/>
    <n v="80.911000000000001"/>
    <n v="4.6449999999999996"/>
    <n v="0"/>
    <n v="1"/>
    <x v="4"/>
    <n v="41"/>
    <x v="3"/>
    <x v="4"/>
    <n v="4"/>
    <n v="0.21528525296017226"/>
    <n v="0"/>
    <n v="5.7408757770884049E-2"/>
    <n v="0"/>
    <n v="0"/>
    <n v="0"/>
    <n v="0"/>
    <s v="35-44"/>
  </r>
  <r>
    <s v="TX0092"/>
    <n v="8850"/>
    <n v="7.3749999999999996E-2"/>
    <x v="0"/>
    <n v="48.822000000000003"/>
    <n v="7.3620000000000001"/>
    <n v="0"/>
    <n v="0"/>
    <x v="1"/>
    <n v="48"/>
    <x v="3"/>
    <x v="3"/>
    <n v="3"/>
    <n v="0"/>
    <n v="1.0017658245042107E-2"/>
    <n v="0.15079267543320635"/>
    <n v="0"/>
    <n v="-1"/>
    <n v="0"/>
    <n v="0"/>
    <s v="45-54"/>
  </r>
  <r>
    <s v="TX0093"/>
    <n v="9766"/>
    <n v="0.17874000000000001"/>
    <x v="1"/>
    <n v="18.608000000000001"/>
    <n v="5.08"/>
    <n v="0.41282999999999997"/>
    <n v="1"/>
    <x v="2"/>
    <n v="44"/>
    <x v="3"/>
    <x v="0"/>
    <n v="3"/>
    <n v="0.19685039370078738"/>
    <n v="3.518503937007874E-2"/>
    <n v="0.27300085984522787"/>
    <n v="0.17874000000000001"/>
    <n v="1.3096676737160118"/>
    <n v="2.309667673716012"/>
    <n v="8.1265748031496055E-2"/>
    <s v="35-44"/>
  </r>
  <r>
    <s v="TX0094"/>
    <n v="5382"/>
    <n v="1.5140000000000001E-2"/>
    <x v="5"/>
    <n v="67.063000000000002"/>
    <n v="8.7260000000000009"/>
    <n v="0"/>
    <n v="0"/>
    <x v="3"/>
    <n v="48"/>
    <x v="2"/>
    <x v="1"/>
    <n v="2"/>
    <n v="0"/>
    <n v="1.7350446940178775E-3"/>
    <n v="0.13011645765921598"/>
    <n v="0"/>
    <n v="-1"/>
    <n v="0"/>
    <n v="0"/>
    <s v="45-54"/>
  </r>
  <r>
    <s v="TX0095"/>
    <n v="1764"/>
    <n v="5.8199999999999997E-3"/>
    <x v="0"/>
    <n v="29.298999999999999"/>
    <n v="3.431"/>
    <n v="0"/>
    <n v="0"/>
    <x v="1"/>
    <n v="20"/>
    <x v="2"/>
    <x v="0"/>
    <n v="3"/>
    <n v="0"/>
    <n v="1.6962984552608567E-3"/>
    <n v="0.11710297279770641"/>
    <n v="0"/>
    <n v="-1"/>
    <n v="0"/>
    <n v="0"/>
    <s v="18-24"/>
  </r>
  <r>
    <s v="TX0096"/>
    <n v="5649"/>
    <n v="0.14102999999999999"/>
    <x v="3"/>
    <n v="4.5599999999999996"/>
    <n v="2.6150000000000002"/>
    <n v="0"/>
    <n v="0"/>
    <x v="2"/>
    <n v="27"/>
    <x v="2"/>
    <x v="3"/>
    <n v="5"/>
    <n v="0"/>
    <n v="5.3931166347992346E-2"/>
    <n v="0.57346491228070184"/>
    <n v="0"/>
    <n v="-1"/>
    <n v="0"/>
    <n v="0"/>
    <s v="25-34"/>
  </r>
  <r>
    <s v="TX0097"/>
    <n v="4588"/>
    <n v="0"/>
    <x v="3"/>
    <n v="18.396000000000001"/>
    <n v="0.224"/>
    <n v="6.7729999999999999E-2"/>
    <n v="1"/>
    <x v="4"/>
    <n v="58"/>
    <x v="1"/>
    <x v="0"/>
    <n v="1"/>
    <n v="4.4642857142857144"/>
    <n v="0"/>
    <n v="1.2176560121765601E-2"/>
    <n v="0"/>
    <n v="0"/>
    <e v="#DIV/0!"/>
    <n v="0.30236607142857141"/>
    <s v="55+"/>
  </r>
  <r>
    <s v="TX0098"/>
    <n v="5271"/>
    <n v="0.19897999999999999"/>
    <x v="0"/>
    <n v="78.697999999999993"/>
    <n v="8.7040000000000006"/>
    <n v="0"/>
    <n v="0"/>
    <x v="1"/>
    <n v="63"/>
    <x v="2"/>
    <x v="1"/>
    <n v="5"/>
    <n v="0"/>
    <n v="2.2860753676470585E-2"/>
    <n v="0.11060001524816389"/>
    <n v="0"/>
    <n v="-1"/>
    <n v="0"/>
    <n v="0"/>
    <s v="55+"/>
  </r>
  <r>
    <s v="TX0099"/>
    <n v="4897"/>
    <n v="9.0459999999999999E-2"/>
    <x v="3"/>
    <n v="75.11"/>
    <n v="6.7560000000000002"/>
    <n v="0.49680999999999997"/>
    <n v="1"/>
    <x v="3"/>
    <n v="64"/>
    <x v="2"/>
    <x v="0"/>
    <n v="4"/>
    <n v="0.14801657785671996"/>
    <n v="1.3389579632918886E-2"/>
    <n v="8.9948076154972717E-2"/>
    <n v="9.0459999999999999E-2"/>
    <n v="4.4920406809639619"/>
    <n v="5.4920406809639619"/>
    <n v="7.3536116044997032E-2"/>
    <s v="55+"/>
  </r>
  <r>
    <s v="TX0100"/>
    <n v="4975"/>
    <n v="0.18124000000000001"/>
    <x v="3"/>
    <n v="48.579000000000001"/>
    <n v="8.2029999999999994"/>
    <n v="0"/>
    <n v="0"/>
    <x v="4"/>
    <n v="65"/>
    <x v="0"/>
    <x v="3"/>
    <n v="3"/>
    <n v="0"/>
    <n v="2.2094355723515788E-2"/>
    <n v="0.16885897198377897"/>
    <n v="0"/>
    <n v="-1"/>
    <n v="0"/>
    <n v="0"/>
    <s v="55+"/>
  </r>
  <r>
    <s v="TX0101"/>
    <n v="5534"/>
    <n v="0"/>
    <x v="3"/>
    <n v="16.815999999999999"/>
    <n v="7.7220000000000004"/>
    <n v="0"/>
    <n v="0"/>
    <x v="2"/>
    <n v="21"/>
    <x v="3"/>
    <x v="4"/>
    <n v="5"/>
    <n v="0"/>
    <n v="0"/>
    <n v="0.45920551855375835"/>
    <n v="0"/>
    <n v="0"/>
    <n v="0"/>
    <n v="0"/>
    <s v="18-24"/>
  </r>
  <r>
    <s v="TX0102"/>
    <n v="5636"/>
    <n v="0"/>
    <x v="1"/>
    <n v="21.103999999999999"/>
    <n v="9.1310000000000002"/>
    <n v="0"/>
    <n v="0"/>
    <x v="3"/>
    <n v="28"/>
    <x v="1"/>
    <x v="2"/>
    <n v="3"/>
    <n v="0"/>
    <n v="0"/>
    <n v="0.43266679302501898"/>
    <n v="0"/>
    <n v="0"/>
    <n v="0"/>
    <n v="0"/>
    <s v="25-34"/>
  </r>
  <r>
    <s v="TX0103"/>
    <n v="3643"/>
    <n v="0.19671"/>
    <x v="1"/>
    <n v="32.94"/>
    <n v="4.0750000000000002"/>
    <n v="0.33706999999999998"/>
    <n v="1"/>
    <x v="0"/>
    <n v="33"/>
    <x v="0"/>
    <x v="2"/>
    <s v="Nil"/>
    <n v="0.24539877300613497"/>
    <n v="4.8272392638036808E-2"/>
    <n v="0.12370977534911963"/>
    <n v="0.19671"/>
    <n v="0.71353769508413389"/>
    <n v="1.7135376950841339"/>
    <n v="8.271656441717791E-2"/>
    <s v="25-34"/>
  </r>
  <r>
    <s v="TX0104"/>
    <n v="1223"/>
    <n v="5.1619999999999999E-2"/>
    <x v="5"/>
    <n v="6.1079999999999997"/>
    <n v="4.07"/>
    <n v="0"/>
    <n v="0"/>
    <x v="0"/>
    <n v="32"/>
    <x v="2"/>
    <x v="3"/>
    <n v="3"/>
    <n v="0"/>
    <n v="1.2683046683046682E-2"/>
    <n v="0.66633922724296013"/>
    <n v="0"/>
    <n v="-1"/>
    <n v="0"/>
    <n v="0"/>
    <s v="25-34"/>
  </r>
  <r>
    <s v="TX0105"/>
    <n v="4191"/>
    <n v="9.7269999999999995E-2"/>
    <x v="2"/>
    <n v="74.138000000000005"/>
    <n v="0.51300000000000001"/>
    <n v="0"/>
    <n v="0"/>
    <x v="5"/>
    <n v="65"/>
    <x v="0"/>
    <x v="3"/>
    <n v="5"/>
    <n v="0"/>
    <n v="0.1896101364522417"/>
    <n v="6.9195284469502818E-3"/>
    <n v="0"/>
    <n v="-1"/>
    <n v="0"/>
    <n v="0"/>
    <s v="55+"/>
  </r>
  <r>
    <s v="TX0106"/>
    <n v="1889"/>
    <n v="0.17538000000000001"/>
    <x v="0"/>
    <n v="43.067999999999998"/>
    <n v="0"/>
    <n v="0"/>
    <n v="0"/>
    <x v="1"/>
    <n v="55"/>
    <x v="2"/>
    <x v="0"/>
    <n v="4"/>
    <n v="0"/>
    <n v="0"/>
    <n v="0"/>
    <n v="0"/>
    <n v="-1"/>
    <n v="0"/>
    <n v="0"/>
    <s v="55+"/>
  </r>
  <r>
    <s v="TX0107"/>
    <n v="4021"/>
    <n v="0.14115"/>
    <x v="2"/>
    <n v="43.73"/>
    <n v="0.46400000000000002"/>
    <n v="0.16256000000000001"/>
    <n v="1"/>
    <x v="1"/>
    <n v="65"/>
    <x v="2"/>
    <x v="2"/>
    <s v="Nil"/>
    <n v="2.1551724137931032"/>
    <n v="0.30420258620689655"/>
    <n v="1.0610564829636406E-2"/>
    <n v="0.14115"/>
    <n v="0.15168260715550841"/>
    <n v="1.1516826071555084"/>
    <n v="0.35034482758620689"/>
    <s v="55+"/>
  </r>
  <r>
    <s v="TX0108"/>
    <n v="7628"/>
    <n v="0"/>
    <x v="3"/>
    <n v="62.168999999999997"/>
    <n v="4.4029999999999996"/>
    <n v="0"/>
    <n v="0"/>
    <x v="4"/>
    <n v="59"/>
    <x v="2"/>
    <x v="0"/>
    <n v="5"/>
    <n v="0"/>
    <n v="0"/>
    <n v="7.0823079026524474E-2"/>
    <n v="0"/>
    <n v="0"/>
    <n v="0"/>
    <n v="0"/>
    <s v="55+"/>
  </r>
  <r>
    <s v="TX0109"/>
    <n v="3706"/>
    <n v="3.7010000000000001E-2"/>
    <x v="5"/>
    <n v="79.588999999999999"/>
    <n v="4.0119999999999996"/>
    <n v="0"/>
    <n v="0"/>
    <x v="1"/>
    <n v="41"/>
    <x v="3"/>
    <x v="2"/>
    <n v="5"/>
    <n v="0"/>
    <n v="9.2248255234297118E-3"/>
    <n v="5.0408976114789728E-2"/>
    <n v="0"/>
    <n v="-1"/>
    <n v="0"/>
    <n v="0"/>
    <s v="35-44"/>
  </r>
  <r>
    <s v="TX0110"/>
    <n v="4110"/>
    <n v="0"/>
    <x v="5"/>
    <n v="24.378"/>
    <n v="5.2569999999999997"/>
    <n v="0"/>
    <n v="0"/>
    <x v="1"/>
    <n v="65"/>
    <x v="2"/>
    <x v="4"/>
    <s v="Nil"/>
    <n v="0"/>
    <n v="0"/>
    <n v="0.21564525391746656"/>
    <n v="0"/>
    <n v="0"/>
    <n v="0"/>
    <n v="0"/>
    <s v="55+"/>
  </r>
  <r>
    <s v="TX0111"/>
    <n v="1720"/>
    <n v="0.14901"/>
    <x v="2"/>
    <n v="44.683"/>
    <n v="4.383"/>
    <n v="0"/>
    <n v="0"/>
    <x v="1"/>
    <n v="64"/>
    <x v="2"/>
    <x v="4"/>
    <n v="1"/>
    <n v="0"/>
    <n v="3.3997262149212872E-2"/>
    <n v="9.8090996575878969E-2"/>
    <n v="0"/>
    <n v="-1"/>
    <n v="0"/>
    <n v="0"/>
    <s v="55+"/>
  </r>
  <r>
    <s v="TX0112"/>
    <n v="4624"/>
    <n v="2.383E-2"/>
    <x v="0"/>
    <n v="76.795000000000002"/>
    <n v="3.8180000000000001"/>
    <n v="0.18884000000000001"/>
    <n v="1"/>
    <x v="4"/>
    <n v="31"/>
    <x v="2"/>
    <x v="1"/>
    <n v="4"/>
    <n v="0.26191723415400731"/>
    <n v="6.2414876898899945E-3"/>
    <n v="4.97167784360961E-2"/>
    <n v="2.383E-2"/>
    <n v="6.9244649601342854"/>
    <n v="7.9244649601342845"/>
    <n v="4.9460450497642749E-2"/>
    <s v="25-34"/>
  </r>
  <r>
    <s v="TX0113"/>
    <n v="1553"/>
    <n v="7.8600000000000007E-3"/>
    <x v="0"/>
    <n v="17.779"/>
    <n v="8.4700000000000006"/>
    <n v="0"/>
    <n v="0"/>
    <x v="1"/>
    <n v="41"/>
    <x v="0"/>
    <x v="2"/>
    <n v="4"/>
    <n v="0"/>
    <n v="9.2798110979929165E-4"/>
    <n v="0.47640474717363185"/>
    <n v="0"/>
    <n v="-1"/>
    <n v="0"/>
    <n v="0"/>
    <s v="35-44"/>
  </r>
  <r>
    <s v="TX0114"/>
    <n v="6799"/>
    <n v="0.11044"/>
    <x v="4"/>
    <n v="90.061000000000007"/>
    <n v="0"/>
    <n v="0"/>
    <n v="0"/>
    <x v="2"/>
    <n v="32"/>
    <x v="0"/>
    <x v="2"/>
    <n v="3"/>
    <n v="0"/>
    <n v="0"/>
    <n v="0"/>
    <n v="0"/>
    <n v="-1"/>
    <n v="0"/>
    <n v="0"/>
    <s v="25-34"/>
  </r>
  <r>
    <s v="TX0115"/>
    <n v="9919"/>
    <n v="8.3339999999999997E-2"/>
    <x v="0"/>
    <n v="16.512"/>
    <n v="9.3680000000000003"/>
    <n v="0.18431"/>
    <n v="1"/>
    <x v="4"/>
    <n v="60"/>
    <x v="1"/>
    <x v="3"/>
    <n v="5"/>
    <n v="0.1067463706233988"/>
    <n v="8.8962425277540561E-3"/>
    <n v="0.56734496124031009"/>
    <n v="8.3339999999999997E-2"/>
    <n v="1.2115430765538757"/>
    <n v="2.2115430765538759"/>
    <n v="1.9674423569598632E-2"/>
    <s v="55+"/>
  </r>
  <r>
    <s v="TX0116"/>
    <n v="9924"/>
    <n v="4.1119999999999997E-2"/>
    <x v="4"/>
    <n v="19.559999999999999"/>
    <n v="7.9930000000000003"/>
    <n v="0"/>
    <n v="0"/>
    <x v="5"/>
    <n v="41"/>
    <x v="0"/>
    <x v="4"/>
    <n v="3"/>
    <n v="0"/>
    <n v="5.1445014387589139E-3"/>
    <n v="0.40864008179959105"/>
    <n v="0"/>
    <n v="-1"/>
    <n v="0"/>
    <n v="0"/>
    <s v="35-44"/>
  </r>
  <r>
    <s v="TX0117"/>
    <n v="5979"/>
    <n v="0.16542999999999999"/>
    <x v="1"/>
    <n v="40.396000000000001"/>
    <n v="0"/>
    <n v="0"/>
    <n v="0"/>
    <x v="2"/>
    <n v="63"/>
    <x v="2"/>
    <x v="0"/>
    <n v="1"/>
    <n v="0"/>
    <n v="0"/>
    <n v="0"/>
    <n v="0"/>
    <n v="-1"/>
    <n v="0"/>
    <n v="0"/>
    <s v="55+"/>
  </r>
  <r>
    <s v="TX0118"/>
    <n v="4760"/>
    <n v="4.36E-2"/>
    <x v="5"/>
    <n v="21.367000000000001"/>
    <n v="8.0449999999999999"/>
    <n v="0"/>
    <n v="0"/>
    <x v="4"/>
    <n v="43"/>
    <x v="2"/>
    <x v="2"/>
    <s v="Nil"/>
    <n v="0"/>
    <n v="5.4195152268489743E-3"/>
    <n v="0.37651518697056208"/>
    <n v="0"/>
    <n v="-1"/>
    <n v="0"/>
    <n v="0"/>
    <s v="35-44"/>
  </r>
  <r>
    <s v="TX0119"/>
    <n v="5079"/>
    <n v="3.1179999999999999E-2"/>
    <x v="2"/>
    <n v="50.914999999999999"/>
    <n v="6.7869999999999999"/>
    <n v="0.18306"/>
    <n v="1"/>
    <x v="1"/>
    <n v="20"/>
    <x v="1"/>
    <x v="2"/>
    <n v="3"/>
    <n v="0.14734050390452336"/>
    <n v="4.5940769117430377E-3"/>
    <n v="0.13330059903761171"/>
    <n v="3.1179999999999999E-2"/>
    <n v="4.8710711994868507"/>
    <n v="5.8710711994868507"/>
    <n v="2.6972152644762045E-2"/>
    <s v="18-24"/>
  </r>
  <r>
    <s v="TX0120"/>
    <n v="4015"/>
    <n v="0"/>
    <x v="4"/>
    <n v="44.328000000000003"/>
    <n v="6.9349999999999996"/>
    <n v="0"/>
    <n v="0"/>
    <x v="0"/>
    <n v="29"/>
    <x v="1"/>
    <x v="1"/>
    <n v="2"/>
    <n v="0"/>
    <n v="0"/>
    <n v="0.15644739216747877"/>
    <n v="0"/>
    <n v="0"/>
    <n v="0"/>
    <n v="0"/>
    <s v="25-34"/>
  </r>
  <r>
    <s v="TX0121"/>
    <n v="7340"/>
    <n v="6.3079999999999997E-2"/>
    <x v="5"/>
    <n v="32.024999999999999"/>
    <n v="8.9139999999999997"/>
    <n v="0"/>
    <n v="0"/>
    <x v="3"/>
    <n v="35"/>
    <x v="2"/>
    <x v="2"/>
    <n v="4"/>
    <n v="0"/>
    <n v="7.0765088624635403E-3"/>
    <n v="0.2783450429352069"/>
    <n v="0"/>
    <n v="-1"/>
    <n v="0"/>
    <n v="0"/>
    <s v="35-44"/>
  </r>
  <r>
    <s v="TX0122"/>
    <n v="1357"/>
    <n v="0.10808"/>
    <x v="2"/>
    <n v="41.119"/>
    <n v="2.6850000000000001"/>
    <n v="0"/>
    <n v="0"/>
    <x v="0"/>
    <n v="40"/>
    <x v="0"/>
    <x v="2"/>
    <n v="5"/>
    <n v="0"/>
    <n v="4.0253258845437616E-2"/>
    <n v="6.5298280600209146E-2"/>
    <n v="0"/>
    <n v="-1"/>
    <n v="0"/>
    <n v="0"/>
    <s v="35-44"/>
  </r>
  <r>
    <s v="TX0123"/>
    <n v="5204"/>
    <n v="4.4909999999999999E-2"/>
    <x v="2"/>
    <n v="55.911000000000001"/>
    <n v="4.4359999999999999"/>
    <n v="0"/>
    <n v="0"/>
    <x v="3"/>
    <n v="20"/>
    <x v="2"/>
    <x v="3"/>
    <n v="4"/>
    <n v="0"/>
    <n v="1.0123985572587917E-2"/>
    <n v="7.9340380247178544E-2"/>
    <n v="0"/>
    <n v="-1"/>
    <n v="0"/>
    <n v="0"/>
    <s v="18-24"/>
  </r>
  <r>
    <s v="TX0124"/>
    <n v="4691"/>
    <n v="0"/>
    <x v="3"/>
    <n v="61.133000000000003"/>
    <n v="6.9459999999999997"/>
    <n v="0"/>
    <n v="1"/>
    <x v="2"/>
    <n v="57"/>
    <x v="2"/>
    <x v="2"/>
    <n v="5"/>
    <n v="0.1439677512237259"/>
    <n v="0"/>
    <n v="0.11362112116205648"/>
    <n v="0"/>
    <n v="0"/>
    <n v="0"/>
    <n v="0"/>
    <s v="55+"/>
  </r>
  <r>
    <s v="TX0125"/>
    <n v="2532"/>
    <n v="5.8180000000000003E-2"/>
    <x v="4"/>
    <n v="73.025000000000006"/>
    <n v="6.2290000000000001"/>
    <n v="0"/>
    <n v="0"/>
    <x v="3"/>
    <n v="60"/>
    <x v="1"/>
    <x v="2"/>
    <n v="2"/>
    <n v="0"/>
    <n v="9.3401830149301649E-3"/>
    <n v="8.5299554946935974E-2"/>
    <n v="0"/>
    <n v="-1"/>
    <n v="0"/>
    <n v="0"/>
    <s v="55+"/>
  </r>
  <r>
    <s v="TX0126"/>
    <n v="1415"/>
    <n v="0"/>
    <x v="0"/>
    <n v="77.507000000000005"/>
    <n v="4.819"/>
    <n v="0.47863"/>
    <n v="1"/>
    <x v="4"/>
    <n v="60"/>
    <x v="3"/>
    <x v="4"/>
    <s v="Nil"/>
    <n v="0.20751193193608633"/>
    <n v="0"/>
    <n v="6.2175029352187543E-2"/>
    <n v="0"/>
    <n v="0"/>
    <e v="#DIV/0!"/>
    <n v="9.9321435982568998E-2"/>
    <s v="55+"/>
  </r>
  <r>
    <s v="TX0127"/>
    <n v="3473"/>
    <n v="0.14985999999999999"/>
    <x v="2"/>
    <n v="46.509"/>
    <n v="3.298"/>
    <n v="0"/>
    <n v="0"/>
    <x v="2"/>
    <n v="41"/>
    <x v="0"/>
    <x v="3"/>
    <n v="2"/>
    <n v="0"/>
    <n v="4.5439660400242568E-2"/>
    <n v="7.0911006471865656E-2"/>
    <n v="0"/>
    <n v="-1"/>
    <n v="0"/>
    <n v="0"/>
    <s v="35-44"/>
  </r>
  <r>
    <s v="TX0128"/>
    <n v="5278"/>
    <n v="7.11E-3"/>
    <x v="0"/>
    <n v="44.378"/>
    <n v="7.4509999999999996"/>
    <n v="0.44323000000000001"/>
    <n v="1"/>
    <x v="2"/>
    <n v="44"/>
    <x v="3"/>
    <x v="0"/>
    <n v="5"/>
    <n v="0.13421017313112335"/>
    <n v="9.5423433096228697E-4"/>
    <n v="0.16789850826986344"/>
    <n v="7.11E-3"/>
    <n v="61.338959212376935"/>
    <n v="62.338959212376935"/>
    <n v="5.94859750369078E-2"/>
    <s v="35-44"/>
  </r>
  <r>
    <s v="TX0129"/>
    <n v="6810"/>
    <n v="3.0159999999999999E-2"/>
    <x v="2"/>
    <n v="15.093"/>
    <n v="3.0870000000000002"/>
    <n v="0.36876999999999999"/>
    <n v="1"/>
    <x v="2"/>
    <n v="48"/>
    <x v="0"/>
    <x v="4"/>
    <n v="5"/>
    <n v="0.32393909944930349"/>
    <n v="9.7700032393909942E-3"/>
    <n v="0.20453190220632084"/>
    <n v="3.0159999999999999E-2"/>
    <n v="11.227122015915118"/>
    <n v="12.227122015915119"/>
    <n v="0.11945902170391966"/>
    <s v="45-54"/>
  </r>
  <r>
    <s v="TX0130"/>
    <n v="6605"/>
    <n v="7.3480000000000004E-2"/>
    <x v="1"/>
    <n v="58.244"/>
    <n v="2.5049999999999999"/>
    <n v="0"/>
    <n v="0"/>
    <x v="3"/>
    <n v="28"/>
    <x v="2"/>
    <x v="0"/>
    <n v="4"/>
    <n v="0"/>
    <n v="2.9333333333333336E-2"/>
    <n v="4.3008721928438978E-2"/>
    <n v="0"/>
    <n v="-1"/>
    <n v="0"/>
    <n v="0"/>
    <s v="25-34"/>
  </r>
  <r>
    <s v="TX0131"/>
    <n v="8229"/>
    <n v="0"/>
    <x v="5"/>
    <n v="45.915999999999997"/>
    <n v="0.54500000000000004"/>
    <n v="0"/>
    <n v="0"/>
    <x v="2"/>
    <n v="25"/>
    <x v="3"/>
    <x v="0"/>
    <n v="2"/>
    <n v="0"/>
    <n v="0"/>
    <n v="1.1869500827598224E-2"/>
    <n v="0"/>
    <n v="0"/>
    <n v="0"/>
    <n v="0"/>
    <s v="25-34"/>
  </r>
  <r>
    <s v="TX0132"/>
    <n v="2644"/>
    <n v="4.2709999999999998E-2"/>
    <x v="1"/>
    <n v="6.8289999999999997"/>
    <n v="1.0940000000000001"/>
    <n v="0"/>
    <n v="0"/>
    <x v="3"/>
    <n v="42"/>
    <x v="1"/>
    <x v="2"/>
    <n v="4"/>
    <n v="0"/>
    <n v="3.9040219378427783E-2"/>
    <n v="0.16019915068091964"/>
    <n v="0"/>
    <n v="-1"/>
    <n v="0"/>
    <n v="0"/>
    <s v="35-44"/>
  </r>
  <r>
    <s v="TX0133"/>
    <n v="3543"/>
    <n v="0.14862"/>
    <x v="3"/>
    <n v="84.146000000000001"/>
    <n v="9.9239999999999995"/>
    <n v="0"/>
    <n v="0"/>
    <x v="4"/>
    <n v="21"/>
    <x v="0"/>
    <x v="1"/>
    <n v="1"/>
    <n v="0"/>
    <n v="1.4975816203143895E-2"/>
    <n v="0.11793786989280536"/>
    <n v="0"/>
    <n v="-1"/>
    <n v="0"/>
    <n v="0"/>
    <s v="18-24"/>
  </r>
  <r>
    <s v="TX0134"/>
    <n v="5826"/>
    <n v="0.14363999999999999"/>
    <x v="1"/>
    <n v="73.027000000000001"/>
    <n v="9.1969999999999992"/>
    <n v="0"/>
    <n v="0"/>
    <x v="2"/>
    <n v="23"/>
    <x v="2"/>
    <x v="2"/>
    <n v="1"/>
    <n v="0"/>
    <n v="1.5618136348809394E-2"/>
    <n v="0.12593972092513728"/>
    <n v="0"/>
    <n v="-1"/>
    <n v="0"/>
    <n v="0"/>
    <s v="18-24"/>
  </r>
  <r>
    <s v="TX0135"/>
    <n v="5133"/>
    <n v="0.18160000000000001"/>
    <x v="1"/>
    <n v="56.987000000000002"/>
    <n v="5.4740000000000002"/>
    <n v="0"/>
    <n v="0"/>
    <x v="2"/>
    <n v="29"/>
    <x v="0"/>
    <x v="2"/>
    <n v="3"/>
    <n v="0"/>
    <n v="3.3175009134088419E-2"/>
    <n v="9.6056995455103794E-2"/>
    <n v="0"/>
    <n v="-1"/>
    <n v="0"/>
    <n v="0"/>
    <s v="25-34"/>
  </r>
  <r>
    <s v="TX0136"/>
    <n v="9016"/>
    <n v="0.19384000000000001"/>
    <x v="4"/>
    <n v="1.512"/>
    <n v="7.2560000000000002"/>
    <n v="0"/>
    <n v="0"/>
    <x v="0"/>
    <n v="56"/>
    <x v="2"/>
    <x v="3"/>
    <n v="3"/>
    <n v="0"/>
    <n v="2.6714443219404631E-2"/>
    <n v="4.7989417989417991"/>
    <n v="0"/>
    <n v="-1"/>
    <n v="0"/>
    <n v="0"/>
    <s v="55+"/>
  </r>
  <r>
    <s v="TX0137"/>
    <n v="4252"/>
    <n v="0.18753"/>
    <x v="4"/>
    <n v="74.680000000000007"/>
    <n v="3.363"/>
    <n v="0"/>
    <n v="1"/>
    <x v="0"/>
    <n v="56"/>
    <x v="3"/>
    <x v="1"/>
    <n v="3"/>
    <n v="0.29735355337496283"/>
    <n v="5.5762711864406782E-2"/>
    <n v="4.5032137118371715E-2"/>
    <n v="0.18753"/>
    <n v="-1"/>
    <n v="0"/>
    <n v="0"/>
    <s v="55+"/>
  </r>
  <r>
    <s v="TX0138"/>
    <n v="7601"/>
    <n v="5.985E-2"/>
    <x v="2"/>
    <n v="97.275999999999996"/>
    <n v="0"/>
    <n v="0.20618"/>
    <n v="1"/>
    <x v="2"/>
    <n v="32"/>
    <x v="0"/>
    <x v="0"/>
    <n v="1"/>
    <n v="0"/>
    <n v="0"/>
    <n v="0"/>
    <n v="5.985E-2"/>
    <n v="2.444945697577277"/>
    <n v="3.4449456975772765"/>
    <n v="0"/>
    <s v="25-34"/>
  </r>
  <r>
    <s v="TX0139"/>
    <n v="3065"/>
    <n v="0"/>
    <x v="0"/>
    <n v="4.8630000000000004"/>
    <n v="6.5709999999999997"/>
    <n v="0"/>
    <n v="0"/>
    <x v="4"/>
    <n v="41"/>
    <x v="2"/>
    <x v="0"/>
    <n v="5"/>
    <n v="0"/>
    <n v="0"/>
    <n v="1.3512235245733084"/>
    <n v="0"/>
    <n v="0"/>
    <n v="0"/>
    <n v="0"/>
    <s v="35-44"/>
  </r>
  <r>
    <s v="TX0140"/>
    <n v="8951"/>
    <n v="3.0859999999999999E-2"/>
    <x v="3"/>
    <n v="6.8410000000000002"/>
    <n v="1.992"/>
    <n v="0.18473999999999999"/>
    <n v="1"/>
    <x v="3"/>
    <n v="46"/>
    <x v="3"/>
    <x v="3"/>
    <n v="5"/>
    <n v="0.50200803212851408"/>
    <n v="1.5491967871485943E-2"/>
    <n v="0.29118549919602399"/>
    <n v="3.0859999999999999E-2"/>
    <n v="4.9863901490602718"/>
    <n v="5.9863901490602718"/>
    <n v="9.2740963855421688E-2"/>
    <s v="45-54"/>
  </r>
  <r>
    <s v="TX0141"/>
    <n v="4444"/>
    <n v="0.14273"/>
    <x v="0"/>
    <n v="35.039000000000001"/>
    <n v="0.4"/>
    <n v="0"/>
    <n v="0"/>
    <x v="1"/>
    <n v="36"/>
    <x v="3"/>
    <x v="4"/>
    <n v="5"/>
    <n v="0"/>
    <n v="0.35682499999999995"/>
    <n v="1.1415850908987129E-2"/>
    <n v="0"/>
    <n v="-1"/>
    <n v="0"/>
    <n v="0"/>
    <s v="35-44"/>
  </r>
  <r>
    <s v="TX0142"/>
    <n v="5831"/>
    <n v="8.6580000000000004E-2"/>
    <x v="4"/>
    <n v="14.395"/>
    <n v="8.0869999999999997"/>
    <n v="0"/>
    <n v="0"/>
    <x v="3"/>
    <n v="47"/>
    <x v="0"/>
    <x v="0"/>
    <n v="3"/>
    <n v="0"/>
    <n v="1.0706071472734018E-2"/>
    <n v="0.56179228898923239"/>
    <n v="0"/>
    <n v="-1"/>
    <n v="0"/>
    <n v="0"/>
    <s v="45-54"/>
  </r>
  <r>
    <s v="TX0143"/>
    <n v="5161"/>
    <n v="0"/>
    <x v="0"/>
    <n v="91.072999999999993"/>
    <n v="1.119"/>
    <n v="0"/>
    <n v="0"/>
    <x v="0"/>
    <n v="41"/>
    <x v="0"/>
    <x v="0"/>
    <n v="2"/>
    <n v="0"/>
    <n v="0"/>
    <n v="1.2286846815192209E-2"/>
    <n v="0"/>
    <n v="0"/>
    <n v="0"/>
    <n v="0"/>
    <s v="35-44"/>
  </r>
  <r>
    <s v="TX0144"/>
    <n v="9632"/>
    <n v="0"/>
    <x v="1"/>
    <n v="55.366"/>
    <n v="7.0090000000000003"/>
    <n v="0"/>
    <n v="0"/>
    <x v="1"/>
    <n v="41"/>
    <x v="1"/>
    <x v="4"/>
    <n v="3"/>
    <n v="0"/>
    <n v="0"/>
    <n v="0.12659393851822417"/>
    <n v="0"/>
    <n v="0"/>
    <n v="0"/>
    <n v="0"/>
    <s v="35-44"/>
  </r>
  <r>
    <s v="TX0145"/>
    <n v="8282"/>
    <n v="5.3379999999999997E-2"/>
    <x v="4"/>
    <n v="94.763000000000005"/>
    <n v="3.4950000000000001"/>
    <n v="0.10956"/>
    <n v="1"/>
    <x v="0"/>
    <n v="61"/>
    <x v="2"/>
    <x v="1"/>
    <n v="4"/>
    <n v="0.28612303290414876"/>
    <n v="1.5273247496423462E-2"/>
    <n v="3.6881483279338982E-2"/>
    <n v="5.3379999999999997E-2"/>
    <n v="1.0524541026601726"/>
    <n v="2.0524541026601724"/>
    <n v="3.134763948497854E-2"/>
    <s v="55+"/>
  </r>
  <r>
    <s v="TX0146"/>
    <n v="7572"/>
    <n v="0.19134999999999999"/>
    <x v="0"/>
    <n v="32.781999999999996"/>
    <n v="2.335"/>
    <n v="0"/>
    <n v="0"/>
    <x v="3"/>
    <n v="50"/>
    <x v="0"/>
    <x v="2"/>
    <n v="1"/>
    <n v="0"/>
    <n v="8.1948608137044965E-2"/>
    <n v="7.1228112988835343E-2"/>
    <n v="0"/>
    <n v="-1"/>
    <n v="0"/>
    <n v="0"/>
    <s v="45-54"/>
  </r>
  <r>
    <s v="TX0147"/>
    <n v="2791"/>
    <n v="0.15082999999999999"/>
    <x v="1"/>
    <n v="66.138999999999996"/>
    <n v="2.2250000000000001"/>
    <n v="0"/>
    <n v="0"/>
    <x v="0"/>
    <n v="44"/>
    <x v="3"/>
    <x v="1"/>
    <n v="2"/>
    <n v="0"/>
    <n v="6.7788764044943814E-2"/>
    <n v="3.3641270657252156E-2"/>
    <n v="0"/>
    <n v="-1"/>
    <n v="0"/>
    <n v="0"/>
    <s v="35-44"/>
  </r>
  <r>
    <s v="TX0148"/>
    <n v="4851"/>
    <n v="3.8719999999999997E-2"/>
    <x v="0"/>
    <n v="97.524000000000001"/>
    <n v="3.9529999999999998"/>
    <n v="0"/>
    <n v="0"/>
    <x v="0"/>
    <n v="27"/>
    <x v="2"/>
    <x v="4"/>
    <n v="5"/>
    <n v="0"/>
    <n v="9.7950923349354926E-3"/>
    <n v="4.0533612239038591E-2"/>
    <n v="0"/>
    <n v="-1"/>
    <n v="0"/>
    <n v="0"/>
    <s v="25-34"/>
  </r>
  <r>
    <s v="TX0149"/>
    <n v="1105"/>
    <n v="0.2"/>
    <x v="2"/>
    <n v="25.074000000000002"/>
    <n v="3.7559999999999998"/>
    <n v="0"/>
    <n v="0"/>
    <x v="1"/>
    <n v="55"/>
    <x v="1"/>
    <x v="0"/>
    <n v="2"/>
    <n v="0"/>
    <n v="5.3248136315228976E-2"/>
    <n v="0.14979660205790857"/>
    <n v="0"/>
    <n v="-1"/>
    <n v="0"/>
    <n v="0"/>
    <s v="55+"/>
  </r>
  <r>
    <s v="TX0150"/>
    <n v="4959"/>
    <n v="3.8170000000000003E-2"/>
    <x v="2"/>
    <n v="23.85"/>
    <n v="0.19700000000000001"/>
    <n v="9.7100000000000006E-2"/>
    <n v="1"/>
    <x v="5"/>
    <n v="18"/>
    <x v="1"/>
    <x v="3"/>
    <n v="3"/>
    <n v="5.0761421319796955"/>
    <n v="0.19375634517766499"/>
    <n v="8.2599580712788261E-3"/>
    <n v="3.8170000000000003E-2"/>
    <n v="1.5438826303379618"/>
    <n v="2.5438826303379618"/>
    <n v="0.49289340101522844"/>
    <s v="18-24"/>
  </r>
  <r>
    <s v="TX0151"/>
    <n v="8614"/>
    <n v="0.19016"/>
    <x v="4"/>
    <n v="62.624000000000002"/>
    <n v="7.4660000000000002"/>
    <n v="0"/>
    <n v="0"/>
    <x v="3"/>
    <n v="50"/>
    <x v="2"/>
    <x v="1"/>
    <n v="1"/>
    <n v="0"/>
    <n v="2.5470131261719795E-2"/>
    <n v="0.11921946857434849"/>
    <n v="0"/>
    <n v="-1"/>
    <n v="0"/>
    <n v="0"/>
    <s v="45-54"/>
  </r>
  <r>
    <s v="TX0152"/>
    <n v="4801"/>
    <n v="4.0469999999999999E-2"/>
    <x v="4"/>
    <n v="89.138999999999996"/>
    <n v="1.617"/>
    <n v="0.26123000000000002"/>
    <n v="1"/>
    <x v="1"/>
    <n v="33"/>
    <x v="3"/>
    <x v="3"/>
    <n v="4"/>
    <n v="0.6184291898577613"/>
    <n v="2.5027829313543599E-2"/>
    <n v="1.814020798976879E-2"/>
    <n v="4.0469999999999999E-2"/>
    <n v="5.4549048678033119"/>
    <n v="6.4549048678033119"/>
    <n v="0.16155225726654299"/>
    <s v="25-34"/>
  </r>
  <r>
    <s v="TX0153"/>
    <n v="5564"/>
    <n v="2.265E-2"/>
    <x v="0"/>
    <n v="1.869"/>
    <n v="5.71"/>
    <n v="0"/>
    <n v="0"/>
    <x v="0"/>
    <n v="41"/>
    <x v="2"/>
    <x v="4"/>
    <s v="Nil"/>
    <n v="0"/>
    <n v="3.9667250437828375E-3"/>
    <n v="3.0551096843231673"/>
    <n v="0"/>
    <n v="-1"/>
    <n v="0"/>
    <n v="0"/>
    <s v="35-44"/>
  </r>
  <r>
    <s v="TX0154"/>
    <n v="4382"/>
    <n v="0.16650000000000001"/>
    <x v="4"/>
    <n v="72.063999999999993"/>
    <n v="0.67100000000000004"/>
    <n v="0.20751"/>
    <n v="1"/>
    <x v="1"/>
    <n v="56"/>
    <x v="1"/>
    <x v="0"/>
    <n v="5"/>
    <n v="1.4903129657228018"/>
    <n v="0.24813710879284651"/>
    <n v="9.3111678507992908E-3"/>
    <n v="0.16650000000000001"/>
    <n v="0.24630630630630623"/>
    <n v="1.2463063063063062"/>
    <n v="0.30925484351713856"/>
    <s v="55+"/>
  </r>
  <r>
    <s v="TX0155"/>
    <n v="8711"/>
    <n v="1.9019999999999999E-2"/>
    <x v="2"/>
    <n v="20.76"/>
    <n v="0.23899999999999999"/>
    <n v="0"/>
    <n v="0"/>
    <x v="4"/>
    <n v="45"/>
    <x v="0"/>
    <x v="2"/>
    <n v="4"/>
    <n v="0"/>
    <n v="7.9581589958158991E-2"/>
    <n v="1.1512524084778418E-2"/>
    <n v="0"/>
    <n v="-1"/>
    <n v="0"/>
    <n v="0"/>
    <s v="45-54"/>
  </r>
  <r>
    <s v="TX0156"/>
    <n v="2058"/>
    <n v="0"/>
    <x v="2"/>
    <n v="67.138999999999996"/>
    <n v="1.2729999999999999"/>
    <n v="0"/>
    <n v="0"/>
    <x v="5"/>
    <n v="53"/>
    <x v="1"/>
    <x v="3"/>
    <n v="3"/>
    <n v="0"/>
    <n v="0"/>
    <n v="1.8960663697701784E-2"/>
    <n v="0"/>
    <n v="0"/>
    <n v="0"/>
    <n v="0"/>
    <s v="45-54"/>
  </r>
  <r>
    <s v="TX0157"/>
    <n v="1660"/>
    <n v="0"/>
    <x v="3"/>
    <n v="81.983999999999995"/>
    <n v="4.0449999999999999"/>
    <n v="0"/>
    <n v="0"/>
    <x v="5"/>
    <n v="25"/>
    <x v="3"/>
    <x v="1"/>
    <s v="Nil"/>
    <n v="0"/>
    <n v="0"/>
    <n v="4.9338895394223266E-2"/>
    <n v="0"/>
    <n v="0"/>
    <n v="0"/>
    <n v="0"/>
    <s v="25-34"/>
  </r>
  <r>
    <s v="TX0158"/>
    <n v="8968"/>
    <n v="4.7050000000000002E-2"/>
    <x v="2"/>
    <n v="63.073"/>
    <n v="7.56"/>
    <n v="0"/>
    <n v="0"/>
    <x v="4"/>
    <n v="48"/>
    <x v="2"/>
    <x v="4"/>
    <n v="3"/>
    <n v="0"/>
    <n v="6.2235449735449739E-3"/>
    <n v="0.11986111331314508"/>
    <n v="0"/>
    <n v="-1"/>
    <n v="0"/>
    <n v="0"/>
    <s v="45-54"/>
  </r>
  <r>
    <s v="TX0159"/>
    <n v="3215"/>
    <n v="2.649E-2"/>
    <x v="5"/>
    <n v="53.564999999999998"/>
    <n v="8.8539999999999992"/>
    <n v="0.38738"/>
    <n v="1"/>
    <x v="0"/>
    <n v="27"/>
    <x v="2"/>
    <x v="4"/>
    <n v="3"/>
    <n v="0.112943302462164"/>
    <n v="2.9918680822227242E-3"/>
    <n v="0.16529450200690748"/>
    <n v="2.649E-2"/>
    <n v="13.623631559078897"/>
    <n v="14.623631559078898"/>
    <n v="4.375197650779309E-2"/>
    <s v="25-34"/>
  </r>
  <r>
    <s v="TX0160"/>
    <n v="9020"/>
    <n v="0.14346"/>
    <x v="2"/>
    <n v="9.6929999999999996"/>
    <n v="6.9089999999999998"/>
    <n v="0"/>
    <n v="1"/>
    <x v="5"/>
    <n v="43"/>
    <x v="1"/>
    <x v="3"/>
    <n v="5"/>
    <n v="0.14473874656245478"/>
    <n v="2.0764220581849763E-2"/>
    <n v="0.71278242030331163"/>
    <n v="0.14346"/>
    <n v="-1"/>
    <n v="0"/>
    <n v="0"/>
    <s v="35-44"/>
  </r>
  <r>
    <s v="TX0161"/>
    <n v="4101"/>
    <n v="0.11813"/>
    <x v="4"/>
    <n v="24.873999999999999"/>
    <n v="0.84199999999999997"/>
    <n v="0"/>
    <n v="0"/>
    <x v="5"/>
    <n v="57"/>
    <x v="0"/>
    <x v="4"/>
    <n v="1"/>
    <n v="0"/>
    <n v="0.14029691211401427"/>
    <n v="3.3850607059580283E-2"/>
    <n v="0"/>
    <n v="-1"/>
    <n v="0"/>
    <n v="0"/>
    <s v="55+"/>
  </r>
  <r>
    <s v="TX0162"/>
    <n v="2003"/>
    <n v="0"/>
    <x v="5"/>
    <n v="55.847999999999999"/>
    <n v="2.476"/>
    <n v="0"/>
    <n v="0"/>
    <x v="4"/>
    <n v="65"/>
    <x v="1"/>
    <x v="0"/>
    <n v="5"/>
    <n v="0"/>
    <n v="0"/>
    <n v="4.4334622546913047E-2"/>
    <n v="0"/>
    <n v="0"/>
    <n v="0"/>
    <n v="0"/>
    <s v="55+"/>
  </r>
  <r>
    <s v="TX0163"/>
    <n v="8023"/>
    <n v="4.2509999999999999E-2"/>
    <x v="4"/>
    <n v="79.489000000000004"/>
    <n v="1.93"/>
    <n v="0"/>
    <n v="0"/>
    <x v="4"/>
    <n v="59"/>
    <x v="1"/>
    <x v="3"/>
    <n v="4"/>
    <n v="0"/>
    <n v="2.2025906735751295E-2"/>
    <n v="2.4280089068927774E-2"/>
    <n v="0"/>
    <n v="-1"/>
    <n v="0"/>
    <n v="0"/>
    <s v="55+"/>
  </r>
  <r>
    <s v="TX0164"/>
    <n v="1626"/>
    <n v="1.108E-2"/>
    <x v="3"/>
    <n v="45.774000000000001"/>
    <n v="1.359"/>
    <n v="0"/>
    <n v="0"/>
    <x v="2"/>
    <n v="45"/>
    <x v="2"/>
    <x v="4"/>
    <n v="4"/>
    <n v="0"/>
    <n v="8.1530537159676224E-3"/>
    <n v="2.9689343295320487E-2"/>
    <n v="0"/>
    <n v="-1"/>
    <n v="0"/>
    <n v="0"/>
    <s v="45-54"/>
  </r>
  <r>
    <s v="TX0165"/>
    <n v="6277"/>
    <n v="0"/>
    <x v="5"/>
    <n v="85.32"/>
    <n v="7.6449999999999996"/>
    <n v="0"/>
    <n v="0"/>
    <x v="2"/>
    <n v="44"/>
    <x v="3"/>
    <x v="3"/>
    <s v="Nil"/>
    <n v="0"/>
    <n v="0"/>
    <n v="8.9603844350679793E-2"/>
    <n v="0"/>
    <n v="0"/>
    <n v="0"/>
    <n v="0"/>
    <s v="35-44"/>
  </r>
  <r>
    <s v="TX0166"/>
    <n v="3199"/>
    <n v="0.17715"/>
    <x v="0"/>
    <n v="55.055"/>
    <n v="0.68200000000000005"/>
    <n v="0.42808000000000002"/>
    <n v="1"/>
    <x v="3"/>
    <n v="41"/>
    <x v="0"/>
    <x v="4"/>
    <s v="Nil"/>
    <n v="1.4662756598240467"/>
    <n v="0.25975073313782987"/>
    <n v="1.2387612387612389E-2"/>
    <n v="0.17715"/>
    <n v="1.4164832063223256"/>
    <n v="2.4164832063223258"/>
    <n v="0.62768328445747801"/>
    <s v="35-44"/>
  </r>
  <r>
    <s v="TX0167"/>
    <n v="4530"/>
    <n v="3.1550000000000002E-2"/>
    <x v="2"/>
    <n v="96.433999999999997"/>
    <n v="9.5009999999999994"/>
    <n v="0.45833000000000002"/>
    <n v="1"/>
    <x v="3"/>
    <n v="39"/>
    <x v="1"/>
    <x v="0"/>
    <n v="2"/>
    <n v="0.1052520787285549"/>
    <n v="3.3207030838859073E-3"/>
    <n v="9.8523342389613619E-2"/>
    <n v="3.1550000000000002E-2"/>
    <n v="13.527099841521395"/>
    <n v="14.527099841521395"/>
    <n v="4.8240185243658563E-2"/>
    <s v="35-44"/>
  </r>
  <r>
    <s v="TX0168"/>
    <n v="5714"/>
    <n v="0"/>
    <x v="2"/>
    <n v="77.646000000000001"/>
    <n v="9.3160000000000007"/>
    <n v="0"/>
    <n v="0"/>
    <x v="2"/>
    <n v="29"/>
    <x v="3"/>
    <x v="4"/>
    <n v="3"/>
    <n v="0"/>
    <n v="0"/>
    <n v="0.11998042397547846"/>
    <n v="0"/>
    <n v="0"/>
    <n v="0"/>
    <n v="0"/>
    <s v="25-34"/>
  </r>
  <r>
    <s v="TX0169"/>
    <n v="8914"/>
    <n v="9.8030000000000006E-2"/>
    <x v="4"/>
    <n v="41.920999999999999"/>
    <n v="2.5830000000000002"/>
    <n v="0"/>
    <n v="0"/>
    <x v="3"/>
    <n v="56"/>
    <x v="2"/>
    <x v="1"/>
    <n v="1"/>
    <n v="0"/>
    <n v="3.795199380565234E-2"/>
    <n v="6.1615896567352883E-2"/>
    <n v="0"/>
    <n v="-1"/>
    <n v="0"/>
    <n v="0"/>
    <s v="55+"/>
  </r>
  <r>
    <s v="TX0170"/>
    <n v="5564"/>
    <n v="0"/>
    <x v="4"/>
    <n v="56.228000000000002"/>
    <n v="6.3159999999999998"/>
    <n v="0"/>
    <n v="0"/>
    <x v="0"/>
    <n v="61"/>
    <x v="0"/>
    <x v="4"/>
    <n v="5"/>
    <n v="0"/>
    <n v="0"/>
    <n v="0.11232837732090772"/>
    <n v="0"/>
    <n v="0"/>
    <n v="0"/>
    <n v="0"/>
    <s v="55+"/>
  </r>
  <r>
    <s v="TX0171"/>
    <n v="7114"/>
    <n v="0.16894000000000001"/>
    <x v="2"/>
    <n v="36.893000000000001"/>
    <n v="9.8209999999999997"/>
    <n v="0.31268000000000001"/>
    <n v="1"/>
    <x v="1"/>
    <n v="42"/>
    <x v="2"/>
    <x v="0"/>
    <s v="Nil"/>
    <n v="0.10182262498727218"/>
    <n v="1.7201914265349762E-2"/>
    <n v="0.26620226059144009"/>
    <n v="0.16894000000000001"/>
    <n v="0.85083461583994313"/>
    <n v="1.8508346158399431"/>
    <n v="3.1837898381020267E-2"/>
    <s v="35-44"/>
  </r>
  <r>
    <s v="TX0172"/>
    <n v="9321"/>
    <n v="3.2750000000000001E-2"/>
    <x v="4"/>
    <n v="97.284999999999997"/>
    <n v="5.5510000000000002"/>
    <n v="0"/>
    <n v="0"/>
    <x v="2"/>
    <n v="20"/>
    <x v="3"/>
    <x v="2"/>
    <n v="3"/>
    <n v="0"/>
    <n v="5.899837867050982E-3"/>
    <n v="5.7059156087783322E-2"/>
    <n v="0"/>
    <n v="-1"/>
    <n v="0"/>
    <n v="0"/>
    <s v="18-24"/>
  </r>
  <r>
    <s v="TX0173"/>
    <n v="7758"/>
    <n v="2.2720000000000001E-2"/>
    <x v="1"/>
    <n v="27.945"/>
    <n v="7.4059999999999997"/>
    <n v="0"/>
    <n v="0"/>
    <x v="2"/>
    <n v="23"/>
    <x v="2"/>
    <x v="1"/>
    <n v="4"/>
    <n v="0"/>
    <n v="3.0677828787469621E-3"/>
    <n v="0.26502057613168722"/>
    <n v="0"/>
    <n v="-1"/>
    <n v="0"/>
    <n v="0"/>
    <s v="18-24"/>
  </r>
  <r>
    <s v="TX0174"/>
    <n v="4330"/>
    <n v="7.7649999999999997E-2"/>
    <x v="1"/>
    <n v="13.436999999999999"/>
    <n v="6.7350000000000003"/>
    <n v="4.3409999999999997E-2"/>
    <n v="1"/>
    <x v="1"/>
    <n v="50"/>
    <x v="1"/>
    <x v="1"/>
    <n v="5"/>
    <n v="0.14847809948032664"/>
    <n v="1.1529324424647363E-2"/>
    <n v="0.50122795266800635"/>
    <n v="7.7649999999999997E-2"/>
    <n v="-0.44095299420476497"/>
    <n v="0.55904700579523503"/>
    <n v="6.4454342984409793E-3"/>
    <s v="45-54"/>
  </r>
  <r>
    <s v="TX0175"/>
    <n v="1987"/>
    <n v="5.1999999999999998E-3"/>
    <x v="3"/>
    <n v="96.99"/>
    <n v="5.1429999999999998"/>
    <n v="0.11975"/>
    <n v="1"/>
    <x v="0"/>
    <n v="41"/>
    <x v="0"/>
    <x v="4"/>
    <n v="2"/>
    <n v="0.19443904335990667"/>
    <n v="1.0110830254715147E-3"/>
    <n v="5.3026085163418911E-2"/>
    <n v="5.1999999999999998E-3"/>
    <n v="22.028846153846153"/>
    <n v="23.028846153846153"/>
    <n v="2.3284075442348822E-2"/>
    <s v="35-44"/>
  </r>
  <r>
    <s v="TX0176"/>
    <n v="3176"/>
    <n v="0.17463999999999999"/>
    <x v="1"/>
    <n v="5.0720000000000001"/>
    <n v="2.448"/>
    <n v="0.43858999999999998"/>
    <n v="1"/>
    <x v="2"/>
    <n v="32"/>
    <x v="1"/>
    <x v="0"/>
    <s v="Nil"/>
    <n v="0.40849673202614378"/>
    <n v="7.1339869281045742E-2"/>
    <n v="0.48264984227129337"/>
    <n v="0.17463999999999999"/>
    <n v="1.5113948694457171"/>
    <n v="2.5113948694457169"/>
    <n v="0.1791625816993464"/>
    <s v="25-34"/>
  </r>
  <r>
    <s v="TX0177"/>
    <n v="8762"/>
    <n v="0.13847000000000001"/>
    <x v="4"/>
    <n v="70.320999999999998"/>
    <n v="5.1310000000000002"/>
    <n v="0"/>
    <n v="0"/>
    <x v="4"/>
    <n v="40"/>
    <x v="2"/>
    <x v="4"/>
    <n v="2"/>
    <n v="0"/>
    <n v="2.6986942116546484E-2"/>
    <n v="7.2965401515905637E-2"/>
    <n v="0"/>
    <n v="-1"/>
    <n v="0"/>
    <n v="0"/>
    <s v="35-44"/>
  </r>
  <r>
    <s v="TX0178"/>
    <n v="2206"/>
    <n v="0.13777"/>
    <x v="0"/>
    <n v="66.668999999999997"/>
    <n v="2.5760000000000001"/>
    <n v="0"/>
    <n v="0"/>
    <x v="4"/>
    <n v="41"/>
    <x v="3"/>
    <x v="3"/>
    <n v="1"/>
    <n v="0"/>
    <n v="5.348214285714286E-2"/>
    <n v="3.8638647647332346E-2"/>
    <n v="0"/>
    <n v="-1"/>
    <n v="0"/>
    <n v="0"/>
    <s v="35-44"/>
  </r>
  <r>
    <s v="TX0179"/>
    <n v="1795"/>
    <n v="4.0719999999999999E-2"/>
    <x v="2"/>
    <n v="24.956"/>
    <n v="5.7439999999999998"/>
    <n v="0"/>
    <n v="0"/>
    <x v="2"/>
    <n v="28"/>
    <x v="3"/>
    <x v="4"/>
    <n v="2"/>
    <n v="0"/>
    <n v="7.0891364902506962E-3"/>
    <n v="0.2301650905593845"/>
    <n v="0"/>
    <n v="-1"/>
    <n v="0"/>
    <n v="0"/>
    <s v="25-34"/>
  </r>
  <r>
    <s v="TX0180"/>
    <n v="4660"/>
    <n v="2.6610000000000002E-2"/>
    <x v="4"/>
    <n v="93.643000000000001"/>
    <n v="1.111"/>
    <n v="0"/>
    <n v="0"/>
    <x v="3"/>
    <n v="40"/>
    <x v="0"/>
    <x v="0"/>
    <n v="4"/>
    <n v="0"/>
    <n v="2.3951395139513953E-2"/>
    <n v="1.1864207682368143E-2"/>
    <n v="0"/>
    <n v="-1"/>
    <n v="0"/>
    <n v="0"/>
    <s v="35-44"/>
  </r>
  <r>
    <s v="TX0181"/>
    <n v="1403"/>
    <n v="0.18804999999999999"/>
    <x v="2"/>
    <n v="71.563000000000002"/>
    <n v="6.3979999999999997"/>
    <n v="0"/>
    <n v="0"/>
    <x v="5"/>
    <n v="41"/>
    <x v="2"/>
    <x v="2"/>
    <n v="5"/>
    <n v="0"/>
    <n v="2.9391997499218506E-2"/>
    <n v="8.9403742157260033E-2"/>
    <n v="0"/>
    <n v="-1"/>
    <n v="0"/>
    <n v="0"/>
    <s v="35-44"/>
  </r>
  <r>
    <s v="TX0182"/>
    <n v="3720"/>
    <n v="0.12787999999999999"/>
    <x v="3"/>
    <n v="3.1629999999999998"/>
    <n v="8.8859999999999992"/>
    <n v="0"/>
    <n v="0"/>
    <x v="4"/>
    <n v="21"/>
    <x v="0"/>
    <x v="0"/>
    <n v="5"/>
    <n v="0"/>
    <n v="1.4391177132568085E-2"/>
    <n v="2.8093582042364842"/>
    <n v="0"/>
    <n v="-1"/>
    <n v="0"/>
    <n v="0"/>
    <s v="18-24"/>
  </r>
  <r>
    <s v="TX0183"/>
    <n v="7492"/>
    <n v="0.11611"/>
    <x v="3"/>
    <n v="64.757999999999996"/>
    <n v="4.8310000000000004"/>
    <n v="0"/>
    <n v="0"/>
    <x v="1"/>
    <n v="61"/>
    <x v="1"/>
    <x v="4"/>
    <n v="1"/>
    <n v="0"/>
    <n v="2.403436141585593E-2"/>
    <n v="7.4600821520121083E-2"/>
    <n v="0"/>
    <n v="-1"/>
    <n v="0"/>
    <n v="0"/>
    <s v="55+"/>
  </r>
  <r>
    <s v="TX0184"/>
    <n v="3961"/>
    <n v="0"/>
    <x v="2"/>
    <n v="14.186"/>
    <n v="3.722"/>
    <n v="0"/>
    <n v="0"/>
    <x v="1"/>
    <n v="60"/>
    <x v="0"/>
    <x v="3"/>
    <n v="5"/>
    <n v="0"/>
    <n v="0"/>
    <n v="0.26237135203721978"/>
    <n v="0"/>
    <n v="0"/>
    <n v="0"/>
    <n v="0"/>
    <s v="55+"/>
  </r>
  <r>
    <s v="TX0185"/>
    <n v="2155"/>
    <n v="8.838E-2"/>
    <x v="5"/>
    <n v="81.325999999999993"/>
    <n v="5.5279999999999996"/>
    <n v="0"/>
    <n v="1"/>
    <x v="3"/>
    <n v="57"/>
    <x v="3"/>
    <x v="2"/>
    <n v="5"/>
    <n v="0.18089725036179452"/>
    <n v="1.5987698986975399E-2"/>
    <n v="6.7973341858692179E-2"/>
    <n v="8.838E-2"/>
    <n v="-1"/>
    <n v="0"/>
    <n v="0"/>
    <s v="55+"/>
  </r>
  <r>
    <s v="TX0186"/>
    <n v="5026"/>
    <n v="8.9289999999999994E-2"/>
    <x v="2"/>
    <n v="25.311"/>
    <n v="5.9569999999999999"/>
    <n v="0"/>
    <n v="0"/>
    <x v="4"/>
    <n v="41"/>
    <x v="0"/>
    <x v="3"/>
    <n v="5"/>
    <n v="0"/>
    <n v="1.4989088467349336E-2"/>
    <n v="0.23535221840306586"/>
    <n v="0"/>
    <n v="-1"/>
    <n v="0"/>
    <n v="0"/>
    <s v="35-44"/>
  </r>
  <r>
    <s v="TX0187"/>
    <n v="2734"/>
    <n v="0.16446"/>
    <x v="2"/>
    <n v="41.188000000000002"/>
    <n v="1.9970000000000001"/>
    <n v="0"/>
    <n v="0"/>
    <x v="4"/>
    <n v="45"/>
    <x v="3"/>
    <x v="1"/>
    <n v="5"/>
    <n v="0"/>
    <n v="8.2353530295443164E-2"/>
    <n v="4.8484995629795087E-2"/>
    <n v="0"/>
    <n v="-1"/>
    <n v="0"/>
    <n v="0"/>
    <s v="45-54"/>
  </r>
  <r>
    <s v="TX0188"/>
    <n v="3015"/>
    <n v="0"/>
    <x v="2"/>
    <n v="24.087"/>
    <n v="5.3049999999999997"/>
    <n v="0"/>
    <n v="0"/>
    <x v="3"/>
    <n v="43"/>
    <x v="2"/>
    <x v="0"/>
    <n v="1"/>
    <n v="0"/>
    <n v="0"/>
    <n v="0.22024328475941379"/>
    <n v="0"/>
    <n v="0"/>
    <n v="0"/>
    <n v="0"/>
    <s v="35-44"/>
  </r>
  <r>
    <s v="TX0189"/>
    <n v="7955"/>
    <n v="0.19846"/>
    <x v="1"/>
    <n v="64.313000000000002"/>
    <n v="7.8070000000000004"/>
    <n v="0"/>
    <n v="0"/>
    <x v="3"/>
    <n v="40"/>
    <x v="3"/>
    <x v="0"/>
    <n v="3"/>
    <n v="0"/>
    <n v="2.5420776226463427E-2"/>
    <n v="0.12139069861458804"/>
    <n v="0"/>
    <n v="-1"/>
    <n v="0"/>
    <n v="0"/>
    <s v="35-44"/>
  </r>
  <r>
    <s v="TX0190"/>
    <n v="3145"/>
    <n v="4.3490000000000001E-2"/>
    <x v="2"/>
    <n v="70.078999999999994"/>
    <n v="2.4470000000000001"/>
    <n v="0"/>
    <n v="0"/>
    <x v="2"/>
    <n v="41"/>
    <x v="1"/>
    <x v="0"/>
    <n v="5"/>
    <n v="0"/>
    <n v="1.7772782999591338E-2"/>
    <n v="3.4917735698283367E-2"/>
    <n v="0"/>
    <n v="-1"/>
    <n v="0"/>
    <n v="0"/>
    <s v="35-44"/>
  </r>
  <r>
    <s v="TX0191"/>
    <n v="4106"/>
    <n v="0.17069999999999999"/>
    <x v="4"/>
    <n v="26.388999999999999"/>
    <n v="8.9190000000000005"/>
    <n v="0.11373999999999999"/>
    <n v="1"/>
    <x v="4"/>
    <n v="19"/>
    <x v="0"/>
    <x v="3"/>
    <s v="Nil"/>
    <n v="0.11212019284673169"/>
    <n v="1.9138916918937099E-2"/>
    <n v="0.33798173481374816"/>
    <n v="0.17069999999999999"/>
    <n v="-0.333684827182191"/>
    <n v="0.66631517281780905"/>
    <n v="1.2752550734387262E-2"/>
    <s v="18-24"/>
  </r>
  <r>
    <s v="TX0192"/>
    <n v="7395"/>
    <n v="8.2949999999999996E-2"/>
    <x v="5"/>
    <n v="28.712"/>
    <n v="8.0190000000000001"/>
    <n v="0"/>
    <n v="0"/>
    <x v="2"/>
    <n v="24"/>
    <x v="2"/>
    <x v="0"/>
    <n v="5"/>
    <n v="0"/>
    <n v="1.0344182566404788E-2"/>
    <n v="0.27929088882697128"/>
    <n v="0"/>
    <n v="-1"/>
    <n v="0"/>
    <n v="0"/>
    <s v="18-24"/>
  </r>
  <r>
    <s v="TX0193"/>
    <n v="7579"/>
    <n v="0"/>
    <x v="0"/>
    <n v="57.338000000000001"/>
    <n v="9.673"/>
    <n v="0"/>
    <n v="0"/>
    <x v="3"/>
    <n v="44"/>
    <x v="3"/>
    <x v="1"/>
    <n v="3"/>
    <n v="0"/>
    <n v="0"/>
    <n v="0.16870138477100702"/>
    <n v="0"/>
    <n v="0"/>
    <n v="0"/>
    <n v="0"/>
    <s v="35-44"/>
  </r>
  <r>
    <s v="TX0194"/>
    <n v="1881"/>
    <n v="0"/>
    <x v="3"/>
    <n v="91.120999999999995"/>
    <n v="1.7629999999999999"/>
    <n v="0"/>
    <n v="0"/>
    <x v="4"/>
    <n v="41"/>
    <x v="1"/>
    <x v="2"/>
    <n v="4"/>
    <n v="0"/>
    <n v="0"/>
    <n v="1.9347900044995116E-2"/>
    <n v="0"/>
    <n v="0"/>
    <n v="0"/>
    <n v="0"/>
    <s v="35-44"/>
  </r>
  <r>
    <s v="TX0195"/>
    <n v="4193"/>
    <n v="9.4320000000000001E-2"/>
    <x v="4"/>
    <n v="62.841999999999999"/>
    <n v="4.415"/>
    <n v="0"/>
    <n v="0"/>
    <x v="0"/>
    <n v="32"/>
    <x v="1"/>
    <x v="2"/>
    <n v="1"/>
    <n v="0"/>
    <n v="2.1363533408833523E-2"/>
    <n v="7.0255561567104802E-2"/>
    <n v="0"/>
    <n v="-1"/>
    <n v="0"/>
    <n v="0"/>
    <s v="25-34"/>
  </r>
  <r>
    <s v="TX0196"/>
    <n v="8947"/>
    <n v="0.13203000000000001"/>
    <x v="3"/>
    <n v="18.27"/>
    <n v="9.7270000000000003"/>
    <n v="0"/>
    <n v="0"/>
    <x v="2"/>
    <n v="55"/>
    <x v="3"/>
    <x v="1"/>
    <n v="3"/>
    <n v="0"/>
    <n v="1.3573558137144032E-2"/>
    <n v="0.53240284619594969"/>
    <n v="0"/>
    <n v="-1"/>
    <n v="0"/>
    <n v="0"/>
    <s v="55+"/>
  </r>
  <r>
    <s v="TX0197"/>
    <n v="7754"/>
    <n v="0.17895"/>
    <x v="4"/>
    <n v="10.244999999999999"/>
    <n v="6.7350000000000003"/>
    <n v="0"/>
    <n v="0"/>
    <x v="1"/>
    <n v="23"/>
    <x v="0"/>
    <x v="1"/>
    <n v="4"/>
    <n v="0"/>
    <n v="2.6570155902004452E-2"/>
    <n v="0.65739385065885803"/>
    <n v="0"/>
    <n v="-1"/>
    <n v="0"/>
    <n v="0"/>
    <s v="18-24"/>
  </r>
  <r>
    <s v="TX0198"/>
    <n v="8887"/>
    <n v="0"/>
    <x v="5"/>
    <n v="72.504999999999995"/>
    <n v="7.1219999999999999"/>
    <n v="0"/>
    <n v="0"/>
    <x v="4"/>
    <n v="39"/>
    <x v="0"/>
    <x v="3"/>
    <n v="4"/>
    <n v="0"/>
    <n v="0"/>
    <n v="9.822770843390112E-2"/>
    <n v="0"/>
    <n v="0"/>
    <n v="0"/>
    <n v="0"/>
    <s v="35-44"/>
  </r>
  <r>
    <s v="TX0199"/>
    <n v="1375"/>
    <n v="7.6920000000000002E-2"/>
    <x v="4"/>
    <n v="49.386000000000003"/>
    <n v="2.7480000000000002"/>
    <n v="0"/>
    <n v="0"/>
    <x v="4"/>
    <n v="46"/>
    <x v="2"/>
    <x v="1"/>
    <n v="2"/>
    <n v="0"/>
    <n v="2.7991266375545849E-2"/>
    <n v="5.5643299720568584E-2"/>
    <n v="0"/>
    <n v="-1"/>
    <n v="0"/>
    <n v="0"/>
    <s v="45-54"/>
  </r>
  <r>
    <s v="TX0200"/>
    <n v="7477"/>
    <n v="0"/>
    <x v="0"/>
    <n v="36.905000000000001"/>
    <n v="0.98399999999999999"/>
    <n v="0"/>
    <n v="0"/>
    <x v="4"/>
    <n v="29"/>
    <x v="1"/>
    <x v="4"/>
    <n v="4"/>
    <n v="0"/>
    <n v="0"/>
    <n v="2.6663053786749762E-2"/>
    <n v="0"/>
    <n v="0"/>
    <n v="0"/>
    <n v="0"/>
    <s v="25-34"/>
  </r>
  <r>
    <s v="TX0201"/>
    <n v="3603"/>
    <n v="0.18886"/>
    <x v="0"/>
    <n v="65.762"/>
    <n v="3.6349999999999998"/>
    <n v="0.12937000000000001"/>
    <n v="1"/>
    <x v="4"/>
    <n v="58"/>
    <x v="1"/>
    <x v="2"/>
    <n v="3"/>
    <n v="0.27510316368638243"/>
    <n v="5.1955983493810184E-2"/>
    <n v="5.5275082874608431E-2"/>
    <n v="0.18886"/>
    <n v="-0.31499523456528639"/>
    <n v="0.68500476543471356"/>
    <n v="3.5590096286107299E-2"/>
    <s v="55+"/>
  </r>
  <r>
    <s v="TX0202"/>
    <n v="8144"/>
    <n v="6.8059999999999996E-2"/>
    <x v="2"/>
    <n v="92.635000000000005"/>
    <n v="9.0310000000000006"/>
    <n v="0"/>
    <n v="0"/>
    <x v="3"/>
    <n v="62"/>
    <x v="0"/>
    <x v="3"/>
    <n v="1"/>
    <n v="0"/>
    <n v="7.5362639796257326E-3"/>
    <n v="9.7490149511523724E-2"/>
    <n v="0"/>
    <n v="-1"/>
    <n v="0"/>
    <n v="0"/>
    <s v="55+"/>
  </r>
  <r>
    <s v="TX0203"/>
    <n v="1329"/>
    <n v="0.16131999999999999"/>
    <x v="0"/>
    <n v="42.448"/>
    <n v="8.2650000000000006"/>
    <n v="0"/>
    <n v="0"/>
    <x v="1"/>
    <n v="54"/>
    <x v="1"/>
    <x v="2"/>
    <n v="2"/>
    <n v="0"/>
    <n v="1.9518451300665454E-2"/>
    <n v="0.19470882020354316"/>
    <n v="0"/>
    <n v="-1"/>
    <n v="0"/>
    <n v="0"/>
    <s v="45-54"/>
  </r>
  <r>
    <s v="TX0204"/>
    <n v="7090"/>
    <n v="8.4040000000000004E-2"/>
    <x v="4"/>
    <n v="67.444999999999993"/>
    <n v="6.9770000000000003"/>
    <n v="0"/>
    <n v="0"/>
    <x v="0"/>
    <n v="53"/>
    <x v="1"/>
    <x v="3"/>
    <n v="4"/>
    <n v="0"/>
    <n v="1.204529167263867E-2"/>
    <n v="0.10344725331751799"/>
    <n v="0"/>
    <n v="-1"/>
    <n v="0"/>
    <n v="0"/>
    <s v="45-54"/>
  </r>
  <r>
    <s v="TX0205"/>
    <n v="1880"/>
    <n v="4.2520000000000002E-2"/>
    <x v="0"/>
    <n v="68.052000000000007"/>
    <n v="9.8940000000000001"/>
    <n v="0.46178999999999998"/>
    <n v="1"/>
    <x v="3"/>
    <n v="48"/>
    <x v="0"/>
    <x v="3"/>
    <n v="4"/>
    <n v="0.10107135637760259"/>
    <n v="4.297554073175662E-3"/>
    <n v="0.14538882031387762"/>
    <n v="4.2520000000000002E-2"/>
    <n v="9.8605362182502336"/>
    <n v="10.860536218250234"/>
    <n v="4.6673741661613095E-2"/>
    <s v="45-54"/>
  </r>
  <r>
    <s v="TX0206"/>
    <n v="5167"/>
    <n v="0.13189999999999999"/>
    <x v="1"/>
    <n v="99.991"/>
    <n v="7.3840000000000003"/>
    <n v="0.48277999999999999"/>
    <n v="1"/>
    <x v="0"/>
    <n v="51"/>
    <x v="0"/>
    <x v="1"/>
    <n v="1"/>
    <n v="0.13542795232936078"/>
    <n v="1.7862946912242685E-2"/>
    <n v="7.3846646198157839E-2"/>
    <n v="0.13189999999999999"/>
    <n v="2.6601971190295677"/>
    <n v="3.6601971190295681"/>
    <n v="6.5381906825568797E-2"/>
    <s v="45-54"/>
  </r>
  <r>
    <s v="TX0207"/>
    <n v="7127"/>
    <n v="0.11957"/>
    <x v="3"/>
    <n v="22.012"/>
    <n v="6.1159999999999997"/>
    <n v="0"/>
    <n v="0"/>
    <x v="3"/>
    <n v="37"/>
    <x v="1"/>
    <x v="3"/>
    <n v="5"/>
    <n v="0"/>
    <n v="1.9550359712230216E-2"/>
    <n v="0.27784844630201705"/>
    <n v="0"/>
    <n v="-1"/>
    <n v="0"/>
    <n v="0"/>
    <s v="35-44"/>
  </r>
  <r>
    <s v="TX0208"/>
    <n v="5597"/>
    <n v="8.5639999999999994E-2"/>
    <x v="0"/>
    <n v="38.167000000000002"/>
    <n v="3.4119999999999999"/>
    <n v="0"/>
    <n v="0"/>
    <x v="2"/>
    <n v="57"/>
    <x v="2"/>
    <x v="1"/>
    <n v="3"/>
    <n v="0"/>
    <n v="2.5099648300117232E-2"/>
    <n v="8.939659915633924E-2"/>
    <n v="0"/>
    <n v="-1"/>
    <n v="0"/>
    <n v="0"/>
    <s v="55+"/>
  </r>
  <r>
    <s v="TX0209"/>
    <n v="6276"/>
    <n v="0.14806"/>
    <x v="4"/>
    <n v="75.138000000000005"/>
    <n v="7.4009999999999998"/>
    <n v="0.23233999999999999"/>
    <n v="1"/>
    <x v="5"/>
    <n v="51"/>
    <x v="2"/>
    <x v="3"/>
    <n v="2"/>
    <n v="0.13511687609782463"/>
    <n v="2.0005404675043914E-2"/>
    <n v="9.8498762277409557E-2"/>
    <n v="0.14806"/>
    <n v="0.56922869107118734"/>
    <n v="1.5692286910711872"/>
    <n v="3.1393054992568573E-2"/>
    <s v="45-54"/>
  </r>
  <r>
    <s v="TX0210"/>
    <n v="5086"/>
    <n v="0"/>
    <x v="5"/>
    <n v="42.561"/>
    <n v="9.8230000000000004"/>
    <n v="0"/>
    <n v="0"/>
    <x v="4"/>
    <n v="21"/>
    <x v="3"/>
    <x v="4"/>
    <n v="2"/>
    <n v="0"/>
    <n v="0"/>
    <n v="0.23079814853974295"/>
    <n v="0"/>
    <n v="0"/>
    <n v="0"/>
    <n v="0"/>
    <s v="18-24"/>
  </r>
  <r>
    <s v="TX0211"/>
    <n v="9503"/>
    <n v="8.8020000000000001E-2"/>
    <x v="3"/>
    <n v="14.29"/>
    <n v="0.29799999999999999"/>
    <n v="0"/>
    <n v="0"/>
    <x v="1"/>
    <n v="27"/>
    <x v="1"/>
    <x v="0"/>
    <s v="Nil"/>
    <n v="0"/>
    <n v="0.29536912751677852"/>
    <n v="2.0853743876836948E-2"/>
    <n v="0"/>
    <n v="-1"/>
    <n v="0"/>
    <n v="0"/>
    <s v="25-34"/>
  </r>
  <r>
    <s v="TX0212"/>
    <n v="1064"/>
    <n v="0.16095999999999999"/>
    <x v="4"/>
    <n v="76.477999999999994"/>
    <n v="8.2289999999999992"/>
    <n v="0"/>
    <n v="0"/>
    <x v="1"/>
    <n v="50"/>
    <x v="3"/>
    <x v="3"/>
    <n v="1"/>
    <n v="0"/>
    <n v="1.9560092356300889E-2"/>
    <n v="0.1075995711184916"/>
    <n v="0"/>
    <n v="-1"/>
    <n v="0"/>
    <n v="0"/>
    <s v="45-54"/>
  </r>
  <r>
    <s v="TX0213"/>
    <n v="2785"/>
    <n v="9.8640000000000005E-2"/>
    <x v="3"/>
    <n v="33.140999999999998"/>
    <n v="7.556"/>
    <n v="0"/>
    <n v="0"/>
    <x v="1"/>
    <n v="57"/>
    <x v="0"/>
    <x v="2"/>
    <n v="3"/>
    <n v="0"/>
    <n v="1.3054526204340921E-2"/>
    <n v="0.22799553423252167"/>
    <n v="0"/>
    <n v="-1"/>
    <n v="0"/>
    <n v="0"/>
    <s v="55+"/>
  </r>
  <r>
    <s v="TX0214"/>
    <n v="3262"/>
    <n v="0.15526000000000001"/>
    <x v="4"/>
    <n v="47.518000000000001"/>
    <n v="4.0970000000000004"/>
    <n v="0"/>
    <n v="0"/>
    <x v="4"/>
    <n v="49"/>
    <x v="2"/>
    <x v="0"/>
    <n v="5"/>
    <n v="0"/>
    <n v="3.789602147913107E-2"/>
    <n v="8.621995875247275E-2"/>
    <n v="0"/>
    <n v="-1"/>
    <n v="0"/>
    <n v="0"/>
    <s v="45-54"/>
  </r>
  <r>
    <s v="TX0215"/>
    <n v="8632"/>
    <n v="0.17197999999999999"/>
    <x v="2"/>
    <n v="60.731000000000002"/>
    <n v="6.6280000000000001"/>
    <n v="0"/>
    <n v="0"/>
    <x v="3"/>
    <n v="19"/>
    <x v="1"/>
    <x v="2"/>
    <s v="Nil"/>
    <n v="0"/>
    <n v="2.5947495473747736E-2"/>
    <n v="0.10913701404554511"/>
    <n v="0"/>
    <n v="-1"/>
    <n v="0"/>
    <n v="0"/>
    <s v="18-24"/>
  </r>
  <r>
    <s v="TX0216"/>
    <n v="4315"/>
    <n v="0.14408000000000001"/>
    <x v="1"/>
    <n v="72.215999999999994"/>
    <n v="9.0760000000000005"/>
    <n v="0"/>
    <n v="0"/>
    <x v="2"/>
    <n v="62"/>
    <x v="2"/>
    <x v="0"/>
    <n v="4"/>
    <n v="0"/>
    <n v="1.5874834728955487E-2"/>
    <n v="0.12567851999556887"/>
    <n v="0"/>
    <n v="-1"/>
    <n v="0"/>
    <n v="0"/>
    <s v="55+"/>
  </r>
  <r>
    <s v="TX0217"/>
    <n v="2372"/>
    <n v="9.4780000000000003E-2"/>
    <x v="3"/>
    <n v="12.595000000000001"/>
    <n v="0.35099999999999998"/>
    <n v="0"/>
    <n v="0"/>
    <x v="1"/>
    <n v="49"/>
    <x v="0"/>
    <x v="1"/>
    <n v="5"/>
    <n v="0"/>
    <n v="0.27002849002849005"/>
    <n v="2.7868201667328302E-2"/>
    <n v="0"/>
    <n v="-1"/>
    <n v="0"/>
    <n v="0"/>
    <s v="45-54"/>
  </r>
  <r>
    <s v="TX0218"/>
    <n v="8702"/>
    <n v="0.17213000000000001"/>
    <x v="0"/>
    <n v="97.634"/>
    <n v="6.6479999999999997"/>
    <n v="0"/>
    <n v="0"/>
    <x v="5"/>
    <n v="48"/>
    <x v="2"/>
    <x v="4"/>
    <n v="2"/>
    <n v="0"/>
    <n v="2.5891997593261135E-2"/>
    <n v="6.809103386115492E-2"/>
    <n v="0"/>
    <n v="-1"/>
    <n v="0"/>
    <n v="0"/>
    <s v="45-54"/>
  </r>
  <r>
    <s v="TX0219"/>
    <n v="4265"/>
    <n v="0"/>
    <x v="5"/>
    <n v="72.367999999999995"/>
    <n v="3.415"/>
    <n v="8.7919999999999998E-2"/>
    <n v="1"/>
    <x v="0"/>
    <n v="25"/>
    <x v="3"/>
    <x v="3"/>
    <n v="2"/>
    <n v="0.29282576866764276"/>
    <n v="0"/>
    <n v="4.7189365465399077E-2"/>
    <n v="0"/>
    <n v="0"/>
    <e v="#DIV/0!"/>
    <n v="2.574524158125915E-2"/>
    <s v="25-34"/>
  </r>
  <r>
    <s v="TX0220"/>
    <n v="7273"/>
    <n v="3.0099999999999998E-2"/>
    <x v="0"/>
    <n v="49.155999999999999"/>
    <n v="8.0649999999999995"/>
    <n v="0"/>
    <n v="0"/>
    <x v="3"/>
    <n v="55"/>
    <x v="1"/>
    <x v="1"/>
    <n v="2"/>
    <n v="0"/>
    <n v="3.7321760694358341E-3"/>
    <n v="0.16406949304255838"/>
    <n v="0"/>
    <n v="-1"/>
    <n v="0"/>
    <n v="0"/>
    <s v="55+"/>
  </r>
  <r>
    <s v="TX0221"/>
    <n v="1854"/>
    <n v="0.13399"/>
    <x v="1"/>
    <n v="36.948999999999998"/>
    <n v="5.7359999999999998"/>
    <n v="0"/>
    <n v="0"/>
    <x v="1"/>
    <n v="30"/>
    <x v="1"/>
    <x v="1"/>
    <n v="2"/>
    <n v="0"/>
    <n v="2.3359483960948398E-2"/>
    <n v="0.15524100787572059"/>
    <n v="0"/>
    <n v="-1"/>
    <n v="0"/>
    <n v="0"/>
    <s v="25-34"/>
  </r>
  <r>
    <s v="TX0222"/>
    <n v="4384"/>
    <n v="0"/>
    <x v="4"/>
    <n v="12.172000000000001"/>
    <n v="8.8019999999999996"/>
    <n v="0"/>
    <n v="0"/>
    <x v="0"/>
    <n v="29"/>
    <x v="2"/>
    <x v="2"/>
    <n v="4"/>
    <n v="0"/>
    <n v="0"/>
    <n v="0.72313506408149841"/>
    <n v="0"/>
    <n v="0"/>
    <n v="0"/>
    <n v="0"/>
    <s v="25-34"/>
  </r>
  <r>
    <s v="TX0223"/>
    <n v="2922"/>
    <n v="0"/>
    <x v="5"/>
    <n v="63.91"/>
    <n v="5.5739999999999998"/>
    <n v="0.20185"/>
    <n v="1"/>
    <x v="2"/>
    <n v="63"/>
    <x v="1"/>
    <x v="1"/>
    <n v="3"/>
    <n v="0.17940437746681021"/>
    <n v="0"/>
    <n v="8.7216398059771549E-2"/>
    <n v="0"/>
    <n v="0"/>
    <e v="#DIV/0!"/>
    <n v="3.6212773591675636E-2"/>
    <s v="55+"/>
  </r>
  <r>
    <s v="TX0224"/>
    <n v="4673"/>
    <n v="0.14294000000000001"/>
    <x v="3"/>
    <n v="86.100999999999999"/>
    <n v="1.6579999999999999"/>
    <n v="0"/>
    <n v="0"/>
    <x v="2"/>
    <n v="27"/>
    <x v="0"/>
    <x v="4"/>
    <n v="5"/>
    <n v="0"/>
    <n v="8.6212303980699651E-2"/>
    <n v="1.9256454628866097E-2"/>
    <n v="0"/>
    <n v="-1"/>
    <n v="0"/>
    <n v="0"/>
    <s v="25-34"/>
  </r>
  <r>
    <s v="TX0225"/>
    <n v="5037"/>
    <n v="5.8749999999999997E-2"/>
    <x v="1"/>
    <n v="75.494"/>
    <n v="4.7859999999999996"/>
    <n v="0"/>
    <n v="0"/>
    <x v="3"/>
    <n v="57"/>
    <x v="0"/>
    <x v="3"/>
    <n v="2"/>
    <n v="0"/>
    <n v="1.2275386544086921E-2"/>
    <n v="6.3395766550984181E-2"/>
    <n v="0"/>
    <n v="-1"/>
    <n v="0"/>
    <n v="0"/>
    <s v="55+"/>
  </r>
  <r>
    <s v="TX0226"/>
    <n v="7215"/>
    <n v="0"/>
    <x v="3"/>
    <n v="71.204999999999998"/>
    <n v="4.5199999999999996"/>
    <n v="0"/>
    <n v="0"/>
    <x v="3"/>
    <n v="54"/>
    <x v="1"/>
    <x v="2"/>
    <s v="Nil"/>
    <n v="0"/>
    <n v="0"/>
    <n v="6.3478688294361346E-2"/>
    <n v="0"/>
    <n v="0"/>
    <n v="0"/>
    <n v="0"/>
    <s v="45-54"/>
  </r>
  <r>
    <s v="TX0227"/>
    <n v="7934"/>
    <n v="4.3920000000000001E-2"/>
    <x v="2"/>
    <n v="30.132999999999999"/>
    <n v="7.4749999999999996"/>
    <n v="0"/>
    <n v="0"/>
    <x v="4"/>
    <n v="35"/>
    <x v="2"/>
    <x v="3"/>
    <s v="Nil"/>
    <n v="0"/>
    <n v="5.8755852842809365E-3"/>
    <n v="0.24806690339494905"/>
    <n v="0"/>
    <n v="-1"/>
    <n v="0"/>
    <n v="0"/>
    <s v="35-44"/>
  </r>
  <r>
    <s v="TX0228"/>
    <n v="1465"/>
    <n v="7.8960000000000002E-2"/>
    <x v="1"/>
    <n v="69.153000000000006"/>
    <n v="4.4169999999999998"/>
    <n v="1.2070000000000001E-2"/>
    <n v="1"/>
    <x v="2"/>
    <n v="43"/>
    <x v="2"/>
    <x v="0"/>
    <n v="5"/>
    <n v="0.22639800769753227"/>
    <n v="1.787638668779715E-2"/>
    <n v="6.3872861625670602E-2"/>
    <n v="7.8960000000000002E-2"/>
    <n v="-0.8471377912867275"/>
    <n v="0.15286220871327255"/>
    <n v="2.7326239529092146E-3"/>
    <s v="35-44"/>
  </r>
  <r>
    <s v="TX0229"/>
    <n v="7227"/>
    <n v="3.3500000000000002E-2"/>
    <x v="1"/>
    <n v="87.216999999999999"/>
    <n v="5.3230000000000004"/>
    <n v="0"/>
    <n v="0"/>
    <x v="1"/>
    <n v="45"/>
    <x v="0"/>
    <x v="2"/>
    <n v="5"/>
    <n v="0"/>
    <n v="6.2934435468720643E-3"/>
    <n v="6.1031679603746981E-2"/>
    <n v="0"/>
    <n v="-1"/>
    <n v="0"/>
    <n v="0"/>
    <s v="45-54"/>
  </r>
  <r>
    <s v="TX0230"/>
    <n v="4485"/>
    <n v="3.918E-2"/>
    <x v="2"/>
    <n v="53.070999999999998"/>
    <n v="7.585"/>
    <n v="0"/>
    <n v="0"/>
    <x v="0"/>
    <n v="59"/>
    <x v="0"/>
    <x v="2"/>
    <n v="5"/>
    <n v="0"/>
    <n v="5.1654581410678973E-3"/>
    <n v="0.14292174633980895"/>
    <n v="0"/>
    <n v="-1"/>
    <n v="0"/>
    <n v="0"/>
    <s v="55+"/>
  </r>
  <r>
    <s v="TX0231"/>
    <n v="5148"/>
    <n v="0"/>
    <x v="4"/>
    <n v="96.730999999999995"/>
    <n v="6.9180000000000001"/>
    <n v="0"/>
    <n v="0"/>
    <x v="1"/>
    <n v="49"/>
    <x v="2"/>
    <x v="0"/>
    <n v="2"/>
    <n v="0"/>
    <n v="0"/>
    <n v="7.1517920831998025E-2"/>
    <n v="0"/>
    <n v="0"/>
    <n v="0"/>
    <n v="0"/>
    <s v="45-54"/>
  </r>
  <r>
    <s v="TX0232"/>
    <n v="2723"/>
    <n v="4.6080000000000003E-2"/>
    <x v="1"/>
    <n v="72.873999999999995"/>
    <n v="1.8540000000000001"/>
    <n v="0"/>
    <n v="0"/>
    <x v="4"/>
    <n v="36"/>
    <x v="3"/>
    <x v="2"/>
    <n v="5"/>
    <n v="0"/>
    <n v="2.4854368932038837E-2"/>
    <n v="2.544117243461317E-2"/>
    <n v="0"/>
    <n v="-1"/>
    <n v="0"/>
    <n v="0"/>
    <s v="35-44"/>
  </r>
  <r>
    <s v="TX0233"/>
    <n v="4875"/>
    <n v="0.14543"/>
    <x v="2"/>
    <n v="85.088999999999999"/>
    <n v="0.95299999999999996"/>
    <n v="0.32168999999999998"/>
    <n v="1"/>
    <x v="0"/>
    <n v="52"/>
    <x v="0"/>
    <x v="2"/>
    <n v="3"/>
    <n v="1.0493179433368311"/>
    <n v="0.15260230849947534"/>
    <n v="1.1200037607681368E-2"/>
    <n v="0.14543"/>
    <n v="1.2119920236539914"/>
    <n v="2.2119920236539912"/>
    <n v="0.33755508919202515"/>
    <s v="45-54"/>
  </r>
  <r>
    <s v="TX0234"/>
    <n v="9012"/>
    <n v="0"/>
    <x v="2"/>
    <n v="29.895"/>
    <n v="0.34300000000000003"/>
    <n v="0.10741000000000001"/>
    <n v="1"/>
    <x v="0"/>
    <n v="62"/>
    <x v="1"/>
    <x v="2"/>
    <n v="3"/>
    <n v="2.9154518950437316"/>
    <n v="0"/>
    <n v="1.1473490550259242E-2"/>
    <n v="0"/>
    <n v="0"/>
    <e v="#DIV/0!"/>
    <n v="0.31314868804664719"/>
    <s v="55+"/>
  </r>
  <r>
    <s v="TX0235"/>
    <n v="6280"/>
    <n v="6.8900000000000003E-3"/>
    <x v="1"/>
    <n v="64.98"/>
    <n v="1.9239999999999999"/>
    <n v="0"/>
    <n v="0"/>
    <x v="1"/>
    <n v="23"/>
    <x v="1"/>
    <x v="1"/>
    <n v="3"/>
    <n v="0"/>
    <n v="3.5810810810810814E-3"/>
    <n v="2.9609110495537085E-2"/>
    <n v="0"/>
    <n v="-1"/>
    <n v="0"/>
    <n v="0"/>
    <s v="18-24"/>
  </r>
  <r>
    <s v="TX0236"/>
    <n v="8590"/>
    <n v="0"/>
    <x v="1"/>
    <n v="74.853999999999999"/>
    <n v="0.13400000000000001"/>
    <n v="0"/>
    <n v="0"/>
    <x v="1"/>
    <n v="23"/>
    <x v="3"/>
    <x v="3"/>
    <s v="Nil"/>
    <n v="0"/>
    <n v="0"/>
    <n v="1.7901514949100917E-3"/>
    <n v="0"/>
    <n v="0"/>
    <n v="0"/>
    <n v="0"/>
    <s v="18-24"/>
  </r>
  <r>
    <s v="TX0237"/>
    <n v="3628"/>
    <n v="0.18572"/>
    <x v="2"/>
    <n v="82.007999999999996"/>
    <n v="3.5129999999999999"/>
    <n v="0"/>
    <n v="0"/>
    <x v="3"/>
    <n v="34"/>
    <x v="3"/>
    <x v="0"/>
    <n v="1"/>
    <n v="0"/>
    <n v="5.2866495872473669E-2"/>
    <n v="4.2837284167398307E-2"/>
    <n v="0"/>
    <n v="-1"/>
    <n v="0"/>
    <n v="0"/>
    <s v="25-34"/>
  </r>
  <r>
    <s v="TX0238"/>
    <n v="1477"/>
    <n v="0.19106000000000001"/>
    <x v="2"/>
    <n v="78.501000000000005"/>
    <n v="7.2679999999999998"/>
    <n v="0"/>
    <n v="0"/>
    <x v="0"/>
    <n v="55"/>
    <x v="3"/>
    <x v="2"/>
    <n v="5"/>
    <n v="0"/>
    <n v="2.6287837094111175E-2"/>
    <n v="9.2584807836842836E-2"/>
    <n v="0"/>
    <n v="-1"/>
    <n v="0"/>
    <n v="0"/>
    <s v="55+"/>
  </r>
  <r>
    <s v="TX0239"/>
    <n v="5811"/>
    <n v="0.13125000000000001"/>
    <x v="0"/>
    <n v="67.049000000000007"/>
    <n v="7.8490000000000002"/>
    <n v="0"/>
    <n v="0"/>
    <x v="0"/>
    <n v="39"/>
    <x v="0"/>
    <x v="3"/>
    <n v="3"/>
    <n v="0"/>
    <n v="1.672187539813989E-2"/>
    <n v="0.11706364002445971"/>
    <n v="0"/>
    <n v="-1"/>
    <n v="0"/>
    <n v="0"/>
    <s v="35-44"/>
  </r>
  <r>
    <s v="TX0240"/>
    <n v="1841"/>
    <n v="1.15E-2"/>
    <x v="5"/>
    <n v="34.167000000000002"/>
    <n v="3.6139999999999999"/>
    <n v="0"/>
    <n v="0"/>
    <x v="0"/>
    <n v="41"/>
    <x v="1"/>
    <x v="0"/>
    <n v="3"/>
    <n v="0"/>
    <n v="3.1820697288323188E-3"/>
    <n v="0.10577457780899698"/>
    <n v="0"/>
    <n v="-1"/>
    <n v="0"/>
    <n v="0"/>
    <s v="35-44"/>
  </r>
  <r>
    <s v="TX0241"/>
    <n v="6590"/>
    <n v="7.1150000000000005E-2"/>
    <x v="3"/>
    <n v="6.49"/>
    <n v="7.6449999999999996"/>
    <n v="0"/>
    <n v="0"/>
    <x v="1"/>
    <n v="41"/>
    <x v="1"/>
    <x v="0"/>
    <s v="Nil"/>
    <n v="0"/>
    <n v="9.3067364290385889E-3"/>
    <n v="1.1779661016949152"/>
    <n v="0"/>
    <n v="-1"/>
    <n v="0"/>
    <n v="0"/>
    <s v="35-44"/>
  </r>
  <r>
    <s v="TX0242"/>
    <n v="9334"/>
    <n v="0.17349000000000001"/>
    <x v="0"/>
    <n v="4.5190000000000001"/>
    <n v="0.56100000000000005"/>
    <n v="0"/>
    <n v="0"/>
    <x v="4"/>
    <n v="24"/>
    <x v="2"/>
    <x v="3"/>
    <s v="Nil"/>
    <n v="0"/>
    <n v="0.30925133689839568"/>
    <n v="0.12414250940473556"/>
    <n v="0"/>
    <n v="-1"/>
    <n v="0"/>
    <n v="0"/>
    <s v="18-24"/>
  </r>
  <r>
    <s v="TX0243"/>
    <n v="8834"/>
    <n v="7.3760000000000006E-2"/>
    <x v="0"/>
    <n v="7.8159999999999998"/>
    <n v="1.5329999999999999"/>
    <n v="0.16914000000000001"/>
    <n v="1"/>
    <x v="4"/>
    <n v="41"/>
    <x v="0"/>
    <x v="3"/>
    <n v="1"/>
    <n v="0.65231572080887157"/>
    <n v="4.8114807566862365E-2"/>
    <n v="0.19613613101330604"/>
    <n v="7.3760000000000006E-2"/>
    <n v="1.293112798264642"/>
    <n v="2.2931127982646422"/>
    <n v="0.11033268101761254"/>
    <s v="35-44"/>
  </r>
  <r>
    <s v="TX0244"/>
    <n v="8102"/>
    <n v="0.1827"/>
    <x v="2"/>
    <n v="63.040999999999997"/>
    <n v="5.0579999999999998"/>
    <n v="0"/>
    <n v="0"/>
    <x v="2"/>
    <n v="41"/>
    <x v="2"/>
    <x v="3"/>
    <n v="5"/>
    <n v="0"/>
    <n v="3.6120996441281139E-2"/>
    <n v="8.0233498834092101E-2"/>
    <n v="0"/>
    <n v="-1"/>
    <n v="0"/>
    <n v="0"/>
    <s v="35-44"/>
  </r>
  <r>
    <s v="TX0245"/>
    <n v="2356"/>
    <n v="0.11246"/>
    <x v="0"/>
    <n v="6.4820000000000002"/>
    <n v="0.28599999999999998"/>
    <n v="0"/>
    <n v="0"/>
    <x v="2"/>
    <n v="27"/>
    <x v="2"/>
    <x v="3"/>
    <n v="1"/>
    <n v="0"/>
    <n v="0.39321678321678327"/>
    <n v="4.4122184510953406E-2"/>
    <n v="0"/>
    <n v="-1"/>
    <n v="0"/>
    <n v="0"/>
    <s v="25-34"/>
  </r>
  <r>
    <s v="TX0246"/>
    <n v="7553"/>
    <n v="9.2929999999999999E-2"/>
    <x v="1"/>
    <n v="95.581999999999994"/>
    <n v="7.984"/>
    <n v="0.46750999999999998"/>
    <n v="1"/>
    <x v="4"/>
    <n v="37"/>
    <x v="1"/>
    <x v="3"/>
    <n v="5"/>
    <n v="0.12525050100200399"/>
    <n v="1.1639529058116231E-2"/>
    <n v="8.3530371827331515E-2"/>
    <n v="9.2929999999999999E-2"/>
    <n v="4.0307758527924245"/>
    <n v="5.0307758527924245"/>
    <n v="5.8555861723446893E-2"/>
    <s v="35-44"/>
  </r>
  <r>
    <s v="TX0247"/>
    <n v="2934"/>
    <n v="8.3000000000000004E-2"/>
    <x v="0"/>
    <n v="13.773999999999999"/>
    <n v="9.9740000000000002"/>
    <n v="0"/>
    <n v="0"/>
    <x v="5"/>
    <n v="60"/>
    <x v="3"/>
    <x v="1"/>
    <n v="2"/>
    <n v="0"/>
    <n v="8.3216362542610795E-3"/>
    <n v="0.72411790329606507"/>
    <n v="0"/>
    <n v="-1"/>
    <n v="0"/>
    <n v="0"/>
    <s v="55+"/>
  </r>
  <r>
    <s v="TX0248"/>
    <n v="2296"/>
    <n v="6.3259999999999997E-2"/>
    <x v="2"/>
    <n v="14.725"/>
    <n v="0.72099999999999997"/>
    <n v="0"/>
    <n v="0"/>
    <x v="3"/>
    <n v="31"/>
    <x v="0"/>
    <x v="4"/>
    <n v="4"/>
    <n v="0"/>
    <n v="8.7739251040221913E-2"/>
    <n v="4.8964346349745329E-2"/>
    <n v="0"/>
    <n v="-1"/>
    <n v="0"/>
    <n v="0"/>
    <s v="25-34"/>
  </r>
  <r>
    <s v="TX0249"/>
    <n v="8672"/>
    <n v="0"/>
    <x v="5"/>
    <n v="85.147999999999996"/>
    <n v="1.5469999999999999"/>
    <n v="0.29694999999999999"/>
    <n v="1"/>
    <x v="2"/>
    <n v="63"/>
    <x v="0"/>
    <x v="4"/>
    <n v="2"/>
    <n v="0.64641241111829351"/>
    <n v="0"/>
    <n v="1.8168365669187767E-2"/>
    <n v="0"/>
    <n v="0"/>
    <e v="#DIV/0!"/>
    <n v="0.19195216548157726"/>
    <s v="55+"/>
  </r>
  <r>
    <s v="TX0250"/>
    <n v="9706"/>
    <n v="0.18"/>
    <x v="4"/>
    <n v="83.468000000000004"/>
    <n v="7.9409999999999998"/>
    <n v="0.38096000000000002"/>
    <n v="1"/>
    <x v="0"/>
    <n v="49"/>
    <x v="3"/>
    <x v="0"/>
    <n v="1"/>
    <n v="0.12592872434202243"/>
    <n v="2.2667170381564034E-2"/>
    <n v="9.5138256577370961E-2"/>
    <n v="0.18"/>
    <n v="1.1164444444444446"/>
    <n v="2.1164444444444448"/>
    <n v="4.7973806825336862E-2"/>
    <s v="45-54"/>
  </r>
  <r>
    <s v="TX0251"/>
    <n v="7402"/>
    <n v="0.11153"/>
    <x v="2"/>
    <n v="37.720999999999997"/>
    <n v="4.51"/>
    <n v="0"/>
    <n v="0"/>
    <x v="0"/>
    <n v="21"/>
    <x v="1"/>
    <x v="4"/>
    <n v="2"/>
    <n v="0"/>
    <n v="2.4729490022172951E-2"/>
    <n v="0.11956204766575648"/>
    <n v="0"/>
    <n v="-1"/>
    <n v="0"/>
    <n v="0"/>
    <s v="18-24"/>
  </r>
  <r>
    <s v="TX0252"/>
    <n v="9027"/>
    <n v="5.8819999999999997E-2"/>
    <x v="1"/>
    <n v="45.588999999999999"/>
    <n v="7.3239999999999998"/>
    <n v="0"/>
    <n v="1"/>
    <x v="2"/>
    <n v="65"/>
    <x v="2"/>
    <x v="0"/>
    <n v="2"/>
    <n v="0.13653741125068269"/>
    <n v="8.0311305297651563E-3"/>
    <n v="0.16065278904999014"/>
    <n v="5.8819999999999997E-2"/>
    <n v="-1"/>
    <n v="0"/>
    <n v="0"/>
    <s v="55+"/>
  </r>
  <r>
    <s v="TX0253"/>
    <n v="9284"/>
    <n v="0"/>
    <x v="2"/>
    <n v="72.168000000000006"/>
    <n v="4.4749999999999996"/>
    <n v="0"/>
    <n v="0"/>
    <x v="0"/>
    <n v="21"/>
    <x v="3"/>
    <x v="1"/>
    <n v="2"/>
    <n v="0"/>
    <n v="0"/>
    <n v="6.2008092229242869E-2"/>
    <n v="0"/>
    <n v="0"/>
    <n v="0"/>
    <n v="0"/>
    <s v="18-24"/>
  </r>
  <r>
    <s v="TX0254"/>
    <n v="3631"/>
    <n v="9.6189999999999998E-2"/>
    <x v="2"/>
    <n v="70.887"/>
    <n v="4.758"/>
    <n v="0.17787"/>
    <n v="1"/>
    <x v="1"/>
    <n v="56"/>
    <x v="0"/>
    <x v="2"/>
    <s v="Nil"/>
    <n v="0.2101723413198823"/>
    <n v="2.0216477511559479E-2"/>
    <n v="6.7120910745270643E-2"/>
    <n v="9.6189999999999998E-2"/>
    <n v="0.84915271857781482"/>
    <n v="1.8491527185778147"/>
    <n v="3.7383354350567465E-2"/>
    <s v="55+"/>
  </r>
  <r>
    <s v="TX0255"/>
    <n v="7077"/>
    <n v="0.10671"/>
    <x v="2"/>
    <n v="11.605"/>
    <n v="0"/>
    <n v="0"/>
    <n v="0"/>
    <x v="3"/>
    <n v="38"/>
    <x v="1"/>
    <x v="1"/>
    <n v="1"/>
    <n v="0"/>
    <n v="0"/>
    <n v="0"/>
    <n v="0"/>
    <n v="-1"/>
    <n v="0"/>
    <n v="0"/>
    <s v="35-44"/>
  </r>
  <r>
    <s v="TX0256"/>
    <n v="6321"/>
    <n v="9.665E-2"/>
    <x v="0"/>
    <n v="61.128"/>
    <n v="8.3439999999999994"/>
    <n v="0.32172000000000001"/>
    <n v="1"/>
    <x v="4"/>
    <n v="44"/>
    <x v="3"/>
    <x v="1"/>
    <n v="3"/>
    <n v="0.11984659635666348"/>
    <n v="1.1583173537871526E-2"/>
    <n v="0.13650045805522837"/>
    <n v="9.665E-2"/>
    <n v="2.3287118468701498"/>
    <n v="3.3287118468701502"/>
    <n v="3.8557046979865776E-2"/>
    <s v="35-44"/>
  </r>
  <r>
    <s v="TX0257"/>
    <n v="3051"/>
    <n v="0.19771"/>
    <x v="4"/>
    <n v="71.346999999999994"/>
    <n v="9.4760000000000009"/>
    <n v="0"/>
    <n v="0"/>
    <x v="1"/>
    <n v="32"/>
    <x v="2"/>
    <x v="3"/>
    <n v="3"/>
    <n v="0"/>
    <n v="2.0864288729421695E-2"/>
    <n v="0.13281567550142265"/>
    <n v="0"/>
    <n v="-1"/>
    <n v="0"/>
    <n v="0"/>
    <s v="25-34"/>
  </r>
  <r>
    <s v="TX0258"/>
    <n v="4784"/>
    <n v="0"/>
    <x v="4"/>
    <n v="17.922999999999998"/>
    <n v="5.3090000000000002"/>
    <n v="0"/>
    <n v="0"/>
    <x v="3"/>
    <n v="54"/>
    <x v="3"/>
    <x v="1"/>
    <n v="4"/>
    <n v="0"/>
    <n v="0"/>
    <n v="0.29621157172348384"/>
    <n v="0"/>
    <n v="0"/>
    <n v="0"/>
    <n v="0"/>
    <s v="45-54"/>
  </r>
  <r>
    <s v="TX0259"/>
    <n v="1699"/>
    <n v="0.17706"/>
    <x v="4"/>
    <n v="4.8310000000000004"/>
    <n v="4.4969999999999999"/>
    <n v="0"/>
    <n v="0"/>
    <x v="1"/>
    <n v="62"/>
    <x v="1"/>
    <x v="2"/>
    <n v="1"/>
    <n v="0"/>
    <n v="3.9372915276851231E-2"/>
    <n v="0.93086317532601937"/>
    <n v="0"/>
    <n v="-1"/>
    <n v="0"/>
    <n v="0"/>
    <s v="55+"/>
  </r>
  <r>
    <s v="TX0260"/>
    <n v="5877"/>
    <n v="9.2259999999999995E-2"/>
    <x v="3"/>
    <n v="79.61"/>
    <n v="6.7670000000000003"/>
    <n v="0.19986999999999999"/>
    <n v="1"/>
    <x v="1"/>
    <n v="57"/>
    <x v="1"/>
    <x v="3"/>
    <s v="Nil"/>
    <n v="0.14777597162701345"/>
    <n v="1.363381114230826E-2"/>
    <n v="8.5001884185403845E-2"/>
    <n v="9.2259999999999995E-2"/>
    <n v="1.1663776284413614"/>
    <n v="2.1663776284413614"/>
    <n v="2.9535983449091176E-2"/>
    <s v="55+"/>
  </r>
  <r>
    <s v="TX0261"/>
    <n v="2386"/>
    <n v="0.13083"/>
    <x v="3"/>
    <n v="96.295000000000002"/>
    <n v="0.44600000000000001"/>
    <n v="0"/>
    <n v="0"/>
    <x v="0"/>
    <n v="26"/>
    <x v="3"/>
    <x v="4"/>
    <n v="4"/>
    <n v="0"/>
    <n v="0.29334080717488792"/>
    <n v="4.6316008100109043E-3"/>
    <n v="0"/>
    <n v="-1"/>
    <n v="0"/>
    <n v="0"/>
    <s v="25-34"/>
  </r>
  <r>
    <s v="TX0262"/>
    <n v="3386"/>
    <n v="1.2630000000000001E-2"/>
    <x v="3"/>
    <n v="6.88"/>
    <n v="3.9449999999999998"/>
    <n v="0"/>
    <n v="0"/>
    <x v="3"/>
    <n v="37"/>
    <x v="3"/>
    <x v="0"/>
    <n v="4"/>
    <n v="0"/>
    <n v="3.2015209125475287E-3"/>
    <n v="0.57340116279069764"/>
    <n v="0"/>
    <n v="-1"/>
    <n v="0"/>
    <n v="0"/>
    <s v="35-44"/>
  </r>
  <r>
    <s v="TX0263"/>
    <n v="2097"/>
    <n v="0.16247"/>
    <x v="0"/>
    <n v="6.41"/>
    <n v="4.915"/>
    <n v="0"/>
    <n v="0"/>
    <x v="4"/>
    <n v="30"/>
    <x v="0"/>
    <x v="1"/>
    <n v="5"/>
    <n v="0"/>
    <n v="3.3055951169888097E-2"/>
    <n v="0.76677067082683303"/>
    <n v="0"/>
    <n v="-1"/>
    <n v="0"/>
    <n v="0"/>
    <s v="25-34"/>
  </r>
  <r>
    <s v="TX0264"/>
    <n v="6876"/>
    <n v="0"/>
    <x v="5"/>
    <n v="96.116"/>
    <n v="3.7919999999999998"/>
    <n v="0"/>
    <n v="0"/>
    <x v="2"/>
    <n v="65"/>
    <x v="3"/>
    <x v="4"/>
    <n v="5"/>
    <n v="0"/>
    <n v="0"/>
    <n v="3.9452328436472596E-2"/>
    <n v="0"/>
    <n v="0"/>
    <n v="0"/>
    <n v="0"/>
    <s v="55+"/>
  </r>
  <r>
    <s v="TX0265"/>
    <n v="5561"/>
    <n v="5.3400000000000003E-2"/>
    <x v="2"/>
    <n v="7.3280000000000003"/>
    <n v="7.2560000000000002"/>
    <n v="0"/>
    <n v="0"/>
    <x v="3"/>
    <n v="41"/>
    <x v="3"/>
    <x v="4"/>
    <n v="5"/>
    <n v="0"/>
    <n v="7.3594266813671446E-3"/>
    <n v="0.99017467248908297"/>
    <n v="0"/>
    <n v="-1"/>
    <n v="0"/>
    <n v="0"/>
    <s v="35-44"/>
  </r>
  <r>
    <s v="TX0266"/>
    <n v="2852"/>
    <n v="0.15372"/>
    <x v="2"/>
    <n v="87.837000000000003"/>
    <n v="8.6059999999999999"/>
    <n v="0"/>
    <n v="0"/>
    <x v="2"/>
    <n v="44"/>
    <x v="2"/>
    <x v="1"/>
    <n v="3"/>
    <n v="0"/>
    <n v="1.786195677434348E-2"/>
    <n v="9.797693454922185E-2"/>
    <n v="0"/>
    <n v="-1"/>
    <n v="0"/>
    <n v="0"/>
    <s v="35-44"/>
  </r>
  <r>
    <s v="TX0267"/>
    <n v="2508"/>
    <n v="9.6149999999999999E-2"/>
    <x v="4"/>
    <n v="47"/>
    <n v="1.839"/>
    <n v="0.13583000000000001"/>
    <n v="1"/>
    <x v="3"/>
    <n v="30"/>
    <x v="2"/>
    <x v="4"/>
    <n v="2"/>
    <n v="0.54377379010331706"/>
    <n v="5.2283849918433933E-2"/>
    <n v="3.9127659574468086E-2"/>
    <n v="9.6149999999999999E-2"/>
    <n v="0.41268850754030167"/>
    <n v="1.4126885075403017"/>
    <n v="7.386079390973356E-2"/>
    <s v="25-34"/>
  </r>
  <r>
    <s v="TX0268"/>
    <n v="2281"/>
    <n v="0.17902999999999999"/>
    <x v="1"/>
    <n v="10.798"/>
    <n v="3.1440000000000001"/>
    <n v="0"/>
    <n v="0"/>
    <x v="5"/>
    <n v="35"/>
    <x v="0"/>
    <x v="0"/>
    <n v="2"/>
    <n v="0"/>
    <n v="5.6943384223918571E-2"/>
    <n v="0.29116503056121507"/>
    <n v="0"/>
    <n v="-1"/>
    <n v="0"/>
    <n v="0"/>
    <s v="35-44"/>
  </r>
  <r>
    <s v="TX0269"/>
    <n v="3263"/>
    <n v="0.15132999999999999"/>
    <x v="5"/>
    <n v="20.952999999999999"/>
    <n v="2.3199999999999998"/>
    <n v="0"/>
    <n v="0"/>
    <x v="3"/>
    <n v="19"/>
    <x v="0"/>
    <x v="2"/>
    <n v="4"/>
    <n v="0"/>
    <n v="6.5228448275862064E-2"/>
    <n v="0.11072400133632415"/>
    <n v="0"/>
    <n v="-1"/>
    <n v="0"/>
    <n v="0"/>
    <s v="18-24"/>
  </r>
  <r>
    <s v="TX0270"/>
    <n v="1486"/>
    <n v="0.15089"/>
    <x v="2"/>
    <n v="90.314999999999998"/>
    <n v="4.5209999999999999"/>
    <n v="0.14063000000000001"/>
    <n v="1"/>
    <x v="2"/>
    <n v="61"/>
    <x v="0"/>
    <x v="2"/>
    <n v="3"/>
    <n v="0.22119000221190002"/>
    <n v="3.3375359433753596E-2"/>
    <n v="5.0058129878757684E-2"/>
    <n v="0.15089"/>
    <n v="-6.7996553780899943E-2"/>
    <n v="0.93200344621910003"/>
    <n v="3.1105950011059501E-2"/>
    <s v="55+"/>
  </r>
  <r>
    <s v="TX0271"/>
    <n v="9178"/>
    <n v="0.15977"/>
    <x v="2"/>
    <n v="12.692"/>
    <n v="1.9370000000000001"/>
    <n v="0"/>
    <n v="0"/>
    <x v="4"/>
    <n v="41"/>
    <x v="0"/>
    <x v="4"/>
    <n v="2"/>
    <n v="0"/>
    <n v="8.2483221476510063E-2"/>
    <n v="0.15261582098959975"/>
    <n v="0"/>
    <n v="-1"/>
    <n v="0"/>
    <n v="0"/>
    <s v="35-44"/>
  </r>
  <r>
    <s v="TX0272"/>
    <n v="1992"/>
    <n v="4.5749999999999999E-2"/>
    <x v="3"/>
    <n v="90.403999999999996"/>
    <n v="9.7539999999999996"/>
    <n v="0"/>
    <n v="0"/>
    <x v="4"/>
    <n v="35"/>
    <x v="1"/>
    <x v="4"/>
    <n v="4"/>
    <n v="0"/>
    <n v="4.6903834324379745E-3"/>
    <n v="0.10789345604176806"/>
    <n v="0"/>
    <n v="-1"/>
    <n v="0"/>
    <n v="0"/>
    <s v="35-44"/>
  </r>
  <r>
    <s v="TX0273"/>
    <n v="9813"/>
    <n v="0"/>
    <x v="2"/>
    <n v="62.045000000000002"/>
    <n v="4.3959999999999999"/>
    <n v="0"/>
    <n v="0"/>
    <x v="2"/>
    <n v="33"/>
    <x v="3"/>
    <x v="0"/>
    <n v="3"/>
    <n v="0"/>
    <n v="0"/>
    <n v="7.0851801112096061E-2"/>
    <n v="0"/>
    <n v="0"/>
    <n v="0"/>
    <n v="0"/>
    <s v="25-34"/>
  </r>
  <r>
    <s v="TX0274"/>
    <n v="3699"/>
    <n v="0.1065"/>
    <x v="2"/>
    <n v="90.084999999999994"/>
    <n v="9.8640000000000008"/>
    <n v="0.48222999999999999"/>
    <n v="1"/>
    <x v="0"/>
    <n v="42"/>
    <x v="0"/>
    <x v="1"/>
    <s v="Nil"/>
    <n v="0.1013787510137875"/>
    <n v="1.0796836982968369E-2"/>
    <n v="0.10949658655714049"/>
    <n v="0.1065"/>
    <n v="3.5279812206572774"/>
    <n v="4.5279812206572769"/>
    <n v="4.8887875101378743E-2"/>
    <s v="35-44"/>
  </r>
  <r>
    <s v="TX0275"/>
    <n v="2334"/>
    <n v="8.4680000000000005E-2"/>
    <x v="5"/>
    <n v="36.371000000000002"/>
    <n v="2.2090000000000001"/>
    <n v="0"/>
    <n v="0"/>
    <x v="3"/>
    <n v="38"/>
    <x v="0"/>
    <x v="2"/>
    <n v="5"/>
    <n v="0"/>
    <n v="3.833408782254414E-2"/>
    <n v="6.0735201121772837E-2"/>
    <n v="0"/>
    <n v="-1"/>
    <n v="0"/>
    <n v="0"/>
    <s v="35-44"/>
  </r>
  <r>
    <s v="TX0276"/>
    <n v="7186"/>
    <n v="2.308E-2"/>
    <x v="0"/>
    <n v="96.1"/>
    <n v="5.9349999999999996"/>
    <n v="0.3024"/>
    <n v="1"/>
    <x v="2"/>
    <n v="18"/>
    <x v="1"/>
    <x v="0"/>
    <s v="Nil"/>
    <n v="0.16849199663016007"/>
    <n v="3.8887952822240944E-3"/>
    <n v="6.1758584807492196E-2"/>
    <n v="2.308E-2"/>
    <n v="12.102253032928944"/>
    <n v="13.102253032928942"/>
    <n v="5.0951979780960409E-2"/>
    <s v="18-24"/>
  </r>
  <r>
    <s v="TX0277"/>
    <n v="1912"/>
    <n v="2.5159999999999998E-2"/>
    <x v="5"/>
    <n v="92"/>
    <n v="4.4560000000000004"/>
    <n v="0.42605999999999999"/>
    <n v="1"/>
    <x v="2"/>
    <n v="19"/>
    <x v="0"/>
    <x v="0"/>
    <n v="5"/>
    <n v="0.22441651705565527"/>
    <n v="5.646319569120286E-3"/>
    <n v="4.8434782608695659E-2"/>
    <n v="2.5159999999999998E-2"/>
    <n v="15.934022257551669"/>
    <n v="16.934022257551671"/>
    <n v="9.5614901256732485E-2"/>
    <s v="18-24"/>
  </r>
  <r>
    <s v="TX0278"/>
    <n v="9946"/>
    <n v="0.14162"/>
    <x v="3"/>
    <n v="26.495000000000001"/>
    <n v="5.1550000000000002"/>
    <n v="0"/>
    <n v="0"/>
    <x v="4"/>
    <n v="28"/>
    <x v="3"/>
    <x v="2"/>
    <s v="Nil"/>
    <n v="0"/>
    <n v="2.7472356935014548E-2"/>
    <n v="0.19456501226646536"/>
    <n v="0"/>
    <n v="-1"/>
    <n v="0"/>
    <n v="0"/>
    <s v="25-34"/>
  </r>
  <r>
    <s v="TX0279"/>
    <n v="8112"/>
    <n v="3.5779999999999999E-2"/>
    <x v="0"/>
    <n v="10.224"/>
    <n v="3.1539999999999999"/>
    <n v="0"/>
    <n v="0"/>
    <x v="3"/>
    <n v="60"/>
    <x v="0"/>
    <x v="4"/>
    <n v="5"/>
    <n v="0"/>
    <n v="1.1344324667089411E-2"/>
    <n v="0.30848982785602502"/>
    <n v="0"/>
    <n v="-1"/>
    <n v="0"/>
    <n v="0"/>
    <s v="55+"/>
  </r>
  <r>
    <s v="TX0280"/>
    <n v="4840"/>
    <n v="0.15218000000000001"/>
    <x v="1"/>
    <n v="7.8559999999999999"/>
    <n v="9.4610000000000003"/>
    <n v="0"/>
    <n v="0"/>
    <x v="3"/>
    <n v="57"/>
    <x v="0"/>
    <x v="3"/>
    <n v="3"/>
    <n v="0"/>
    <n v="1.6084980446041647E-2"/>
    <n v="1.2043024439918535"/>
    <n v="0"/>
    <n v="-1"/>
    <n v="0"/>
    <n v="0"/>
    <s v="55+"/>
  </r>
  <r>
    <s v="TX0281"/>
    <n v="3417"/>
    <n v="5.5030000000000003E-2"/>
    <x v="3"/>
    <n v="79.790000000000006"/>
    <n v="0.127"/>
    <n v="0"/>
    <n v="0"/>
    <x v="4"/>
    <n v="26"/>
    <x v="1"/>
    <x v="3"/>
    <n v="1"/>
    <n v="0"/>
    <n v="0.43330708661417322"/>
    <n v="1.5916781551572879E-3"/>
    <n v="0"/>
    <n v="-1"/>
    <n v="0"/>
    <n v="0"/>
    <s v="25-34"/>
  </r>
  <r>
    <s v="TX0282"/>
    <n v="9770"/>
    <n v="0.19688"/>
    <x v="4"/>
    <n v="95.384"/>
    <n v="7.577"/>
    <n v="0"/>
    <n v="0"/>
    <x v="3"/>
    <n v="47"/>
    <x v="2"/>
    <x v="2"/>
    <s v="Nil"/>
    <n v="0"/>
    <n v="2.5983898640622938E-2"/>
    <n v="7.94368028180827E-2"/>
    <n v="0"/>
    <n v="-1"/>
    <n v="0"/>
    <n v="0"/>
    <s v="45-54"/>
  </r>
  <r>
    <s v="TX0283"/>
    <n v="1762"/>
    <n v="0"/>
    <x v="0"/>
    <n v="4.6790000000000003"/>
    <n v="4.1829999999999998"/>
    <n v="0.40760999999999997"/>
    <n v="1"/>
    <x v="2"/>
    <n v="41"/>
    <x v="1"/>
    <x v="0"/>
    <s v="Nil"/>
    <n v="0.23906287353573991"/>
    <n v="0"/>
    <n v="0.89399444325710609"/>
    <n v="0"/>
    <n v="0"/>
    <e v="#DIV/0!"/>
    <n v="9.7444417881902931E-2"/>
    <s v="35-44"/>
  </r>
  <r>
    <s v="TX0284"/>
    <n v="6745"/>
    <n v="5.8889999999999998E-2"/>
    <x v="2"/>
    <n v="96.233999999999995"/>
    <n v="8.3870000000000005"/>
    <n v="0"/>
    <n v="0"/>
    <x v="0"/>
    <n v="62"/>
    <x v="2"/>
    <x v="2"/>
    <s v="Nil"/>
    <n v="0"/>
    <n v="7.0215810182425176E-3"/>
    <n v="8.7152149967786863E-2"/>
    <n v="0"/>
    <n v="-1"/>
    <n v="0"/>
    <n v="0"/>
    <s v="55+"/>
  </r>
  <r>
    <s v="TX0285"/>
    <n v="9264"/>
    <n v="7.2980000000000003E-2"/>
    <x v="2"/>
    <n v="68.113"/>
    <n v="5.3570000000000002"/>
    <n v="0.40248"/>
    <n v="1"/>
    <x v="0"/>
    <n v="39"/>
    <x v="3"/>
    <x v="1"/>
    <n v="3"/>
    <n v="0.18667164457718871"/>
    <n v="1.3623296621243234E-2"/>
    <n v="7.8648716104121094E-2"/>
    <n v="7.2980000000000003E-2"/>
    <n v="4.5149355987941906"/>
    <n v="5.5149355987941897"/>
    <n v="7.5131603509426922E-2"/>
    <s v="35-44"/>
  </r>
  <r>
    <s v="TX0286"/>
    <n v="3154"/>
    <n v="0"/>
    <x v="0"/>
    <n v="48.917999999999999"/>
    <n v="7.7039999999999997"/>
    <n v="0"/>
    <n v="0"/>
    <x v="4"/>
    <n v="47"/>
    <x v="1"/>
    <x v="3"/>
    <n v="1"/>
    <n v="0"/>
    <n v="0"/>
    <n v="0.15748804121182386"/>
    <n v="0"/>
    <n v="0"/>
    <n v="0"/>
    <n v="0"/>
    <s v="45-54"/>
  </r>
  <r>
    <s v="TX0287"/>
    <n v="6257"/>
    <n v="0.15426000000000001"/>
    <x v="2"/>
    <n v="16.09"/>
    <n v="1.4650000000000001"/>
    <n v="0"/>
    <n v="0"/>
    <x v="1"/>
    <n v="57"/>
    <x v="1"/>
    <x v="3"/>
    <n v="1"/>
    <n v="0"/>
    <n v="0.10529692832764505"/>
    <n v="9.1050341827221881E-2"/>
    <n v="0"/>
    <n v="-1"/>
    <n v="0"/>
    <n v="0"/>
    <s v="55+"/>
  </r>
  <r>
    <s v="TX0288"/>
    <n v="5494"/>
    <n v="6.9320000000000007E-2"/>
    <x v="2"/>
    <n v="49.497"/>
    <n v="0.36399999999999999"/>
    <n v="0.24440000000000001"/>
    <n v="1"/>
    <x v="1"/>
    <n v="19"/>
    <x v="2"/>
    <x v="0"/>
    <n v="5"/>
    <n v="2.7472527472527473"/>
    <n v="0.19043956043956045"/>
    <n v="7.3539810493565266E-3"/>
    <n v="6.9320000000000007E-2"/>
    <n v="2.5256780150028852"/>
    <n v="3.5256780150028848"/>
    <n v="0.67142857142857149"/>
    <s v="18-24"/>
  </r>
  <r>
    <s v="TX0289"/>
    <n v="4861"/>
    <n v="6.6800000000000002E-3"/>
    <x v="0"/>
    <n v="65.933000000000007"/>
    <n v="8.5820000000000007"/>
    <n v="0"/>
    <n v="0"/>
    <x v="4"/>
    <n v="36"/>
    <x v="1"/>
    <x v="3"/>
    <n v="4"/>
    <n v="0"/>
    <n v="7.7837333954789084E-4"/>
    <n v="0.13016243762607496"/>
    <n v="0"/>
    <n v="-1"/>
    <n v="0"/>
    <n v="0"/>
    <s v="35-44"/>
  </r>
  <r>
    <s v="TX0290"/>
    <n v="4822"/>
    <n v="0"/>
    <x v="1"/>
    <n v="89.352000000000004"/>
    <n v="6.3259999999999996"/>
    <n v="0"/>
    <n v="0"/>
    <x v="3"/>
    <n v="46"/>
    <x v="1"/>
    <x v="3"/>
    <n v="3"/>
    <n v="0"/>
    <n v="0"/>
    <n v="7.079863909033933E-2"/>
    <n v="0"/>
    <n v="0"/>
    <n v="0"/>
    <n v="0"/>
    <s v="45-54"/>
  </r>
  <r>
    <s v="TX0291"/>
    <n v="2952"/>
    <n v="4.4519999999999997E-2"/>
    <x v="1"/>
    <n v="32.798999999999999"/>
    <n v="8.5630000000000006"/>
    <n v="0.29820000000000002"/>
    <n v="1"/>
    <x v="3"/>
    <n v="30"/>
    <x v="2"/>
    <x v="3"/>
    <n v="2"/>
    <n v="0.11678150181011326"/>
    <n v="5.1991124605862424E-3"/>
    <n v="0.26107503277538952"/>
    <n v="4.4519999999999997E-2"/>
    <n v="5.6981132075471708"/>
    <n v="6.6981132075471708"/>
    <n v="3.4824243839775781E-2"/>
    <s v="25-34"/>
  </r>
  <r>
    <s v="TX0292"/>
    <n v="5219"/>
    <n v="7.6100000000000001E-2"/>
    <x v="2"/>
    <n v="56.164999999999999"/>
    <n v="6.085"/>
    <n v="0.30568000000000001"/>
    <n v="1"/>
    <x v="4"/>
    <n v="31"/>
    <x v="0"/>
    <x v="3"/>
    <n v="2"/>
    <n v="0.16433853738701726"/>
    <n v="1.2506162695152014E-2"/>
    <n v="0.10834149381287278"/>
    <n v="7.6100000000000001E-2"/>
    <n v="3.0168199737187913"/>
    <n v="4.0168199737187908"/>
    <n v="5.0235004108463439E-2"/>
    <s v="25-34"/>
  </r>
  <r>
    <s v="TX0293"/>
    <n v="3099"/>
    <n v="0.19522"/>
    <x v="0"/>
    <n v="82.906999999999996"/>
    <n v="7.64"/>
    <n v="0.30512"/>
    <n v="1"/>
    <x v="4"/>
    <n v="29"/>
    <x v="3"/>
    <x v="0"/>
    <n v="2"/>
    <n v="0.13089005235602094"/>
    <n v="2.5552356020942409E-2"/>
    <n v="9.2151446801838205E-2"/>
    <n v="0.19522"/>
    <n v="0.56295461530580881"/>
    <n v="1.5629546153058087"/>
    <n v="3.9937172774869113E-2"/>
    <s v="25-34"/>
  </r>
  <r>
    <s v="TX0294"/>
    <n v="2012"/>
    <n v="5.9520000000000003E-2"/>
    <x v="0"/>
    <n v="50.557000000000002"/>
    <n v="2.5"/>
    <n v="0"/>
    <n v="0"/>
    <x v="4"/>
    <n v="45"/>
    <x v="1"/>
    <x v="0"/>
    <n v="1"/>
    <n v="0"/>
    <n v="2.3808000000000003E-2"/>
    <n v="4.9449136618074645E-2"/>
    <n v="0"/>
    <n v="-1"/>
    <n v="0"/>
    <n v="0"/>
    <s v="45-54"/>
  </r>
  <r>
    <s v="TX0295"/>
    <n v="1330"/>
    <n v="9.0560000000000002E-2"/>
    <x v="0"/>
    <n v="71.524000000000001"/>
    <n v="9.8659999999999997"/>
    <n v="0"/>
    <n v="0"/>
    <x v="0"/>
    <n v="22"/>
    <x v="0"/>
    <x v="2"/>
    <s v="Nil"/>
    <n v="0"/>
    <n v="9.1789985809852016E-3"/>
    <n v="0.13793971254404117"/>
    <n v="0"/>
    <n v="-1"/>
    <n v="0"/>
    <n v="0"/>
    <s v="18-24"/>
  </r>
  <r>
    <s v="TX0296"/>
    <n v="8263"/>
    <n v="0.11817999999999999"/>
    <x v="3"/>
    <n v="18.288"/>
    <n v="8.6240000000000006"/>
    <n v="0"/>
    <n v="0"/>
    <x v="5"/>
    <n v="25"/>
    <x v="1"/>
    <x v="1"/>
    <n v="1"/>
    <n v="0"/>
    <n v="1.3703617810760666E-2"/>
    <n v="0.47156605424321962"/>
    <n v="0"/>
    <n v="-1"/>
    <n v="0"/>
    <n v="0"/>
    <s v="25-34"/>
  </r>
  <r>
    <s v="TX0297"/>
    <n v="9970"/>
    <n v="0.16353999999999999"/>
    <x v="2"/>
    <n v="51.932000000000002"/>
    <n v="2.8460000000000001"/>
    <n v="0.26185999999999998"/>
    <n v="1"/>
    <x v="5"/>
    <n v="44"/>
    <x v="0"/>
    <x v="2"/>
    <n v="5"/>
    <n v="0.35137034434293746"/>
    <n v="5.746310611384399E-2"/>
    <n v="5.4802433952091195E-2"/>
    <n v="0.16353999999999999"/>
    <n v="0.60119848355142469"/>
    <n v="1.6011984835514248"/>
    <n v="9.2009838369641592E-2"/>
    <s v="35-44"/>
  </r>
  <r>
    <s v="TX0298"/>
    <n v="2176"/>
    <n v="0"/>
    <x v="4"/>
    <n v="65.549000000000007"/>
    <n v="4.4340000000000002"/>
    <n v="8.7959999999999997E-2"/>
    <n v="1"/>
    <x v="3"/>
    <n v="64"/>
    <x v="3"/>
    <x v="3"/>
    <n v="5"/>
    <n v="0.22552999548940009"/>
    <n v="0"/>
    <n v="6.7644052540847308E-2"/>
    <n v="0"/>
    <n v="0"/>
    <e v="#DIV/0!"/>
    <n v="1.9837618403247631E-2"/>
    <s v="55+"/>
  </r>
  <r>
    <s v="TX0299"/>
    <n v="7765"/>
    <n v="0.10253"/>
    <x v="3"/>
    <n v="84.667000000000002"/>
    <n v="5.79"/>
    <n v="0"/>
    <n v="0"/>
    <x v="1"/>
    <n v="32"/>
    <x v="3"/>
    <x v="0"/>
    <n v="2"/>
    <n v="0"/>
    <n v="1.7708117443868739E-2"/>
    <n v="6.8385557537175054E-2"/>
    <n v="0"/>
    <n v="-1"/>
    <n v="0"/>
    <n v="0"/>
    <s v="25-34"/>
  </r>
  <r>
    <s v="TX0300"/>
    <n v="7532"/>
    <n v="0.11174000000000001"/>
    <x v="5"/>
    <n v="84.415000000000006"/>
    <n v="3.1110000000000002"/>
    <n v="0.29696"/>
    <n v="1"/>
    <x v="0"/>
    <n v="41"/>
    <x v="0"/>
    <x v="1"/>
    <n v="5"/>
    <n v="0.32144005143040821"/>
    <n v="3.5917711346833817E-2"/>
    <n v="3.6853639755967539E-2"/>
    <n v="0.11174000000000001"/>
    <n v="1.6575979953463396"/>
    <n v="2.6575979953463396"/>
    <n v="9.5454837672774018E-2"/>
    <s v="35-44"/>
  </r>
  <r>
    <s v="TX0301"/>
    <n v="7534"/>
    <n v="3.7960000000000001E-2"/>
    <x v="1"/>
    <n v="12.436999999999999"/>
    <n v="4.6319999999999997"/>
    <n v="0"/>
    <n v="0"/>
    <x v="2"/>
    <n v="54"/>
    <x v="2"/>
    <x v="2"/>
    <n v="3"/>
    <n v="0"/>
    <n v="8.1951640759930916E-3"/>
    <n v="0.37243708289780492"/>
    <n v="0"/>
    <n v="-1"/>
    <n v="0"/>
    <n v="0"/>
    <s v="45-54"/>
  </r>
  <r>
    <s v="TX0302"/>
    <n v="1605"/>
    <n v="8.2549999999999998E-2"/>
    <x v="4"/>
    <n v="76.146000000000001"/>
    <n v="0.70399999999999996"/>
    <n v="0"/>
    <n v="0"/>
    <x v="0"/>
    <n v="27"/>
    <x v="2"/>
    <x v="1"/>
    <n v="5"/>
    <n v="0"/>
    <n v="0.11725852272727273"/>
    <n v="9.2453970004990407E-3"/>
    <n v="0"/>
    <n v="-1"/>
    <n v="0"/>
    <n v="0"/>
    <s v="25-34"/>
  </r>
  <r>
    <s v="TX0303"/>
    <n v="2878"/>
    <n v="0.18271999999999999"/>
    <x v="3"/>
    <n v="12.561999999999999"/>
    <n v="7.9669999999999996"/>
    <n v="0"/>
    <n v="1"/>
    <x v="1"/>
    <n v="57"/>
    <x v="1"/>
    <x v="2"/>
    <n v="4"/>
    <n v="0.125517760763148"/>
    <n v="2.2934605246642401E-2"/>
    <n v="0.63421429708645116"/>
    <n v="0.18271999999999999"/>
    <n v="-1"/>
    <n v="0"/>
    <n v="0"/>
    <s v="55+"/>
  </r>
  <r>
    <s v="TX0304"/>
    <n v="7238"/>
    <n v="0"/>
    <x v="1"/>
    <n v="35.161000000000001"/>
    <n v="3.0939999999999999"/>
    <n v="0.37744"/>
    <n v="1"/>
    <x v="0"/>
    <n v="24"/>
    <x v="2"/>
    <x v="3"/>
    <n v="3"/>
    <n v="0.32320620555914675"/>
    <n v="0"/>
    <n v="8.7995221978897073E-2"/>
    <n v="0"/>
    <n v="0"/>
    <e v="#DIV/0!"/>
    <n v="0.12199095022624434"/>
    <s v="18-24"/>
  </r>
  <r>
    <s v="TX0305"/>
    <n v="5300"/>
    <n v="0.12736"/>
    <x v="4"/>
    <n v="12.039"/>
    <n v="3.621"/>
    <n v="0"/>
    <n v="0"/>
    <x v="4"/>
    <n v="20"/>
    <x v="2"/>
    <x v="0"/>
    <n v="3"/>
    <n v="0"/>
    <n v="3.5172604252968795E-2"/>
    <n v="0.30077248940941942"/>
    <n v="0"/>
    <n v="-1"/>
    <n v="0"/>
    <n v="0"/>
    <s v="18-24"/>
  </r>
  <r>
    <s v="TX0306"/>
    <n v="7424"/>
    <n v="3.5389999999999998E-2"/>
    <x v="0"/>
    <n v="87.917000000000002"/>
    <n v="2.1960000000000002"/>
    <n v="0"/>
    <n v="0"/>
    <x v="5"/>
    <n v="37"/>
    <x v="3"/>
    <x v="2"/>
    <n v="1"/>
    <n v="0"/>
    <n v="1.6115664845173041E-2"/>
    <n v="2.4978104348419534E-2"/>
    <n v="0"/>
    <n v="-1"/>
    <n v="0"/>
    <n v="0"/>
    <s v="35-44"/>
  </r>
  <r>
    <s v="TX0307"/>
    <n v="2418"/>
    <n v="0.19986000000000001"/>
    <x v="2"/>
    <n v="85.515000000000001"/>
    <n v="1.4770000000000001"/>
    <n v="0"/>
    <n v="0"/>
    <x v="3"/>
    <n v="18"/>
    <x v="3"/>
    <x v="4"/>
    <n v="3"/>
    <n v="0"/>
    <n v="0.13531482735274206"/>
    <n v="1.7271823656668423E-2"/>
    <n v="0"/>
    <n v="-1"/>
    <n v="0"/>
    <n v="0"/>
    <s v="18-24"/>
  </r>
  <r>
    <s v="TX0308"/>
    <n v="8849"/>
    <n v="0.17599000000000001"/>
    <x v="2"/>
    <n v="90.164000000000001"/>
    <n v="5.7240000000000002"/>
    <n v="0"/>
    <n v="1"/>
    <x v="3"/>
    <n v="33"/>
    <x v="3"/>
    <x v="4"/>
    <n v="2"/>
    <n v="0.17470300489168414"/>
    <n v="3.0745981830887493E-2"/>
    <n v="6.3484317465950929E-2"/>
    <n v="0.17599000000000001"/>
    <n v="-1"/>
    <n v="0"/>
    <n v="0"/>
    <s v="25-34"/>
  </r>
  <r>
    <s v="TX0309"/>
    <n v="4202"/>
    <n v="0"/>
    <x v="1"/>
    <n v="80.117000000000004"/>
    <n v="4.032"/>
    <n v="0"/>
    <n v="0"/>
    <x v="5"/>
    <n v="44"/>
    <x v="2"/>
    <x v="2"/>
    <n v="4"/>
    <n v="0"/>
    <n v="0"/>
    <n v="5.0326397643446458E-2"/>
    <n v="0"/>
    <n v="0"/>
    <n v="0"/>
    <n v="0"/>
    <s v="35-44"/>
  </r>
  <r>
    <s v="TX0310"/>
    <n v="9324"/>
    <n v="0.17039000000000001"/>
    <x v="3"/>
    <n v="62.573999999999998"/>
    <n v="8.4610000000000003"/>
    <n v="0.20200000000000001"/>
    <n v="1"/>
    <x v="2"/>
    <n v="38"/>
    <x v="0"/>
    <x v="3"/>
    <n v="2"/>
    <n v="0.11818933932159319"/>
    <n v="2.0138281527006266E-2"/>
    <n v="0.13521590436922684"/>
    <n v="0.17039000000000001"/>
    <n v="0.18551558190034625"/>
    <n v="1.1855155819003462"/>
    <n v="2.3874246542961827E-2"/>
    <s v="35-44"/>
  </r>
  <r>
    <s v="TX0311"/>
    <n v="6159"/>
    <n v="0.18698999999999999"/>
    <x v="0"/>
    <n v="16.018000000000001"/>
    <n v="0.876"/>
    <n v="0"/>
    <n v="0"/>
    <x v="4"/>
    <n v="25"/>
    <x v="2"/>
    <x v="0"/>
    <n v="4"/>
    <n v="0"/>
    <n v="0.21345890410958904"/>
    <n v="5.4688475465101756E-2"/>
    <n v="0"/>
    <n v="-1"/>
    <n v="0"/>
    <n v="0"/>
    <s v="25-34"/>
  </r>
  <r>
    <s v="TX0312"/>
    <n v="8678"/>
    <n v="6.3800000000000003E-3"/>
    <x v="3"/>
    <n v="13.686999999999999"/>
    <n v="0.99"/>
    <n v="0"/>
    <n v="1"/>
    <x v="4"/>
    <n v="39"/>
    <x v="3"/>
    <x v="2"/>
    <n v="3"/>
    <n v="1.0101010101010102"/>
    <n v="6.4444444444444445E-3"/>
    <n v="7.2331409366552205E-2"/>
    <n v="6.3800000000000003E-3"/>
    <n v="-1"/>
    <n v="0"/>
    <n v="0"/>
    <s v="35-44"/>
  </r>
  <r>
    <s v="TX0313"/>
    <n v="1179"/>
    <n v="0.16006000000000001"/>
    <x v="5"/>
    <n v="16.550999999999998"/>
    <n v="5.516"/>
    <n v="0"/>
    <n v="0"/>
    <x v="1"/>
    <n v="45"/>
    <x v="2"/>
    <x v="0"/>
    <n v="1"/>
    <n v="0"/>
    <n v="2.9017403915881073E-2"/>
    <n v="0.33327291402332188"/>
    <n v="0"/>
    <n v="-1"/>
    <n v="0"/>
    <n v="0"/>
    <s v="45-54"/>
  </r>
  <r>
    <s v="TX0314"/>
    <n v="8302"/>
    <n v="0.13189000000000001"/>
    <x v="4"/>
    <n v="38.454000000000001"/>
    <n v="5.8179999999999996"/>
    <n v="0"/>
    <n v="0"/>
    <x v="0"/>
    <n v="57"/>
    <x v="0"/>
    <x v="3"/>
    <n v="1"/>
    <n v="0"/>
    <n v="2.2669302165692681E-2"/>
    <n v="0.15129765434025066"/>
    <n v="0"/>
    <n v="-1"/>
    <n v="0"/>
    <n v="0"/>
    <s v="55+"/>
  </r>
  <r>
    <s v="TX0315"/>
    <n v="8400"/>
    <n v="4.7210000000000002E-2"/>
    <x v="5"/>
    <n v="82.790999999999997"/>
    <n v="6.21"/>
    <n v="0"/>
    <n v="0"/>
    <x v="3"/>
    <n v="60"/>
    <x v="3"/>
    <x v="3"/>
    <n v="3"/>
    <n v="0"/>
    <n v="7.6022544283413851E-3"/>
    <n v="7.5008153060115226E-2"/>
    <n v="0"/>
    <n v="-1"/>
    <n v="0"/>
    <n v="0"/>
    <s v="55+"/>
  </r>
  <r>
    <s v="TX0316"/>
    <n v="6688"/>
    <n v="0"/>
    <x v="2"/>
    <n v="3.3730000000000002"/>
    <n v="3.3620000000000001"/>
    <n v="0"/>
    <n v="0"/>
    <x v="0"/>
    <n v="21"/>
    <x v="0"/>
    <x v="2"/>
    <n v="2"/>
    <n v="0"/>
    <n v="0"/>
    <n v="0.99673880818262672"/>
    <n v="0"/>
    <n v="0"/>
    <n v="0"/>
    <n v="0"/>
    <s v="18-24"/>
  </r>
  <r>
    <s v="TX0317"/>
    <n v="7770"/>
    <n v="0"/>
    <x v="1"/>
    <n v="15.051"/>
    <n v="2.0409999999999999"/>
    <n v="0.49397999999999997"/>
    <n v="1"/>
    <x v="3"/>
    <n v="53"/>
    <x v="0"/>
    <x v="2"/>
    <n v="4"/>
    <n v="0.48995590396864286"/>
    <n v="0"/>
    <n v="0.13560560760082385"/>
    <n v="0"/>
    <n v="0"/>
    <e v="#DIV/0!"/>
    <n v="0.24202841744243017"/>
    <s v="45-54"/>
  </r>
  <r>
    <s v="TX0318"/>
    <n v="7037"/>
    <n v="1.7590000000000001E-2"/>
    <x v="0"/>
    <n v="17.901"/>
    <n v="0.79300000000000004"/>
    <n v="0"/>
    <n v="0"/>
    <x v="5"/>
    <n v="35"/>
    <x v="3"/>
    <x v="1"/>
    <s v="Nil"/>
    <n v="0"/>
    <n v="2.2181588902900378E-2"/>
    <n v="4.4299201161946265E-2"/>
    <n v="0"/>
    <n v="-1"/>
    <n v="0"/>
    <n v="0"/>
    <s v="35-44"/>
  </r>
  <r>
    <s v="TX0319"/>
    <n v="6462"/>
    <n v="0"/>
    <x v="3"/>
    <n v="18.204000000000001"/>
    <n v="1.038"/>
    <n v="0"/>
    <n v="0"/>
    <x v="1"/>
    <n v="57"/>
    <x v="3"/>
    <x v="2"/>
    <n v="3"/>
    <n v="0"/>
    <n v="0"/>
    <n v="5.7020435069215558E-2"/>
    <n v="0"/>
    <n v="0"/>
    <n v="0"/>
    <n v="0"/>
    <s v="55+"/>
  </r>
  <r>
    <s v="TX0320"/>
    <n v="9508"/>
    <n v="0.15465000000000001"/>
    <x v="2"/>
    <n v="68.882999999999996"/>
    <n v="9.7989999999999995"/>
    <n v="0"/>
    <n v="0"/>
    <x v="3"/>
    <n v="52"/>
    <x v="3"/>
    <x v="3"/>
    <n v="2"/>
    <n v="0"/>
    <n v="1.5782222675783244E-2"/>
    <n v="0.14225570895576559"/>
    <n v="0"/>
    <n v="-1"/>
    <n v="0"/>
    <n v="0"/>
    <s v="45-54"/>
  </r>
  <r>
    <s v="TX0321"/>
    <n v="3578"/>
    <n v="0.16495000000000001"/>
    <x v="0"/>
    <n v="51.55"/>
    <n v="3.26"/>
    <n v="0"/>
    <n v="0"/>
    <x v="4"/>
    <n v="42"/>
    <x v="0"/>
    <x v="4"/>
    <n v="4"/>
    <n v="0"/>
    <n v="5.0598159509202462E-2"/>
    <n v="6.3239573229873905E-2"/>
    <n v="0"/>
    <n v="-1"/>
    <n v="0"/>
    <n v="0"/>
    <s v="35-44"/>
  </r>
  <r>
    <s v="TX0322"/>
    <n v="1956"/>
    <n v="5.6500000000000002E-2"/>
    <x v="1"/>
    <n v="44.82"/>
    <n v="5.827"/>
    <n v="0.23202"/>
    <n v="1"/>
    <x v="2"/>
    <n v="43"/>
    <x v="1"/>
    <x v="2"/>
    <n v="4"/>
    <n v="0.17161489617298781"/>
    <n v="9.6962416337738125E-3"/>
    <n v="0.13000892458723784"/>
    <n v="5.6500000000000002E-2"/>
    <n v="3.1065486725663716"/>
    <n v="4.1065486725663716"/>
    <n v="3.9818088210056633E-2"/>
    <s v="35-44"/>
  </r>
  <r>
    <s v="TX0323"/>
    <n v="7093"/>
    <n v="6.3829999999999998E-2"/>
    <x v="4"/>
    <n v="67.81"/>
    <n v="8.1769999999999996"/>
    <n v="0"/>
    <n v="0"/>
    <x v="2"/>
    <n v="41"/>
    <x v="0"/>
    <x v="3"/>
    <s v="Nil"/>
    <n v="0"/>
    <n v="7.8060413354530999E-3"/>
    <n v="0.12058693408051908"/>
    <n v="0"/>
    <n v="-1"/>
    <n v="0"/>
    <n v="0"/>
    <s v="35-44"/>
  </r>
  <r>
    <s v="TX0324"/>
    <n v="6719"/>
    <n v="8.8150000000000006E-2"/>
    <x v="2"/>
    <n v="9.6809999999999992"/>
    <n v="5.3739999999999997"/>
    <n v="0"/>
    <n v="0"/>
    <x v="1"/>
    <n v="40"/>
    <x v="1"/>
    <x v="2"/>
    <n v="5"/>
    <n v="0"/>
    <n v="1.6403051730554525E-2"/>
    <n v="0.55510794339427749"/>
    <n v="0"/>
    <n v="-1"/>
    <n v="0"/>
    <n v="0"/>
    <s v="35-44"/>
  </r>
  <r>
    <s v="TX0325"/>
    <n v="7452"/>
    <n v="3.916E-2"/>
    <x v="3"/>
    <n v="17.565000000000001"/>
    <n v="2.6629999999999998"/>
    <n v="0"/>
    <n v="0"/>
    <x v="3"/>
    <n v="26"/>
    <x v="0"/>
    <x v="1"/>
    <n v="4"/>
    <n v="0"/>
    <n v="1.4705219677055953E-2"/>
    <n v="0.15160831198405919"/>
    <n v="0"/>
    <n v="-1"/>
    <n v="0"/>
    <n v="0"/>
    <s v="25-34"/>
  </r>
  <r>
    <s v="TX0326"/>
    <n v="9578"/>
    <n v="8.3140000000000006E-2"/>
    <x v="3"/>
    <n v="81.158000000000001"/>
    <n v="4.0129999999999999"/>
    <n v="0"/>
    <n v="0"/>
    <x v="3"/>
    <n v="41"/>
    <x v="2"/>
    <x v="1"/>
    <n v="3"/>
    <n v="0"/>
    <n v="2.0717667580363818E-2"/>
    <n v="4.9446758175410922E-2"/>
    <n v="0"/>
    <n v="-1"/>
    <n v="0"/>
    <n v="0"/>
    <s v="35-44"/>
  </r>
  <r>
    <s v="TX0327"/>
    <n v="7582"/>
    <n v="5.1249999999999997E-2"/>
    <x v="1"/>
    <n v="94.141999999999996"/>
    <n v="2.2240000000000002"/>
    <n v="0.10879"/>
    <n v="1"/>
    <x v="0"/>
    <n v="41"/>
    <x v="1"/>
    <x v="3"/>
    <n v="1"/>
    <n v="0.44964028776978415"/>
    <n v="2.3044064748201434E-2"/>
    <n v="2.362388731915617E-2"/>
    <n v="5.1249999999999997E-2"/>
    <n v="1.1227317073170733"/>
    <n v="2.1227317073170733"/>
    <n v="4.8916366906474815E-2"/>
    <s v="35-44"/>
  </r>
  <r>
    <s v="TX0328"/>
    <n v="2832"/>
    <n v="7.4520000000000003E-2"/>
    <x v="4"/>
    <n v="81.406000000000006"/>
    <n v="9.2789999999999999"/>
    <n v="0"/>
    <n v="0"/>
    <x v="2"/>
    <n v="44"/>
    <x v="0"/>
    <x v="1"/>
    <n v="2"/>
    <n v="0"/>
    <n v="8.0310378273520857E-3"/>
    <n v="0.11398422720683977"/>
    <n v="0"/>
    <n v="-1"/>
    <n v="0"/>
    <n v="0"/>
    <s v="35-44"/>
  </r>
  <r>
    <s v="TX0329"/>
    <n v="7614"/>
    <n v="0.15115999999999999"/>
    <x v="5"/>
    <n v="32.686999999999998"/>
    <n v="7.968"/>
    <n v="0"/>
    <n v="0"/>
    <x v="3"/>
    <n v="43"/>
    <x v="0"/>
    <x v="0"/>
    <n v="4"/>
    <n v="0"/>
    <n v="1.8970883534136545E-2"/>
    <n v="0.24376663505369109"/>
    <n v="0"/>
    <n v="-1"/>
    <n v="0"/>
    <n v="0"/>
    <s v="35-44"/>
  </r>
  <r>
    <s v="TX0330"/>
    <n v="4157"/>
    <n v="9.554E-2"/>
    <x v="4"/>
    <n v="72.216999999999999"/>
    <n v="7.5979999999999999"/>
    <n v="0"/>
    <n v="0"/>
    <x v="0"/>
    <n v="39"/>
    <x v="0"/>
    <x v="1"/>
    <n v="4"/>
    <n v="0"/>
    <n v="1.2574361674124769E-2"/>
    <n v="0.10521068446487669"/>
    <n v="0"/>
    <n v="-1"/>
    <n v="0"/>
    <n v="0"/>
    <s v="35-44"/>
  </r>
  <r>
    <s v="TX0331"/>
    <n v="5292"/>
    <n v="0.18228"/>
    <x v="4"/>
    <n v="27.234999999999999"/>
    <n v="3.9689999999999999"/>
    <n v="0"/>
    <n v="0"/>
    <x v="3"/>
    <n v="43"/>
    <x v="0"/>
    <x v="0"/>
    <n v="2"/>
    <n v="0"/>
    <n v="4.5925925925925926E-2"/>
    <n v="0.14573159537360014"/>
    <n v="0"/>
    <n v="-1"/>
    <n v="0"/>
    <n v="0"/>
    <s v="35-44"/>
  </r>
  <r>
    <s v="TX0332"/>
    <n v="5666"/>
    <n v="7.8649999999999998E-2"/>
    <x v="1"/>
    <n v="71.835999999999999"/>
    <n v="8.9760000000000009"/>
    <n v="0"/>
    <n v="1"/>
    <x v="4"/>
    <n v="54"/>
    <x v="1"/>
    <x v="4"/>
    <n v="3"/>
    <n v="0.11140819964349374"/>
    <n v="8.7622549019607827E-3"/>
    <n v="0.12495127791079683"/>
    <n v="7.8649999999999998E-2"/>
    <n v="-1"/>
    <n v="0"/>
    <n v="0"/>
    <s v="45-54"/>
  </r>
  <r>
    <s v="TX0333"/>
    <n v="5962"/>
    <n v="6.6869999999999999E-2"/>
    <x v="2"/>
    <n v="9.6059999999999999"/>
    <n v="6.2640000000000002"/>
    <n v="0"/>
    <n v="1"/>
    <x v="1"/>
    <n v="47"/>
    <x v="1"/>
    <x v="4"/>
    <n v="4"/>
    <n v="0.15964240102171137"/>
    <n v="1.0675287356321839E-2"/>
    <n v="0.65209244222361029"/>
    <n v="6.6869999999999999E-2"/>
    <n v="-1"/>
    <n v="0"/>
    <n v="0"/>
    <s v="45-54"/>
  </r>
  <r>
    <s v="TX0334"/>
    <n v="3821"/>
    <n v="0.14743000000000001"/>
    <x v="1"/>
    <n v="68.069999999999993"/>
    <n v="4.7649999999999997"/>
    <n v="0"/>
    <n v="0"/>
    <x v="4"/>
    <n v="61"/>
    <x v="1"/>
    <x v="2"/>
    <n v="1"/>
    <n v="0"/>
    <n v="3.0940188877229803E-2"/>
    <n v="7.0001469075951228E-2"/>
    <n v="0"/>
    <n v="-1"/>
    <n v="0"/>
    <n v="0"/>
    <s v="55+"/>
  </r>
  <r>
    <s v="TX0335"/>
    <n v="7219"/>
    <n v="1.371E-2"/>
    <x v="4"/>
    <n v="87.894000000000005"/>
    <n v="3.5960000000000001"/>
    <n v="0.47943999999999998"/>
    <n v="1"/>
    <x v="2"/>
    <n v="42"/>
    <x v="3"/>
    <x v="0"/>
    <n v="1"/>
    <n v="0.27808676307007785"/>
    <n v="3.8125695216907674E-3"/>
    <n v="4.0912917832844106E-2"/>
    <n v="1.371E-2"/>
    <n v="33.970094821298318"/>
    <n v="34.970094821298318"/>
    <n v="0.13332591768631813"/>
    <s v="35-44"/>
  </r>
  <r>
    <s v="TX0336"/>
    <n v="3448"/>
    <n v="7.2650000000000006E-2"/>
    <x v="4"/>
    <n v="44.027000000000001"/>
    <n v="6.101"/>
    <n v="0"/>
    <n v="0"/>
    <x v="2"/>
    <n v="50"/>
    <x v="1"/>
    <x v="2"/>
    <n v="5"/>
    <n v="0"/>
    <n v="1.1907883953450256E-2"/>
    <n v="0.13857405682876417"/>
    <n v="0"/>
    <n v="-1"/>
    <n v="0"/>
    <n v="0"/>
    <s v="45-54"/>
  </r>
  <r>
    <s v="TX0337"/>
    <n v="8831"/>
    <n v="0.14530999999999999"/>
    <x v="0"/>
    <n v="28.783999999999999"/>
    <n v="3.2679999999999998"/>
    <n v="0"/>
    <n v="0"/>
    <x v="5"/>
    <n v="38"/>
    <x v="0"/>
    <x v="1"/>
    <n v="2"/>
    <n v="0"/>
    <n v="4.4464504283965728E-2"/>
    <n v="0.11353529738743746"/>
    <n v="0"/>
    <n v="-1"/>
    <n v="0"/>
    <n v="0"/>
    <s v="35-44"/>
  </r>
  <r>
    <s v="TX0338"/>
    <n v="7792"/>
    <n v="0"/>
    <x v="4"/>
    <n v="98.483000000000004"/>
    <n v="3.4260000000000002"/>
    <n v="0"/>
    <n v="0"/>
    <x v="3"/>
    <n v="21"/>
    <x v="0"/>
    <x v="0"/>
    <n v="1"/>
    <n v="0"/>
    <n v="0"/>
    <n v="3.4787729862006643E-2"/>
    <n v="0"/>
    <n v="0"/>
    <n v="0"/>
    <n v="0"/>
    <s v="18-24"/>
  </r>
  <r>
    <s v="TX0339"/>
    <n v="6077"/>
    <n v="0.18404000000000001"/>
    <x v="4"/>
    <n v="41.957000000000001"/>
    <n v="5.0449999999999999"/>
    <n v="0"/>
    <n v="0"/>
    <x v="4"/>
    <n v="48"/>
    <x v="0"/>
    <x v="2"/>
    <n v="2"/>
    <n v="0"/>
    <n v="3.6479682854311204E-2"/>
    <n v="0.12024215268012489"/>
    <n v="0"/>
    <n v="-1"/>
    <n v="0"/>
    <n v="0"/>
    <s v="45-54"/>
  </r>
  <r>
    <s v="TX0340"/>
    <n v="4265"/>
    <n v="0.19933999999999999"/>
    <x v="2"/>
    <n v="94.649000000000001"/>
    <n v="9.8089999999999993"/>
    <n v="0"/>
    <n v="0"/>
    <x v="0"/>
    <n v="38"/>
    <x v="1"/>
    <x v="4"/>
    <n v="3"/>
    <n v="0"/>
    <n v="2.0322153124681417E-2"/>
    <n v="0.10363553761793573"/>
    <n v="0"/>
    <n v="-1"/>
    <n v="0"/>
    <n v="0"/>
    <s v="35-44"/>
  </r>
  <r>
    <s v="TX0341"/>
    <n v="5905"/>
    <n v="0.11001"/>
    <x v="5"/>
    <n v="62.927999999999997"/>
    <n v="5.4630000000000001"/>
    <n v="0"/>
    <n v="0"/>
    <x v="4"/>
    <n v="41"/>
    <x v="1"/>
    <x v="4"/>
    <n v="5"/>
    <n v="0"/>
    <n v="2.0137287204832509E-2"/>
    <n v="8.6813501144164765E-2"/>
    <n v="0"/>
    <n v="-1"/>
    <n v="0"/>
    <n v="0"/>
    <s v="35-44"/>
  </r>
  <r>
    <s v="TX0342"/>
    <n v="7546"/>
    <n v="0.12894"/>
    <x v="3"/>
    <n v="25.550999999999998"/>
    <n v="4.9320000000000004"/>
    <n v="0.24918999999999999"/>
    <n v="1"/>
    <x v="4"/>
    <n v="41"/>
    <x v="0"/>
    <x v="3"/>
    <s v="Nil"/>
    <n v="0.202757502027575"/>
    <n v="2.614355231143552E-2"/>
    <n v="0.19302571327932375"/>
    <n v="0.12894"/>
    <n v="0.93260431208313943"/>
    <n v="1.9326043120831393"/>
    <n v="5.0525141930251413E-2"/>
    <s v="35-44"/>
  </r>
  <r>
    <s v="TX0343"/>
    <n v="1231"/>
    <n v="0"/>
    <x v="2"/>
    <n v="51.13"/>
    <n v="6.79"/>
    <n v="0"/>
    <n v="0"/>
    <x v="4"/>
    <n v="53"/>
    <x v="0"/>
    <x v="2"/>
    <n v="2"/>
    <n v="0"/>
    <n v="0"/>
    <n v="0.13279874828867591"/>
    <n v="0"/>
    <n v="0"/>
    <n v="0"/>
    <n v="0"/>
    <s v="45-54"/>
  </r>
  <r>
    <s v="TX0344"/>
    <n v="9974"/>
    <n v="0"/>
    <x v="5"/>
    <n v="96.209000000000003"/>
    <n v="5.1820000000000004"/>
    <n v="0"/>
    <n v="0"/>
    <x v="2"/>
    <n v="61"/>
    <x v="1"/>
    <x v="3"/>
    <n v="1"/>
    <n v="0"/>
    <n v="0"/>
    <n v="5.3861904811400185E-2"/>
    <n v="0"/>
    <n v="0"/>
    <n v="0"/>
    <n v="0"/>
    <s v="55+"/>
  </r>
  <r>
    <s v="TX0345"/>
    <n v="7186"/>
    <n v="1.8499999999999999E-2"/>
    <x v="5"/>
    <n v="73.039000000000001"/>
    <n v="9.343"/>
    <n v="0"/>
    <n v="0"/>
    <x v="1"/>
    <n v="48"/>
    <x v="2"/>
    <x v="0"/>
    <n v="1"/>
    <n v="0"/>
    <n v="1.980092047522209E-3"/>
    <n v="0.1279179616369337"/>
    <n v="0"/>
    <n v="-1"/>
    <n v="0"/>
    <n v="0"/>
    <s v="45-54"/>
  </r>
  <r>
    <s v="TX0346"/>
    <n v="9905"/>
    <n v="3.134E-2"/>
    <x v="2"/>
    <n v="40.613"/>
    <n v="7.0659999999999998"/>
    <n v="0"/>
    <n v="1"/>
    <x v="1"/>
    <n v="29"/>
    <x v="2"/>
    <x v="4"/>
    <n v="5"/>
    <n v="0.14152278516841213"/>
    <n v="4.4353240871780357E-3"/>
    <n v="0.17398369980055647"/>
    <n v="3.134E-2"/>
    <n v="-1"/>
    <n v="0"/>
    <n v="0"/>
    <s v="25-34"/>
  </r>
  <r>
    <s v="TX0347"/>
    <n v="5731"/>
    <n v="7.7710000000000001E-2"/>
    <x v="1"/>
    <n v="46.79"/>
    <n v="1.921"/>
    <n v="0"/>
    <n v="0"/>
    <x v="0"/>
    <n v="60"/>
    <x v="3"/>
    <x v="2"/>
    <n v="5"/>
    <n v="0"/>
    <n v="4.0452889120249871E-2"/>
    <n v="4.1055781149818338E-2"/>
    <n v="0"/>
    <n v="-1"/>
    <n v="0"/>
    <n v="0"/>
    <s v="55+"/>
  </r>
  <r>
    <s v="TX0348"/>
    <n v="9029"/>
    <n v="3.2590000000000001E-2"/>
    <x v="2"/>
    <n v="73.405000000000001"/>
    <n v="9.7379999999999995"/>
    <n v="0"/>
    <n v="0"/>
    <x v="1"/>
    <n v="55"/>
    <x v="2"/>
    <x v="2"/>
    <s v="Nil"/>
    <n v="0"/>
    <n v="3.3466830971452047E-3"/>
    <n v="0.13266126285675361"/>
    <n v="0"/>
    <n v="-1"/>
    <n v="0"/>
    <n v="0"/>
    <s v="55+"/>
  </r>
  <r>
    <s v="TX0349"/>
    <n v="2240"/>
    <n v="0.13464000000000001"/>
    <x v="5"/>
    <n v="48.877000000000002"/>
    <n v="9.2070000000000007"/>
    <n v="0"/>
    <n v="0"/>
    <x v="0"/>
    <n v="24"/>
    <x v="2"/>
    <x v="2"/>
    <n v="4"/>
    <n v="0"/>
    <n v="1.4623655913978495E-2"/>
    <n v="0.18837080835566833"/>
    <n v="0"/>
    <n v="-1"/>
    <n v="0"/>
    <n v="0"/>
    <s v="18-24"/>
  </r>
  <r>
    <s v="TX0350"/>
    <n v="2520"/>
    <n v="1.528E-2"/>
    <x v="4"/>
    <n v="69.111000000000004"/>
    <n v="3.2869999999999999"/>
    <n v="0.29293000000000002"/>
    <n v="1"/>
    <x v="1"/>
    <n v="49"/>
    <x v="0"/>
    <x v="0"/>
    <n v="2"/>
    <n v="0.30422878004259202"/>
    <n v="4.6486157590508066E-3"/>
    <n v="4.7561169712491497E-2"/>
    <n v="1.528E-2"/>
    <n v="18.170811518324609"/>
    <n v="19.170811518324609"/>
    <n v="8.9117736537876496E-2"/>
    <s v="45-54"/>
  </r>
  <r>
    <s v="TX0351"/>
    <n v="1577"/>
    <n v="0.15051999999999999"/>
    <x v="5"/>
    <n v="17.536999999999999"/>
    <n v="6.5339999999999998"/>
    <n v="0.10777"/>
    <n v="1"/>
    <x v="4"/>
    <n v="18"/>
    <x v="3"/>
    <x v="2"/>
    <s v="Nil"/>
    <n v="0.15304560759106214"/>
    <n v="2.303642485460667E-2"/>
    <n v="0.37258368021896565"/>
    <n v="0.15051999999999999"/>
    <n v="-0.28401541323412161"/>
    <n v="0.71598458676587839"/>
    <n v="1.6493725130088767E-2"/>
    <s v="18-24"/>
  </r>
  <r>
    <s v="TX0352"/>
    <n v="9721"/>
    <n v="0.12822"/>
    <x v="2"/>
    <n v="13.446"/>
    <n v="4.9109999999999996"/>
    <n v="0"/>
    <n v="0"/>
    <x v="3"/>
    <n v="43"/>
    <x v="2"/>
    <x v="3"/>
    <n v="4"/>
    <n v="0"/>
    <n v="2.6108735491753209E-2"/>
    <n v="0.36523873270861218"/>
    <n v="0"/>
    <n v="-1"/>
    <n v="0"/>
    <n v="0"/>
    <s v="35-44"/>
  </r>
  <r>
    <s v="TX0353"/>
    <n v="5291"/>
    <n v="0.17068"/>
    <x v="2"/>
    <n v="34.67"/>
    <n v="1.583"/>
    <n v="0"/>
    <n v="0"/>
    <x v="3"/>
    <n v="30"/>
    <x v="2"/>
    <x v="4"/>
    <n v="4"/>
    <n v="0"/>
    <n v="0.107820593809223"/>
    <n v="4.5659071243149697E-2"/>
    <n v="0"/>
    <n v="-1"/>
    <n v="0"/>
    <n v="0"/>
    <s v="25-34"/>
  </r>
  <r>
    <s v="TX0354"/>
    <n v="3471"/>
    <n v="9.9930000000000005E-2"/>
    <x v="2"/>
    <n v="69.441999999999993"/>
    <n v="8.548"/>
    <n v="0.12292"/>
    <n v="1"/>
    <x v="0"/>
    <n v="56"/>
    <x v="0"/>
    <x v="3"/>
    <n v="4"/>
    <n v="0.1169864295741694"/>
    <n v="1.1690453907346748E-2"/>
    <n v="0.1230955329627603"/>
    <n v="9.9930000000000005E-2"/>
    <n v="0.2300610427299109"/>
    <n v="1.2300610427299108"/>
    <n v="1.4379971923256902E-2"/>
    <s v="55+"/>
  </r>
  <r>
    <s v="TX0355"/>
    <n v="4000"/>
    <n v="0.16813"/>
    <x v="4"/>
    <n v="56.433999999999997"/>
    <n v="4.7439999999999998"/>
    <n v="0"/>
    <n v="0"/>
    <x v="0"/>
    <n v="24"/>
    <x v="3"/>
    <x v="2"/>
    <s v="Nil"/>
    <n v="0"/>
    <n v="3.5440556492411471E-2"/>
    <n v="8.4062799021866252E-2"/>
    <n v="0"/>
    <n v="-1"/>
    <n v="0"/>
    <n v="0"/>
    <s v="18-24"/>
  </r>
  <r>
    <s v="TX0356"/>
    <n v="6266"/>
    <n v="1.6570000000000001E-2"/>
    <x v="4"/>
    <n v="14.911"/>
    <n v="6.4260000000000002"/>
    <n v="0"/>
    <n v="0"/>
    <x v="4"/>
    <n v="21"/>
    <x v="0"/>
    <x v="1"/>
    <n v="3"/>
    <n v="0"/>
    <n v="2.5785869903516964E-3"/>
    <n v="0.43095701160217292"/>
    <n v="0"/>
    <n v="-1"/>
    <n v="0"/>
    <n v="0"/>
    <s v="18-24"/>
  </r>
  <r>
    <s v="TX0357"/>
    <n v="9368"/>
    <n v="0"/>
    <x v="2"/>
    <n v="87.200999999999993"/>
    <n v="0.19600000000000001"/>
    <n v="1.7430000000000001E-2"/>
    <n v="1"/>
    <x v="2"/>
    <n v="49"/>
    <x v="2"/>
    <x v="2"/>
    <n v="3"/>
    <n v="5.1020408163265305"/>
    <n v="0"/>
    <n v="2.2476806458641531E-3"/>
    <n v="0"/>
    <n v="0"/>
    <e v="#DIV/0!"/>
    <n v="8.8928571428571426E-2"/>
    <s v="45-54"/>
  </r>
  <r>
    <s v="TX0358"/>
    <n v="1425"/>
    <n v="4.292E-2"/>
    <x v="1"/>
    <n v="51.521999999999998"/>
    <n v="7.0380000000000003"/>
    <n v="0.41535"/>
    <n v="1"/>
    <x v="2"/>
    <n v="46"/>
    <x v="1"/>
    <x v="4"/>
    <n v="1"/>
    <n v="0.14208581983518045"/>
    <n v="6.0983233873259449E-3"/>
    <n v="0.13660183999068359"/>
    <n v="4.292E-2"/>
    <n v="8.6773066169617898"/>
    <n v="9.6773066169617898"/>
    <n v="5.9015345268542199E-2"/>
    <s v="45-54"/>
  </r>
  <r>
    <s v="TX0359"/>
    <n v="6448"/>
    <n v="0.13375999999999999"/>
    <x v="1"/>
    <n v="43.942"/>
    <n v="5.9420000000000002"/>
    <n v="0"/>
    <n v="0"/>
    <x v="1"/>
    <n v="40"/>
    <x v="3"/>
    <x v="1"/>
    <n v="2"/>
    <n v="0"/>
    <n v="2.2510939077751597E-2"/>
    <n v="0.13522370397341951"/>
    <n v="0"/>
    <n v="-1"/>
    <n v="0"/>
    <n v="0"/>
    <s v="35-44"/>
  </r>
  <r>
    <s v="TX0360"/>
    <n v="2057"/>
    <n v="0.11203"/>
    <x v="4"/>
    <n v="28.774999999999999"/>
    <n v="7.9870000000000001"/>
    <n v="0"/>
    <n v="0"/>
    <x v="2"/>
    <n v="36"/>
    <x v="3"/>
    <x v="1"/>
    <n v="3"/>
    <n v="0"/>
    <n v="1.402654313259046E-2"/>
    <n v="0.27756733275412687"/>
    <n v="0"/>
    <n v="-1"/>
    <n v="0"/>
    <n v="0"/>
    <s v="35-44"/>
  </r>
  <r>
    <s v="TX0361"/>
    <n v="1056"/>
    <n v="5.4789999999999998E-2"/>
    <x v="5"/>
    <n v="5.2489999999999997"/>
    <n v="4.2350000000000003"/>
    <n v="0.39254"/>
    <n v="1"/>
    <x v="0"/>
    <n v="33"/>
    <x v="1"/>
    <x v="4"/>
    <n v="5"/>
    <n v="0.23612750885478156"/>
    <n v="1.2937426210153482E-2"/>
    <n v="0.80682034673271108"/>
    <n v="5.4789999999999998E-2"/>
    <n v="6.1644460668005108"/>
    <n v="7.1644460668005117"/>
    <n v="9.2689492325855952E-2"/>
    <s v="25-34"/>
  </r>
  <r>
    <s v="TX0362"/>
    <n v="2101"/>
    <n v="0.17355000000000001"/>
    <x v="3"/>
    <n v="48.42"/>
    <n v="1.4710000000000001"/>
    <n v="0"/>
    <n v="0"/>
    <x v="4"/>
    <n v="58"/>
    <x v="3"/>
    <x v="0"/>
    <s v="Nil"/>
    <n v="0"/>
    <n v="0.11798096532970768"/>
    <n v="3.0380008261049155E-2"/>
    <n v="0"/>
    <n v="-1"/>
    <n v="0"/>
    <n v="0"/>
    <s v="55+"/>
  </r>
  <r>
    <s v="TX0363"/>
    <n v="8254"/>
    <n v="4.1739999999999999E-2"/>
    <x v="5"/>
    <n v="22.956"/>
    <n v="9.6370000000000005"/>
    <n v="0.13680999999999999"/>
    <n v="1"/>
    <x v="3"/>
    <n v="64"/>
    <x v="2"/>
    <x v="1"/>
    <n v="3"/>
    <n v="0.10376673238559717"/>
    <n v="4.3312234097748255E-3"/>
    <n v="0.4198031015856421"/>
    <n v="4.1739999999999999E-2"/>
    <n v="2.2776712985146141"/>
    <n v="3.2776712985146141"/>
    <n v="1.4196326657673548E-2"/>
    <s v="55+"/>
  </r>
  <r>
    <s v="TX0364"/>
    <n v="3539"/>
    <n v="1.7659999999999999E-2"/>
    <x v="0"/>
    <n v="70.644999999999996"/>
    <n v="3.375"/>
    <n v="0"/>
    <n v="0"/>
    <x v="5"/>
    <n v="43"/>
    <x v="3"/>
    <x v="3"/>
    <s v="Nil"/>
    <n v="0"/>
    <n v="5.2325925925925925E-3"/>
    <n v="4.7774081675985562E-2"/>
    <n v="0"/>
    <n v="-1"/>
    <n v="0"/>
    <n v="0"/>
    <s v="35-44"/>
  </r>
  <r>
    <s v="TX0365"/>
    <n v="7857"/>
    <n v="0.1021"/>
    <x v="1"/>
    <n v="65.884"/>
    <n v="8.5109999999999992"/>
    <n v="0.11178"/>
    <n v="1"/>
    <x v="5"/>
    <n v="36"/>
    <x v="1"/>
    <x v="4"/>
    <n v="3"/>
    <n v="0.11749500646222537"/>
    <n v="1.199624015979321E-2"/>
    <n v="0.12918159188877421"/>
    <n v="0.1021"/>
    <n v="9.4809010773751312E-2"/>
    <n v="1.0948090107737514"/>
    <n v="1.3133591822347551E-2"/>
    <s v="35-44"/>
  </r>
  <r>
    <s v="TX0366"/>
    <n v="2152"/>
    <n v="1.8589999999999999E-2"/>
    <x v="1"/>
    <n v="21.747"/>
    <n v="5.484"/>
    <n v="0"/>
    <n v="0"/>
    <x v="2"/>
    <n v="28"/>
    <x v="0"/>
    <x v="0"/>
    <s v="Nil"/>
    <n v="0"/>
    <n v="3.3898614150255288E-3"/>
    <n v="0.25217271347772108"/>
    <n v="0"/>
    <n v="-1"/>
    <n v="0"/>
    <n v="0"/>
    <s v="25-34"/>
  </r>
  <r>
    <s v="TX0367"/>
    <n v="4915"/>
    <n v="7.8200000000000006E-3"/>
    <x v="3"/>
    <n v="26.067"/>
    <n v="1.748"/>
    <n v="0"/>
    <n v="0"/>
    <x v="3"/>
    <n v="19"/>
    <x v="1"/>
    <x v="0"/>
    <n v="2"/>
    <n v="0"/>
    <n v="4.4736842105263163E-3"/>
    <n v="6.7057966010664827E-2"/>
    <n v="0"/>
    <n v="-1"/>
    <n v="0"/>
    <n v="0"/>
    <s v="18-24"/>
  </r>
  <r>
    <s v="TX0368"/>
    <n v="7484"/>
    <n v="0.18274000000000001"/>
    <x v="3"/>
    <n v="54.682000000000002"/>
    <n v="0.57099999999999995"/>
    <n v="0.21809000000000001"/>
    <n v="1"/>
    <x v="0"/>
    <n v="49"/>
    <x v="0"/>
    <x v="0"/>
    <n v="1"/>
    <n v="1.7513134851138354"/>
    <n v="0.32003502626970232"/>
    <n v="1.0442193043414651E-2"/>
    <n v="0.18274000000000001"/>
    <n v="0.19344423771478597"/>
    <n v="1.193444237714786"/>
    <n v="0.38194395796847641"/>
    <s v="45-54"/>
  </r>
  <r>
    <s v="TX0369"/>
    <n v="3230"/>
    <n v="0.13757"/>
    <x v="1"/>
    <n v="54.387999999999998"/>
    <n v="4.7409999999999997"/>
    <n v="0"/>
    <n v="0"/>
    <x v="5"/>
    <n v="28"/>
    <x v="0"/>
    <x v="0"/>
    <n v="1"/>
    <n v="0"/>
    <n v="2.9017085003163891E-2"/>
    <n v="8.7169963962638819E-2"/>
    <n v="0"/>
    <n v="-1"/>
    <n v="0"/>
    <n v="0"/>
    <s v="25-34"/>
  </r>
  <r>
    <s v="TX0370"/>
    <n v="9313"/>
    <n v="0"/>
    <x v="2"/>
    <n v="73.521000000000001"/>
    <n v="0.97599999999999998"/>
    <n v="0"/>
    <n v="0"/>
    <x v="3"/>
    <n v="61"/>
    <x v="2"/>
    <x v="4"/>
    <n v="2"/>
    <n v="0"/>
    <n v="0"/>
    <n v="1.3275118673576256E-2"/>
    <n v="0"/>
    <n v="0"/>
    <n v="0"/>
    <n v="0"/>
    <s v="55+"/>
  </r>
  <r>
    <s v="TX0371"/>
    <n v="1704"/>
    <n v="0"/>
    <x v="3"/>
    <n v="75.468000000000004"/>
    <n v="4.391"/>
    <n v="0"/>
    <n v="0"/>
    <x v="2"/>
    <n v="34"/>
    <x v="3"/>
    <x v="0"/>
    <n v="4"/>
    <n v="0"/>
    <n v="0"/>
    <n v="5.8183600996448821E-2"/>
    <n v="0"/>
    <n v="0"/>
    <n v="0"/>
    <n v="0"/>
    <s v="25-34"/>
  </r>
  <r>
    <s v="TX0372"/>
    <n v="1014"/>
    <n v="0.10836"/>
    <x v="5"/>
    <n v="27.93"/>
    <n v="0.11799999999999999"/>
    <n v="0"/>
    <n v="0"/>
    <x v="4"/>
    <n v="57"/>
    <x v="1"/>
    <x v="3"/>
    <n v="4"/>
    <n v="0"/>
    <n v="0.91830508474576278"/>
    <n v="4.2248478338703897E-3"/>
    <n v="0"/>
    <n v="-1"/>
    <n v="0"/>
    <n v="0"/>
    <s v="55+"/>
  </r>
  <r>
    <s v="TX0373"/>
    <n v="8909"/>
    <n v="7.9030000000000003E-2"/>
    <x v="0"/>
    <n v="63.834000000000003"/>
    <n v="6.7240000000000002"/>
    <n v="0"/>
    <n v="0"/>
    <x v="4"/>
    <n v="48"/>
    <x v="0"/>
    <x v="1"/>
    <s v="Nil"/>
    <n v="0"/>
    <n v="1.1753420582986318E-2"/>
    <n v="0.10533571450950904"/>
    <n v="0"/>
    <n v="-1"/>
    <n v="0"/>
    <n v="0"/>
    <s v="45-54"/>
  </r>
  <r>
    <s v="TX0374"/>
    <n v="4276"/>
    <n v="2.3009999999999999E-2"/>
    <x v="5"/>
    <n v="27.56"/>
    <n v="5.8449999999999998"/>
    <n v="0"/>
    <n v="0"/>
    <x v="1"/>
    <n v="64"/>
    <x v="3"/>
    <x v="1"/>
    <n v="1"/>
    <n v="0"/>
    <n v="3.9366980325064157E-3"/>
    <n v="0.21208272859216257"/>
    <n v="0"/>
    <n v="-1"/>
    <n v="0"/>
    <n v="0"/>
    <s v="55+"/>
  </r>
  <r>
    <s v="TX0375"/>
    <n v="2386"/>
    <n v="0.19317000000000001"/>
    <x v="0"/>
    <n v="79.972999999999999"/>
    <n v="7.14"/>
    <n v="8.6860000000000007E-2"/>
    <n v="1"/>
    <x v="2"/>
    <n v="41"/>
    <x v="1"/>
    <x v="3"/>
    <n v="5"/>
    <n v="0.14005602240896359"/>
    <n v="2.70546218487395E-2"/>
    <n v="8.9280132044565044E-2"/>
    <n v="0.19317000000000001"/>
    <n v="-0.55034425635450634"/>
    <n v="0.4496557436454936"/>
    <n v="1.2165266106442578E-2"/>
    <s v="35-44"/>
  </r>
  <r>
    <s v="TX0376"/>
    <n v="3384"/>
    <n v="4.6789999999999998E-2"/>
    <x v="0"/>
    <n v="84.89"/>
    <n v="1.7390000000000001"/>
    <n v="0"/>
    <n v="0"/>
    <x v="2"/>
    <n v="44"/>
    <x v="1"/>
    <x v="4"/>
    <n v="1"/>
    <n v="0"/>
    <n v="2.6906267970097753E-2"/>
    <n v="2.0485333961597362E-2"/>
    <n v="0"/>
    <n v="-1"/>
    <n v="0"/>
    <n v="0"/>
    <s v="35-44"/>
  </r>
  <r>
    <s v="TX0377"/>
    <n v="6880"/>
    <n v="0"/>
    <x v="1"/>
    <n v="18.690999999999999"/>
    <n v="2.1819999999999999"/>
    <n v="0"/>
    <n v="0"/>
    <x v="0"/>
    <n v="61"/>
    <x v="3"/>
    <x v="2"/>
    <s v="Nil"/>
    <n v="0"/>
    <n v="0"/>
    <n v="0.11674067733133595"/>
    <n v="0"/>
    <n v="0"/>
    <n v="0"/>
    <n v="0"/>
    <s v="55+"/>
  </r>
  <r>
    <s v="TX0378"/>
    <n v="6097"/>
    <n v="0.19281999999999999"/>
    <x v="4"/>
    <n v="53.531999999999996"/>
    <n v="8.407"/>
    <n v="0"/>
    <n v="0"/>
    <x v="0"/>
    <n v="57"/>
    <x v="0"/>
    <x v="1"/>
    <n v="4"/>
    <n v="0"/>
    <n v="2.2935648864041869E-2"/>
    <n v="0.15704625270866024"/>
    <n v="0"/>
    <n v="-1"/>
    <n v="0"/>
    <n v="0"/>
    <s v="55+"/>
  </r>
  <r>
    <s v="TX0379"/>
    <n v="8314"/>
    <n v="9.6280000000000004E-2"/>
    <x v="2"/>
    <n v="25.902000000000001"/>
    <n v="5.0540000000000003"/>
    <n v="0"/>
    <n v="0"/>
    <x v="4"/>
    <n v="27"/>
    <x v="1"/>
    <x v="1"/>
    <n v="2"/>
    <n v="0"/>
    <n v="1.9050257222002376E-2"/>
    <n v="0.19512006794842096"/>
    <n v="0"/>
    <n v="-1"/>
    <n v="0"/>
    <n v="0"/>
    <s v="25-34"/>
  </r>
  <r>
    <s v="TX0380"/>
    <n v="9880"/>
    <n v="8.8639999999999997E-2"/>
    <x v="0"/>
    <n v="31.707999999999998"/>
    <n v="3.8929999999999998"/>
    <n v="0"/>
    <n v="1"/>
    <x v="1"/>
    <n v="24"/>
    <x v="0"/>
    <x v="0"/>
    <n v="4"/>
    <n v="0.25687130747495507"/>
    <n v="2.2769072694580016E-2"/>
    <n v="0.12277658635044783"/>
    <n v="8.8639999999999997E-2"/>
    <n v="-1"/>
    <n v="0"/>
    <n v="0"/>
    <s v="18-24"/>
  </r>
  <r>
    <s v="TX0381"/>
    <n v="4669"/>
    <n v="0"/>
    <x v="4"/>
    <n v="59.808999999999997"/>
    <n v="4.7210000000000001"/>
    <n v="0"/>
    <n v="0"/>
    <x v="0"/>
    <n v="30"/>
    <x v="1"/>
    <x v="1"/>
    <n v="1"/>
    <n v="0"/>
    <n v="0"/>
    <n v="7.8934608503736903E-2"/>
    <n v="0"/>
    <n v="0"/>
    <n v="0"/>
    <n v="0"/>
    <s v="25-34"/>
  </r>
  <r>
    <s v="TX0382"/>
    <n v="3961"/>
    <n v="0"/>
    <x v="1"/>
    <n v="58.643999999999998"/>
    <n v="6.7960000000000003"/>
    <n v="0"/>
    <n v="0"/>
    <x v="3"/>
    <n v="23"/>
    <x v="1"/>
    <x v="1"/>
    <n v="3"/>
    <n v="0"/>
    <n v="0"/>
    <n v="0.11588568310483596"/>
    <n v="0"/>
    <n v="0"/>
    <n v="0"/>
    <n v="0"/>
    <s v="18-24"/>
  </r>
  <r>
    <s v="TX0383"/>
    <n v="6990"/>
    <n v="1.804E-2"/>
    <x v="0"/>
    <n v="85.805000000000007"/>
    <n v="3.391"/>
    <n v="0"/>
    <n v="0"/>
    <x v="1"/>
    <n v="35"/>
    <x v="0"/>
    <x v="4"/>
    <n v="2"/>
    <n v="0"/>
    <n v="5.3199646122087879E-3"/>
    <n v="3.9519841501078019E-2"/>
    <n v="0"/>
    <n v="-1"/>
    <n v="0"/>
    <n v="0"/>
    <s v="35-44"/>
  </r>
  <r>
    <s v="TX0384"/>
    <n v="3009"/>
    <n v="0.11745"/>
    <x v="2"/>
    <n v="20.864000000000001"/>
    <n v="5.0330000000000004"/>
    <n v="0"/>
    <n v="0"/>
    <x v="0"/>
    <n v="20"/>
    <x v="2"/>
    <x v="1"/>
    <n v="5"/>
    <n v="0"/>
    <n v="2.3335982515398368E-2"/>
    <n v="0.2412289110429448"/>
    <n v="0"/>
    <n v="-1"/>
    <n v="0"/>
    <n v="0"/>
    <s v="18-24"/>
  </r>
  <r>
    <s v="TX0385"/>
    <n v="5216"/>
    <n v="4.6670000000000003E-2"/>
    <x v="0"/>
    <n v="89.337000000000003"/>
    <n v="7.7939999999999996"/>
    <n v="0"/>
    <n v="0"/>
    <x v="4"/>
    <n v="47"/>
    <x v="3"/>
    <x v="1"/>
    <n v="1"/>
    <n v="0"/>
    <n v="5.9879394405953305E-3"/>
    <n v="8.7242687800127602E-2"/>
    <n v="0"/>
    <n v="-1"/>
    <n v="0"/>
    <n v="0"/>
    <s v="45-54"/>
  </r>
  <r>
    <s v="TX0386"/>
    <n v="6072"/>
    <n v="0"/>
    <x v="5"/>
    <n v="30.51"/>
    <n v="4.657"/>
    <n v="0.29680000000000001"/>
    <n v="1"/>
    <x v="2"/>
    <n v="62"/>
    <x v="0"/>
    <x v="2"/>
    <s v="Nil"/>
    <n v="0.21473051320592657"/>
    <n v="0"/>
    <n v="0.15263847918715176"/>
    <n v="0"/>
    <n v="0"/>
    <e v="#DIV/0!"/>
    <n v="6.3732016319519011E-2"/>
    <s v="55+"/>
  </r>
  <r>
    <s v="TX0387"/>
    <n v="1677"/>
    <n v="0.13741"/>
    <x v="4"/>
    <n v="87.120999999999995"/>
    <n v="4.0780000000000003"/>
    <n v="0"/>
    <n v="0"/>
    <x v="0"/>
    <n v="45"/>
    <x v="0"/>
    <x v="4"/>
    <n v="4"/>
    <n v="0"/>
    <n v="3.3695438940657185E-2"/>
    <n v="4.6808461794515678E-2"/>
    <n v="0"/>
    <n v="-1"/>
    <n v="0"/>
    <n v="0"/>
    <s v="45-54"/>
  </r>
  <r>
    <s v="TX0388"/>
    <n v="8070"/>
    <n v="2.3550000000000001E-2"/>
    <x v="4"/>
    <n v="58.066000000000003"/>
    <n v="4.4740000000000002"/>
    <n v="0"/>
    <n v="0"/>
    <x v="0"/>
    <n v="43"/>
    <x v="1"/>
    <x v="0"/>
    <n v="5"/>
    <n v="0"/>
    <n v="5.2637460885113993E-3"/>
    <n v="7.7050253160197021E-2"/>
    <n v="0"/>
    <n v="-1"/>
    <n v="0"/>
    <n v="0"/>
    <s v="35-44"/>
  </r>
  <r>
    <s v="TX0389"/>
    <n v="4264"/>
    <n v="0"/>
    <x v="3"/>
    <n v="33.341000000000001"/>
    <n v="6.3070000000000004"/>
    <n v="0.15465999999999999"/>
    <n v="1"/>
    <x v="0"/>
    <n v="60"/>
    <x v="0"/>
    <x v="2"/>
    <n v="2"/>
    <n v="0.15855398763278897"/>
    <n v="0"/>
    <n v="0.18916649170690741"/>
    <n v="0"/>
    <n v="0"/>
    <e v="#DIV/0!"/>
    <n v="2.452195972728714E-2"/>
    <s v="55+"/>
  </r>
  <r>
    <s v="TX0390"/>
    <n v="4921"/>
    <n v="6.4860000000000001E-2"/>
    <x v="5"/>
    <n v="63.192999999999998"/>
    <n v="2.5270000000000001"/>
    <n v="0"/>
    <n v="0"/>
    <x v="0"/>
    <n v="30"/>
    <x v="2"/>
    <x v="2"/>
    <n v="1"/>
    <n v="0"/>
    <n v="2.566679857538583E-2"/>
    <n v="3.9988606332979924E-2"/>
    <n v="0"/>
    <n v="-1"/>
    <n v="0"/>
    <n v="0"/>
    <s v="25-34"/>
  </r>
  <r>
    <s v="TX0391"/>
    <n v="4403"/>
    <n v="0.17358999999999999"/>
    <x v="1"/>
    <n v="33.18"/>
    <n v="3.7509999999999999"/>
    <n v="0"/>
    <n v="0"/>
    <x v="3"/>
    <n v="33"/>
    <x v="1"/>
    <x v="1"/>
    <n v="5"/>
    <n v="0"/>
    <n v="4.6278325779792052E-2"/>
    <n v="0.11305003013863774"/>
    <n v="0"/>
    <n v="-1"/>
    <n v="0"/>
    <n v="0"/>
    <s v="25-34"/>
  </r>
  <r>
    <s v="TX0392"/>
    <n v="4410"/>
    <n v="0.15179999999999999"/>
    <x v="2"/>
    <n v="45.002000000000002"/>
    <n v="8.4380000000000006"/>
    <n v="0"/>
    <n v="0"/>
    <x v="4"/>
    <n v="29"/>
    <x v="3"/>
    <x v="2"/>
    <n v="2"/>
    <n v="0"/>
    <n v="1.7990045034368331E-2"/>
    <n v="0.18750277765432649"/>
    <n v="0"/>
    <n v="-1"/>
    <n v="0"/>
    <n v="0"/>
    <s v="25-34"/>
  </r>
  <r>
    <s v="TX0393"/>
    <n v="4249"/>
    <n v="7.4459999999999998E-2"/>
    <x v="2"/>
    <n v="27.856000000000002"/>
    <n v="2.605"/>
    <n v="0.12159"/>
    <n v="1"/>
    <x v="3"/>
    <n v="37"/>
    <x v="2"/>
    <x v="0"/>
    <n v="4"/>
    <n v="0.38387715930902111"/>
    <n v="2.8583493282149711E-2"/>
    <n v="9.3516657093624347E-2"/>
    <n v="7.4459999999999998E-2"/>
    <n v="0.6329572925060436"/>
    <n v="1.6329572925060436"/>
    <n v="4.6675623800383877E-2"/>
    <s v="35-44"/>
  </r>
  <r>
    <s v="TX0394"/>
    <n v="4734"/>
    <n v="8.7809999999999999E-2"/>
    <x v="4"/>
    <n v="2.323"/>
    <n v="4.58"/>
    <n v="0"/>
    <n v="0"/>
    <x v="5"/>
    <n v="32"/>
    <x v="2"/>
    <x v="4"/>
    <n v="1"/>
    <n v="0"/>
    <n v="1.9172489082969431E-2"/>
    <n v="1.9715884631941456"/>
    <n v="0"/>
    <n v="-1"/>
    <n v="0"/>
    <n v="0"/>
    <s v="25-34"/>
  </r>
  <r>
    <s v="TX0395"/>
    <n v="7507"/>
    <n v="0"/>
    <x v="2"/>
    <n v="3.65"/>
    <n v="1.1910000000000001"/>
    <n v="0"/>
    <n v="0"/>
    <x v="0"/>
    <n v="20"/>
    <x v="3"/>
    <x v="0"/>
    <s v="Nil"/>
    <n v="0"/>
    <n v="0"/>
    <n v="0.32630136986301372"/>
    <n v="0"/>
    <n v="0"/>
    <n v="0"/>
    <n v="0"/>
    <s v="18-24"/>
  </r>
  <r>
    <s v="TX0396"/>
    <n v="4606"/>
    <n v="2.0240000000000001E-2"/>
    <x v="3"/>
    <n v="47.343000000000004"/>
    <n v="9.8079999999999998"/>
    <n v="0"/>
    <n v="0"/>
    <x v="1"/>
    <n v="28"/>
    <x v="0"/>
    <x v="2"/>
    <n v="4"/>
    <n v="0"/>
    <n v="2.0636215334420881E-3"/>
    <n v="0.20716895845214708"/>
    <n v="0"/>
    <n v="-1"/>
    <n v="0"/>
    <n v="0"/>
    <s v="25-34"/>
  </r>
  <r>
    <s v="TX0397"/>
    <n v="6251"/>
    <n v="1.5350000000000001E-2"/>
    <x v="4"/>
    <n v="9.0020000000000007"/>
    <n v="2.0409999999999999"/>
    <n v="0.30507000000000001"/>
    <n v="1"/>
    <x v="4"/>
    <n v="41"/>
    <x v="1"/>
    <x v="0"/>
    <n v="2"/>
    <n v="0.48995590396864286"/>
    <n v="7.5208231259186681E-3"/>
    <n v="0.22672739391246388"/>
    <n v="1.5350000000000001E-2"/>
    <n v="18.8742671009772"/>
    <n v="19.8742671009772"/>
    <n v="0.14947084762371388"/>
    <s v="35-44"/>
  </r>
  <r>
    <s v="TX0398"/>
    <n v="9201"/>
    <n v="0.14832000000000001"/>
    <x v="2"/>
    <n v="17.393000000000001"/>
    <n v="7.968"/>
    <n v="0"/>
    <n v="0"/>
    <x v="2"/>
    <n v="19"/>
    <x v="0"/>
    <x v="1"/>
    <n v="1"/>
    <n v="0"/>
    <n v="1.8614457831325301E-2"/>
    <n v="0.45811533375495889"/>
    <n v="0"/>
    <n v="-1"/>
    <n v="0"/>
    <n v="0"/>
    <s v="18-24"/>
  </r>
  <r>
    <s v="TX0399"/>
    <n v="2779"/>
    <n v="7.6660000000000006E-2"/>
    <x v="1"/>
    <n v="34.529000000000003"/>
    <n v="1.1559999999999999"/>
    <n v="0.18776999999999999"/>
    <n v="1"/>
    <x v="3"/>
    <n v="27"/>
    <x v="0"/>
    <x v="1"/>
    <s v="Nil"/>
    <n v="0.86505190311418689"/>
    <n v="6.6314878892733575E-2"/>
    <n v="3.3479104520837549E-2"/>
    <n v="7.6660000000000006E-2"/>
    <n v="1.4493869032089743"/>
    <n v="2.4493869032089743"/>
    <n v="0.16243079584775086"/>
    <s v="25-34"/>
  </r>
  <r>
    <s v="TX0400"/>
    <n v="3277"/>
    <n v="0.14513000000000001"/>
    <x v="0"/>
    <n v="57.426000000000002"/>
    <n v="4.9459999999999997"/>
    <n v="0"/>
    <n v="0"/>
    <x v="1"/>
    <n v="51"/>
    <x v="0"/>
    <x v="0"/>
    <n v="1"/>
    <n v="0"/>
    <n v="2.9342903356247476E-2"/>
    <n v="8.6128234597569034E-2"/>
    <n v="0"/>
    <n v="-1"/>
    <n v="0"/>
    <n v="0"/>
    <s v="45-54"/>
  </r>
  <r>
    <s v="TX0401"/>
    <n v="5671"/>
    <n v="0.16014"/>
    <x v="3"/>
    <n v="47.491"/>
    <n v="1.5549999999999999"/>
    <n v="0"/>
    <n v="0"/>
    <x v="3"/>
    <n v="42"/>
    <x v="1"/>
    <x v="3"/>
    <n v="2"/>
    <n v="0"/>
    <n v="0.10298392282958201"/>
    <n v="3.2743046050830685E-2"/>
    <n v="0"/>
    <n v="-1"/>
    <n v="0"/>
    <n v="0"/>
    <s v="35-44"/>
  </r>
  <r>
    <s v="TX0402"/>
    <n v="3521"/>
    <n v="0.18009"/>
    <x v="3"/>
    <n v="26.794"/>
    <n v="1.0820000000000001"/>
    <n v="0.17393"/>
    <n v="1"/>
    <x v="2"/>
    <n v="21"/>
    <x v="3"/>
    <x v="2"/>
    <n v="2"/>
    <n v="0.92421441774491675"/>
    <n v="0.16644177449168207"/>
    <n v="4.0382175113831457E-2"/>
    <n v="0.18009"/>
    <n v="-3.4205119662391023E-2"/>
    <n v="0.96579488033760896"/>
    <n v="0.16074861367837337"/>
    <s v="18-24"/>
  </r>
  <r>
    <s v="TX0403"/>
    <n v="3580"/>
    <n v="0"/>
    <x v="3"/>
    <n v="89.745999999999995"/>
    <n v="2.9820000000000002"/>
    <n v="0"/>
    <n v="0"/>
    <x v="1"/>
    <n v="42"/>
    <x v="1"/>
    <x v="0"/>
    <n v="2"/>
    <n v="0"/>
    <n v="0"/>
    <n v="3.3227107614824065E-2"/>
    <n v="0"/>
    <n v="0"/>
    <n v="0"/>
    <n v="0"/>
    <s v="35-44"/>
  </r>
  <r>
    <s v="TX0404"/>
    <n v="4813"/>
    <n v="0"/>
    <x v="4"/>
    <n v="82.774000000000001"/>
    <n v="3.6669999999999998"/>
    <n v="0"/>
    <n v="0"/>
    <x v="4"/>
    <n v="37"/>
    <x v="0"/>
    <x v="1"/>
    <s v="Nil"/>
    <n v="0"/>
    <n v="0"/>
    <n v="4.4301350665667961E-2"/>
    <n v="0"/>
    <n v="0"/>
    <n v="0"/>
    <n v="0"/>
    <s v="35-44"/>
  </r>
  <r>
    <s v="TX0405"/>
    <n v="7857"/>
    <n v="4.2090000000000002E-2"/>
    <x v="3"/>
    <n v="85.760999999999996"/>
    <n v="4.2549999999999999"/>
    <n v="0"/>
    <n v="1"/>
    <x v="0"/>
    <n v="63"/>
    <x v="3"/>
    <x v="0"/>
    <n v="2"/>
    <n v="0.23501762632197415"/>
    <n v="9.8918918918918936E-3"/>
    <n v="4.9614626695117826E-2"/>
    <n v="4.2090000000000002E-2"/>
    <n v="-1"/>
    <n v="0"/>
    <n v="0"/>
    <s v="55+"/>
  </r>
  <r>
    <s v="TX0406"/>
    <n v="4711"/>
    <n v="1.2760000000000001E-2"/>
    <x v="1"/>
    <n v="70.643000000000001"/>
    <n v="7.0430000000000001"/>
    <n v="0"/>
    <n v="0"/>
    <x v="0"/>
    <n v="18"/>
    <x v="0"/>
    <x v="4"/>
    <s v="Nil"/>
    <n v="0"/>
    <n v="1.8117279568365754E-3"/>
    <n v="9.9698483926220577E-2"/>
    <n v="0"/>
    <n v="-1"/>
    <n v="0"/>
    <n v="0"/>
    <s v="18-24"/>
  </r>
  <r>
    <s v="TX0407"/>
    <n v="8509"/>
    <n v="7.6590000000000005E-2"/>
    <x v="3"/>
    <n v="29.396999999999998"/>
    <n v="5.4219999999999997"/>
    <n v="0"/>
    <n v="0"/>
    <x v="2"/>
    <n v="51"/>
    <x v="0"/>
    <x v="0"/>
    <n v="1"/>
    <n v="0"/>
    <n v="1.4125783843600149E-2"/>
    <n v="0.18444058917576622"/>
    <n v="0"/>
    <n v="-1"/>
    <n v="0"/>
    <n v="0"/>
    <s v="45-54"/>
  </r>
  <r>
    <s v="TX0408"/>
    <n v="9726"/>
    <n v="1.4420000000000001E-2"/>
    <x v="5"/>
    <n v="2.2210000000000001"/>
    <n v="9.3149999999999995"/>
    <n v="0"/>
    <n v="0"/>
    <x v="0"/>
    <n v="64"/>
    <x v="3"/>
    <x v="0"/>
    <n v="1"/>
    <n v="0"/>
    <n v="1.5480407944176062E-3"/>
    <n v="4.1940567312021608"/>
    <n v="0"/>
    <n v="-1"/>
    <n v="0"/>
    <n v="0"/>
    <s v="55+"/>
  </r>
  <r>
    <s v="TX0409"/>
    <n v="3966"/>
    <n v="0"/>
    <x v="3"/>
    <n v="14.577999999999999"/>
    <n v="1.153"/>
    <n v="0.23074"/>
    <n v="1"/>
    <x v="3"/>
    <n v="41"/>
    <x v="2"/>
    <x v="1"/>
    <s v="Nil"/>
    <n v="0.86730268863833471"/>
    <n v="0"/>
    <n v="7.9091782137467426E-2"/>
    <n v="0"/>
    <n v="0"/>
    <e v="#DIV/0!"/>
    <n v="0.20012142237640937"/>
    <s v="35-44"/>
  </r>
  <r>
    <s v="TX0410"/>
    <n v="8742"/>
    <n v="4.1610000000000001E-2"/>
    <x v="4"/>
    <n v="9.3659999999999997"/>
    <n v="6.5529999999999999"/>
    <n v="0"/>
    <n v="0"/>
    <x v="0"/>
    <n v="53"/>
    <x v="2"/>
    <x v="2"/>
    <n v="3"/>
    <n v="0"/>
    <n v="6.3497634671142991E-3"/>
    <n v="0.69965833867179161"/>
    <n v="0"/>
    <n v="-1"/>
    <n v="0"/>
    <n v="0"/>
    <s v="45-54"/>
  </r>
  <r>
    <s v="TX0411"/>
    <n v="8400"/>
    <n v="0.15661"/>
    <x v="0"/>
    <n v="44.619"/>
    <n v="0"/>
    <n v="0"/>
    <n v="0"/>
    <x v="0"/>
    <n v="55"/>
    <x v="2"/>
    <x v="3"/>
    <n v="1"/>
    <n v="0"/>
    <n v="0"/>
    <n v="0"/>
    <n v="0"/>
    <n v="-1"/>
    <n v="0"/>
    <n v="0"/>
    <s v="55+"/>
  </r>
  <r>
    <s v="TX0412"/>
    <n v="3408"/>
    <n v="9.7809999999999994E-2"/>
    <x v="4"/>
    <n v="67.960999999999999"/>
    <n v="8.0869999999999997"/>
    <n v="0.17679"/>
    <n v="1"/>
    <x v="4"/>
    <n v="45"/>
    <x v="3"/>
    <x v="0"/>
    <n v="5"/>
    <n v="0.12365524916532707"/>
    <n v="1.209471992086064E-2"/>
    <n v="0.11899471755859978"/>
    <n v="9.7809999999999994E-2"/>
    <n v="0.80748389735200909"/>
    <n v="1.8074838973520091"/>
    <n v="2.1861011499938174E-2"/>
    <s v="45-54"/>
  </r>
  <r>
    <s v="TX0413"/>
    <n v="4072"/>
    <n v="9.5850000000000005E-2"/>
    <x v="2"/>
    <n v="53.173999999999999"/>
    <n v="1.9830000000000001"/>
    <n v="0"/>
    <n v="0"/>
    <x v="2"/>
    <n v="43"/>
    <x v="0"/>
    <x v="4"/>
    <n v="1"/>
    <n v="0"/>
    <n v="4.8335854765506808E-2"/>
    <n v="3.7292661827208785E-2"/>
    <n v="0"/>
    <n v="-1"/>
    <n v="0"/>
    <n v="0"/>
    <s v="35-44"/>
  </r>
  <r>
    <s v="TX0414"/>
    <n v="6273"/>
    <n v="0"/>
    <x v="5"/>
    <n v="92.201999999999998"/>
    <n v="0.33100000000000002"/>
    <n v="0.37407000000000001"/>
    <n v="1"/>
    <x v="4"/>
    <n v="64"/>
    <x v="1"/>
    <x v="4"/>
    <n v="5"/>
    <n v="3.0211480362537761"/>
    <n v="0"/>
    <n v="3.5899438190060955E-3"/>
    <n v="0"/>
    <n v="0"/>
    <e v="#DIV/0!"/>
    <n v="1.1301208459214502"/>
    <s v="55+"/>
  </r>
  <r>
    <s v="TX0415"/>
    <n v="6094"/>
    <n v="6.1030000000000001E-2"/>
    <x v="0"/>
    <n v="94.141999999999996"/>
    <n v="8.5909999999999993"/>
    <n v="0"/>
    <n v="0"/>
    <x v="1"/>
    <n v="39"/>
    <x v="2"/>
    <x v="2"/>
    <n v="1"/>
    <n v="0"/>
    <n v="7.1039459899895248E-3"/>
    <n v="9.125576257143464E-2"/>
    <n v="0"/>
    <n v="-1"/>
    <n v="0"/>
    <n v="0"/>
    <s v="35-44"/>
  </r>
  <r>
    <s v="TX0416"/>
    <n v="8618"/>
    <n v="3.6749999999999998E-2"/>
    <x v="5"/>
    <n v="44.637999999999998"/>
    <n v="2.4849999999999999"/>
    <n v="0"/>
    <n v="0"/>
    <x v="3"/>
    <n v="26"/>
    <x v="1"/>
    <x v="4"/>
    <n v="1"/>
    <n v="0"/>
    <n v="1.4788732394366197E-2"/>
    <n v="5.5670056902190956E-2"/>
    <n v="0"/>
    <n v="-1"/>
    <n v="0"/>
    <n v="0"/>
    <s v="25-34"/>
  </r>
  <r>
    <s v="TX0417"/>
    <n v="9733"/>
    <n v="4.394E-2"/>
    <x v="1"/>
    <n v="40.609000000000002"/>
    <n v="9.8699999999999992"/>
    <n v="0"/>
    <n v="0"/>
    <x v="4"/>
    <n v="46"/>
    <x v="0"/>
    <x v="4"/>
    <n v="1"/>
    <n v="0"/>
    <n v="4.4518743667679838E-3"/>
    <n v="0.2430495702922997"/>
    <n v="0"/>
    <n v="-1"/>
    <n v="0"/>
    <n v="0"/>
    <s v="45-54"/>
  </r>
  <r>
    <s v="TX0418"/>
    <n v="8815"/>
    <n v="0.12703999999999999"/>
    <x v="1"/>
    <n v="33.718000000000004"/>
    <n v="5.0339999999999998"/>
    <n v="0"/>
    <n v="0"/>
    <x v="3"/>
    <n v="41"/>
    <x v="0"/>
    <x v="3"/>
    <n v="1"/>
    <n v="0"/>
    <n v="2.5236392530790623E-2"/>
    <n v="0.14929711133519186"/>
    <n v="0"/>
    <n v="-1"/>
    <n v="0"/>
    <n v="0"/>
    <s v="35-44"/>
  </r>
  <r>
    <s v="TX0419"/>
    <n v="1466"/>
    <n v="8.4820000000000007E-2"/>
    <x v="1"/>
    <n v="33.450000000000003"/>
    <n v="4.702"/>
    <n v="0"/>
    <n v="0"/>
    <x v="1"/>
    <n v="20"/>
    <x v="1"/>
    <x v="4"/>
    <s v="Nil"/>
    <n v="0"/>
    <n v="1.8039132284134413E-2"/>
    <n v="0.14056801195814647"/>
    <n v="0"/>
    <n v="-1"/>
    <n v="0"/>
    <n v="0"/>
    <s v="18-24"/>
  </r>
  <r>
    <s v="TX0420"/>
    <n v="1439"/>
    <n v="0.14198"/>
    <x v="4"/>
    <n v="63.418999999999997"/>
    <n v="7.6920000000000002"/>
    <n v="0.21218000000000001"/>
    <n v="1"/>
    <x v="1"/>
    <n v="56"/>
    <x v="3"/>
    <x v="2"/>
    <n v="3"/>
    <n v="0.13000520020800832"/>
    <n v="1.845813832553302E-2"/>
    <n v="0.12128857282517859"/>
    <n v="0.14198"/>
    <n v="0.4944358360332442"/>
    <n v="1.4944358360332441"/>
    <n v="2.7584503380135204E-2"/>
    <s v="55+"/>
  </r>
  <r>
    <s v="TX0421"/>
    <n v="5507"/>
    <n v="8.2220000000000001E-2"/>
    <x v="0"/>
    <n v="19.327999999999999"/>
    <n v="1.4139999999999999"/>
    <n v="0"/>
    <n v="0"/>
    <x v="5"/>
    <n v="60"/>
    <x v="3"/>
    <x v="1"/>
    <n v="1"/>
    <n v="0"/>
    <n v="5.8147100424328149E-2"/>
    <n v="7.3158112582781459E-2"/>
    <n v="0"/>
    <n v="-1"/>
    <n v="0"/>
    <n v="0"/>
    <s v="55+"/>
  </r>
  <r>
    <s v="TX0422"/>
    <n v="6612"/>
    <n v="0"/>
    <x v="3"/>
    <n v="12.955"/>
    <n v="3.0030000000000001"/>
    <n v="0"/>
    <n v="0"/>
    <x v="3"/>
    <n v="36"/>
    <x v="2"/>
    <x v="2"/>
    <n v="5"/>
    <n v="0"/>
    <n v="0"/>
    <n v="0.2318023928984948"/>
    <n v="0"/>
    <n v="0"/>
    <n v="0"/>
    <n v="0"/>
    <s v="35-44"/>
  </r>
  <r>
    <s v="TX0423"/>
    <n v="7713"/>
    <n v="0"/>
    <x v="0"/>
    <n v="42.517000000000003"/>
    <n v="0.309"/>
    <n v="0.10974"/>
    <n v="1"/>
    <x v="4"/>
    <n v="35"/>
    <x v="0"/>
    <x v="0"/>
    <s v="Nil"/>
    <n v="3.2362459546925568"/>
    <n v="0"/>
    <n v="7.2676811628289853E-3"/>
    <n v="0"/>
    <n v="0"/>
    <e v="#DIV/0!"/>
    <n v="0.35514563106796121"/>
    <s v="35-44"/>
  </r>
  <r>
    <s v="TX0424"/>
    <n v="3448"/>
    <n v="0.11761000000000001"/>
    <x v="0"/>
    <n v="36.912999999999997"/>
    <n v="8.9060000000000006"/>
    <n v="0.12209"/>
    <n v="1"/>
    <x v="1"/>
    <n v="49"/>
    <x v="2"/>
    <x v="1"/>
    <n v="4"/>
    <n v="0.11228385358185493"/>
    <n v="1.3205704019761958E-2"/>
    <n v="0.24127001327445619"/>
    <n v="0.11761000000000001"/>
    <n v="3.8091998979678576E-2"/>
    <n v="1.0380919989796786"/>
    <n v="1.3708735683808667E-2"/>
    <s v="45-54"/>
  </r>
  <r>
    <s v="TX0425"/>
    <n v="7956"/>
    <n v="0"/>
    <x v="4"/>
    <n v="87.450999999999993"/>
    <n v="1.175"/>
    <n v="3.789E-2"/>
    <n v="1"/>
    <x v="0"/>
    <n v="41"/>
    <x v="3"/>
    <x v="0"/>
    <n v="1"/>
    <n v="0.85106382978723405"/>
    <n v="0"/>
    <n v="1.3436095642131024E-2"/>
    <n v="0"/>
    <n v="0"/>
    <e v="#DIV/0!"/>
    <n v="3.2246808510638297E-2"/>
    <s v="35-44"/>
  </r>
  <r>
    <s v="TX0426"/>
    <n v="5022"/>
    <n v="0"/>
    <x v="5"/>
    <n v="72.108999999999995"/>
    <n v="3.0230000000000001"/>
    <n v="0"/>
    <n v="0"/>
    <x v="1"/>
    <n v="56"/>
    <x v="3"/>
    <x v="0"/>
    <n v="5"/>
    <n v="0"/>
    <n v="0"/>
    <n v="4.1922644884827144E-2"/>
    <n v="0"/>
    <n v="0"/>
    <n v="0"/>
    <n v="0"/>
    <s v="55+"/>
  </r>
  <r>
    <s v="TX0427"/>
    <n v="2346"/>
    <n v="0"/>
    <x v="0"/>
    <n v="19.085999999999999"/>
    <n v="0.90400000000000003"/>
    <n v="0"/>
    <n v="0"/>
    <x v="3"/>
    <n v="21"/>
    <x v="2"/>
    <x v="0"/>
    <n v="4"/>
    <n v="0"/>
    <n v="0"/>
    <n v="4.7364560410772298E-2"/>
    <n v="0"/>
    <n v="0"/>
    <n v="0"/>
    <n v="0"/>
    <s v="18-24"/>
  </r>
  <r>
    <s v="TX0428"/>
    <n v="5394"/>
    <n v="5.4489999999999997E-2"/>
    <x v="2"/>
    <n v="28.920999999999999"/>
    <n v="2.0779999999999998"/>
    <n v="0"/>
    <n v="0"/>
    <x v="5"/>
    <n v="37"/>
    <x v="0"/>
    <x v="3"/>
    <n v="5"/>
    <n v="0"/>
    <n v="2.6222329162656401E-2"/>
    <n v="7.1850904187268763E-2"/>
    <n v="0"/>
    <n v="-1"/>
    <n v="0"/>
    <n v="0"/>
    <s v="35-44"/>
  </r>
  <r>
    <s v="TX0429"/>
    <n v="3744"/>
    <n v="3.5610000000000003E-2"/>
    <x v="4"/>
    <n v="16.843"/>
    <n v="2.1749999999999998"/>
    <n v="0"/>
    <n v="0"/>
    <x v="3"/>
    <n v="47"/>
    <x v="3"/>
    <x v="4"/>
    <n v="2"/>
    <n v="0"/>
    <n v="1.637241379310345E-2"/>
    <n v="0.12913376476874666"/>
    <n v="0"/>
    <n v="-1"/>
    <n v="0"/>
    <n v="0"/>
    <s v="45-54"/>
  </r>
  <r>
    <s v="TX0430"/>
    <n v="1604"/>
    <n v="8.7980000000000003E-2"/>
    <x v="1"/>
    <n v="2.056"/>
    <n v="6.5810000000000004"/>
    <n v="0.19320999999999999"/>
    <n v="1"/>
    <x v="3"/>
    <n v="62"/>
    <x v="3"/>
    <x v="2"/>
    <n v="1"/>
    <n v="0.15195259079167298"/>
    <n v="1.336878893785139E-2"/>
    <n v="3.2008754863813231"/>
    <n v="8.7980000000000003E-2"/>
    <n v="1.1960672880200045"/>
    <n v="2.1960672880200045"/>
    <n v="2.9358760066859137E-2"/>
    <s v="55+"/>
  </r>
  <r>
    <s v="TX0431"/>
    <n v="6366"/>
    <n v="0"/>
    <x v="4"/>
    <n v="9.7129999999999992"/>
    <n v="3.141"/>
    <n v="0"/>
    <n v="0"/>
    <x v="1"/>
    <n v="62"/>
    <x v="2"/>
    <x v="4"/>
    <n v="1"/>
    <n v="0"/>
    <n v="0"/>
    <n v="0.32338103572531662"/>
    <n v="0"/>
    <n v="0"/>
    <n v="0"/>
    <n v="0"/>
    <s v="55+"/>
  </r>
  <r>
    <s v="TX0432"/>
    <n v="7542"/>
    <n v="0.18360000000000001"/>
    <x v="0"/>
    <n v="76.605999999999995"/>
    <n v="9.202"/>
    <n v="0"/>
    <n v="0"/>
    <x v="4"/>
    <n v="50"/>
    <x v="1"/>
    <x v="2"/>
    <s v="Nil"/>
    <n v="0"/>
    <n v="1.9952184307759184E-2"/>
    <n v="0.12012113933634443"/>
    <n v="0"/>
    <n v="-1"/>
    <n v="0"/>
    <n v="0"/>
    <s v="45-54"/>
  </r>
  <r>
    <s v="TX0433"/>
    <n v="5126"/>
    <n v="0"/>
    <x v="5"/>
    <n v="9.1110000000000007"/>
    <n v="0.96299999999999997"/>
    <n v="0"/>
    <n v="0"/>
    <x v="1"/>
    <n v="41"/>
    <x v="0"/>
    <x v="3"/>
    <n v="2"/>
    <n v="0"/>
    <n v="0"/>
    <n v="0.10569641093184062"/>
    <n v="0"/>
    <n v="0"/>
    <n v="0"/>
    <n v="0"/>
    <s v="35-44"/>
  </r>
  <r>
    <s v="TX0434"/>
    <n v="6197"/>
    <n v="7.689E-2"/>
    <x v="1"/>
    <n v="61.677"/>
    <n v="1.4370000000000001"/>
    <n v="9.8610000000000003E-2"/>
    <n v="1"/>
    <x v="1"/>
    <n v="56"/>
    <x v="1"/>
    <x v="2"/>
    <n v="5"/>
    <n v="0.6958942240779401"/>
    <n v="5.3507306889352818E-2"/>
    <n v="2.3298798579697456E-2"/>
    <n v="7.689E-2"/>
    <n v="0.28248146703082327"/>
    <n v="1.2824814670308233"/>
    <n v="6.8622129436325674E-2"/>
    <s v="55+"/>
  </r>
  <r>
    <s v="TX0435"/>
    <n v="5543"/>
    <n v="0"/>
    <x v="5"/>
    <n v="36.058"/>
    <n v="2.5680000000000001"/>
    <n v="0"/>
    <n v="0"/>
    <x v="2"/>
    <n v="44"/>
    <x v="3"/>
    <x v="3"/>
    <n v="2"/>
    <n v="0"/>
    <n v="0"/>
    <n v="7.1218592268012651E-2"/>
    <n v="0"/>
    <n v="0"/>
    <n v="0"/>
    <n v="0"/>
    <s v="35-44"/>
  </r>
  <r>
    <s v="TX0436"/>
    <n v="3192"/>
    <n v="8.5510000000000003E-2"/>
    <x v="2"/>
    <n v="2.0649999999999999"/>
    <n v="2.718"/>
    <n v="0.32944000000000001"/>
    <n v="1"/>
    <x v="0"/>
    <n v="22"/>
    <x v="3"/>
    <x v="2"/>
    <n v="2"/>
    <n v="0.36791758646063283"/>
    <n v="3.1460632818248714E-2"/>
    <n v="1.316222760290557"/>
    <n v="8.5510000000000003E-2"/>
    <n v="2.8526488130043268"/>
    <n v="3.8526488130043268"/>
    <n v="0.12120676968359088"/>
    <s v="18-24"/>
  </r>
  <r>
    <s v="TX0437"/>
    <n v="2870"/>
    <n v="0.151"/>
    <x v="2"/>
    <n v="43.264000000000003"/>
    <n v="0.54"/>
    <n v="0"/>
    <n v="0"/>
    <x v="3"/>
    <n v="49"/>
    <x v="2"/>
    <x v="4"/>
    <n v="4"/>
    <n v="0"/>
    <n v="0.27962962962962962"/>
    <n v="1.2481508875739645E-2"/>
    <n v="0"/>
    <n v="-1"/>
    <n v="0"/>
    <n v="0"/>
    <s v="45-54"/>
  </r>
  <r>
    <s v="TX0438"/>
    <n v="2471"/>
    <n v="0.13425999999999999"/>
    <x v="1"/>
    <n v="19.699000000000002"/>
    <n v="0.82899999999999996"/>
    <n v="0"/>
    <n v="0"/>
    <x v="1"/>
    <n v="56"/>
    <x v="0"/>
    <x v="0"/>
    <n v="4"/>
    <n v="0"/>
    <n v="0.16195416164053075"/>
    <n v="4.2083354484999232E-2"/>
    <n v="0"/>
    <n v="-1"/>
    <n v="0"/>
    <n v="0"/>
    <s v="55+"/>
  </r>
  <r>
    <s v="TX0439"/>
    <n v="6774"/>
    <n v="0.16971"/>
    <x v="1"/>
    <n v="95.597999999999999"/>
    <n v="5.7110000000000003"/>
    <n v="0"/>
    <n v="0"/>
    <x v="0"/>
    <n v="62"/>
    <x v="3"/>
    <x v="3"/>
    <s v="Nil"/>
    <n v="0"/>
    <n v="2.9716336893713884E-2"/>
    <n v="5.9739743509278444E-2"/>
    <n v="0"/>
    <n v="-1"/>
    <n v="0"/>
    <n v="0"/>
    <s v="55+"/>
  </r>
  <r>
    <s v="TX0440"/>
    <n v="9135"/>
    <n v="4.5699999999999998E-2"/>
    <x v="2"/>
    <n v="38.567999999999998"/>
    <n v="4.7119999999999997"/>
    <n v="0"/>
    <n v="0"/>
    <x v="4"/>
    <n v="65"/>
    <x v="3"/>
    <x v="4"/>
    <n v="4"/>
    <n v="0"/>
    <n v="9.698641765704584E-3"/>
    <n v="0.12217382285832815"/>
    <n v="0"/>
    <n v="-1"/>
    <n v="0"/>
    <n v="0"/>
    <s v="55+"/>
  </r>
  <r>
    <s v="TX0441"/>
    <n v="4623"/>
    <n v="0.16352"/>
    <x v="1"/>
    <n v="56.164999999999999"/>
    <n v="3.5619999999999998"/>
    <n v="0"/>
    <n v="0"/>
    <x v="4"/>
    <n v="18"/>
    <x v="2"/>
    <x v="3"/>
    <n v="4"/>
    <n v="0"/>
    <n v="4.5906793935991015E-2"/>
    <n v="6.342027953351731E-2"/>
    <n v="0"/>
    <n v="-1"/>
    <n v="0"/>
    <n v="0"/>
    <s v="18-24"/>
  </r>
  <r>
    <s v="TX0442"/>
    <n v="4800"/>
    <n v="8.7660000000000002E-2"/>
    <x v="5"/>
    <n v="1.476"/>
    <n v="0.76600000000000001"/>
    <n v="0"/>
    <n v="0"/>
    <x v="2"/>
    <n v="27"/>
    <x v="2"/>
    <x v="3"/>
    <n v="2"/>
    <n v="0"/>
    <n v="0.11443864229765013"/>
    <n v="0.51897018970189701"/>
    <n v="0"/>
    <n v="-1"/>
    <n v="0"/>
    <n v="0"/>
    <s v="25-34"/>
  </r>
  <r>
    <s v="TX0443"/>
    <n v="8731"/>
    <n v="0.13023999999999999"/>
    <x v="2"/>
    <n v="78.989000000000004"/>
    <n v="1.01"/>
    <n v="0"/>
    <n v="0"/>
    <x v="2"/>
    <n v="36"/>
    <x v="2"/>
    <x v="3"/>
    <n v="5"/>
    <n v="0"/>
    <n v="0.12895049504950495"/>
    <n v="1.2786590537923002E-2"/>
    <n v="0"/>
    <n v="-1"/>
    <n v="0"/>
    <n v="0"/>
    <s v="35-44"/>
  </r>
  <r>
    <s v="TX0444"/>
    <n v="8841"/>
    <n v="0.17643"/>
    <x v="2"/>
    <n v="24.613"/>
    <n v="3.488"/>
    <n v="0"/>
    <n v="0"/>
    <x v="2"/>
    <n v="41"/>
    <x v="0"/>
    <x v="3"/>
    <n v="2"/>
    <n v="0"/>
    <n v="5.0581995412844034E-2"/>
    <n v="0.14171372851745012"/>
    <n v="0"/>
    <n v="-1"/>
    <n v="0"/>
    <n v="0"/>
    <s v="35-44"/>
  </r>
  <r>
    <s v="TX0445"/>
    <n v="5599"/>
    <n v="0.14316999999999999"/>
    <x v="2"/>
    <n v="78.340999999999994"/>
    <n v="8.952"/>
    <n v="0"/>
    <n v="0"/>
    <x v="4"/>
    <n v="45"/>
    <x v="0"/>
    <x v="2"/>
    <n v="2"/>
    <n v="0"/>
    <n v="1.5993074173369079E-2"/>
    <n v="0.11426966722405893"/>
    <n v="0"/>
    <n v="-1"/>
    <n v="0"/>
    <n v="0"/>
    <s v="45-54"/>
  </r>
  <r>
    <s v="TX0446"/>
    <n v="3361"/>
    <n v="6.9010000000000002E-2"/>
    <x v="2"/>
    <n v="88.518000000000001"/>
    <n v="9.1980000000000004"/>
    <n v="0"/>
    <n v="1"/>
    <x v="2"/>
    <n v="33"/>
    <x v="3"/>
    <x v="1"/>
    <n v="1"/>
    <n v="0.10871928680147858"/>
    <n v="7.502717982170037E-3"/>
    <n v="0.10391106893513184"/>
    <n v="6.9010000000000002E-2"/>
    <n v="-1"/>
    <n v="0"/>
    <n v="0"/>
    <s v="25-34"/>
  </r>
  <r>
    <s v="TX0447"/>
    <n v="9027"/>
    <n v="0"/>
    <x v="1"/>
    <n v="37.35"/>
    <n v="1.048"/>
    <n v="0"/>
    <n v="0"/>
    <x v="4"/>
    <n v="62"/>
    <x v="3"/>
    <x v="0"/>
    <n v="1"/>
    <n v="0"/>
    <n v="0"/>
    <n v="2.8058902275769744E-2"/>
    <n v="0"/>
    <n v="0"/>
    <n v="0"/>
    <n v="0"/>
    <s v="55+"/>
  </r>
  <r>
    <s v="TX0448"/>
    <n v="2332"/>
    <n v="0.12512999999999999"/>
    <x v="4"/>
    <n v="15.741"/>
    <n v="4.8630000000000004"/>
    <n v="0.37041000000000002"/>
    <n v="1"/>
    <x v="4"/>
    <n v="18"/>
    <x v="1"/>
    <x v="0"/>
    <n v="2"/>
    <n v="0.20563438206868187"/>
    <n v="2.5731030228254161E-2"/>
    <n v="0.30893844101391277"/>
    <n v="0.12512999999999999"/>
    <n v="1.9602013905538245"/>
    <n v="2.9602013905538245"/>
    <n v="7.6169031462060457E-2"/>
    <s v="18-24"/>
  </r>
  <r>
    <s v="TX0449"/>
    <n v="7006"/>
    <n v="8.0599999999999995E-3"/>
    <x v="4"/>
    <n v="14.1"/>
    <n v="6.7789999999999999"/>
    <n v="0"/>
    <n v="0"/>
    <x v="1"/>
    <n v="25"/>
    <x v="3"/>
    <x v="0"/>
    <n v="1"/>
    <n v="0"/>
    <n v="1.1889659241776072E-3"/>
    <n v="0.48078014184397166"/>
    <n v="0"/>
    <n v="-1"/>
    <n v="0"/>
    <n v="0"/>
    <s v="25-34"/>
  </r>
  <r>
    <s v="TX0450"/>
    <n v="9380"/>
    <n v="0.15293999999999999"/>
    <x v="1"/>
    <n v="33.286999999999999"/>
    <n v="2.7690000000000001"/>
    <n v="0"/>
    <n v="0"/>
    <x v="3"/>
    <n v="45"/>
    <x v="3"/>
    <x v="2"/>
    <n v="2"/>
    <n v="0"/>
    <n v="5.5232936078006493E-2"/>
    <n v="8.3185628022951916E-2"/>
    <n v="0"/>
    <n v="-1"/>
    <n v="0"/>
    <n v="0"/>
    <s v="45-54"/>
  </r>
  <r>
    <s v="TX0451"/>
    <n v="9977"/>
    <n v="0"/>
    <x v="3"/>
    <n v="31.477"/>
    <n v="7.157"/>
    <n v="0"/>
    <n v="0"/>
    <x v="3"/>
    <n v="19"/>
    <x v="1"/>
    <x v="3"/>
    <n v="5"/>
    <n v="0"/>
    <n v="0"/>
    <n v="0.22737236712520253"/>
    <n v="0"/>
    <n v="0"/>
    <n v="0"/>
    <n v="0"/>
    <s v="18-24"/>
  </r>
  <r>
    <s v="TX0452"/>
    <n v="4372"/>
    <n v="0"/>
    <x v="3"/>
    <n v="69.055999999999997"/>
    <n v="4.5860000000000003"/>
    <n v="0"/>
    <n v="0"/>
    <x v="2"/>
    <n v="41"/>
    <x v="1"/>
    <x v="1"/>
    <n v="1"/>
    <n v="0"/>
    <n v="0"/>
    <n v="6.6409870250231706E-2"/>
    <n v="0"/>
    <n v="0"/>
    <n v="0"/>
    <n v="0"/>
    <s v="35-44"/>
  </r>
  <r>
    <s v="TX0453"/>
    <n v="5532"/>
    <n v="9.8099999999999993E-3"/>
    <x v="4"/>
    <n v="87.4"/>
    <n v="9.3460000000000001"/>
    <n v="0"/>
    <n v="0"/>
    <x v="4"/>
    <n v="64"/>
    <x v="0"/>
    <x v="4"/>
    <n v="3"/>
    <n v="0"/>
    <n v="1.0496469077680289E-3"/>
    <n v="0.10693363844393593"/>
    <n v="0"/>
    <n v="-1"/>
    <n v="0"/>
    <n v="0"/>
    <s v="55+"/>
  </r>
  <r>
    <s v="TX0454"/>
    <n v="7871"/>
    <n v="0"/>
    <x v="1"/>
    <n v="89.040999999999997"/>
    <n v="5.3289999999999997"/>
    <n v="0"/>
    <n v="0"/>
    <x v="2"/>
    <n v="41"/>
    <x v="1"/>
    <x v="0"/>
    <n v="3"/>
    <n v="0"/>
    <n v="0"/>
    <n v="5.9848833683359352E-2"/>
    <n v="0"/>
    <n v="0"/>
    <n v="0"/>
    <n v="0"/>
    <s v="35-44"/>
  </r>
  <r>
    <s v="TX0455"/>
    <n v="4850"/>
    <n v="0.18759999999999999"/>
    <x v="4"/>
    <n v="56.845999999999997"/>
    <n v="5.84"/>
    <n v="0.433"/>
    <n v="1"/>
    <x v="1"/>
    <n v="57"/>
    <x v="3"/>
    <x v="2"/>
    <n v="3"/>
    <n v="0.17123287671232876"/>
    <n v="3.2123287671232875E-2"/>
    <n v="0.10273370157970659"/>
    <n v="0.18759999999999999"/>
    <n v="1.3081023454157783"/>
    <n v="2.3081023454157785"/>
    <n v="7.4143835616438364E-2"/>
    <s v="55+"/>
  </r>
  <r>
    <s v="TX0456"/>
    <n v="3230"/>
    <n v="0.16361000000000001"/>
    <x v="2"/>
    <n v="26.442"/>
    <n v="8.9939999999999998"/>
    <n v="0.11330999999999999"/>
    <n v="1"/>
    <x v="1"/>
    <n v="41"/>
    <x v="1"/>
    <x v="2"/>
    <n v="1"/>
    <n v="0.11118523460084501"/>
    <n v="1.8191016233044251E-2"/>
    <n v="0.34014068527342861"/>
    <n v="0.16361000000000001"/>
    <n v="-0.30743842063443561"/>
    <n v="0.69256157936556439"/>
    <n v="1.2598398932621747E-2"/>
    <s v="35-44"/>
  </r>
  <r>
    <s v="TX0457"/>
    <n v="4423"/>
    <n v="0"/>
    <x v="1"/>
    <n v="1.409"/>
    <n v="2.7930000000000001"/>
    <n v="0"/>
    <n v="0"/>
    <x v="2"/>
    <n v="27"/>
    <x v="3"/>
    <x v="0"/>
    <n v="2"/>
    <n v="0"/>
    <n v="0"/>
    <n v="1.9822569198012776"/>
    <n v="0"/>
    <n v="0"/>
    <n v="0"/>
    <n v="0"/>
    <s v="25-34"/>
  </r>
  <r>
    <s v="TX0458"/>
    <n v="1353"/>
    <n v="8.992E-2"/>
    <x v="5"/>
    <n v="11.308"/>
    <n v="4.8499999999999996"/>
    <n v="0"/>
    <n v="0"/>
    <x v="0"/>
    <n v="58"/>
    <x v="2"/>
    <x v="1"/>
    <n v="5"/>
    <n v="0"/>
    <n v="1.8540206185567013E-2"/>
    <n v="0.42889989388043859"/>
    <n v="0"/>
    <n v="-1"/>
    <n v="0"/>
    <n v="0"/>
    <s v="55+"/>
  </r>
  <r>
    <s v="TX0459"/>
    <n v="5466"/>
    <n v="7.3010000000000005E-2"/>
    <x v="0"/>
    <n v="73.072000000000003"/>
    <n v="5.3659999999999997"/>
    <n v="0"/>
    <n v="0"/>
    <x v="0"/>
    <n v="19"/>
    <x v="3"/>
    <x v="3"/>
    <n v="1"/>
    <n v="0"/>
    <n v="1.3606038017144989E-2"/>
    <n v="7.3434420845193776E-2"/>
    <n v="0"/>
    <n v="-1"/>
    <n v="0"/>
    <n v="0"/>
    <s v="18-24"/>
  </r>
  <r>
    <s v="TX0460"/>
    <n v="9379"/>
    <n v="2.767E-2"/>
    <x v="4"/>
    <n v="33.972000000000001"/>
    <n v="0"/>
    <n v="0"/>
    <n v="0"/>
    <x v="1"/>
    <n v="61"/>
    <x v="0"/>
    <x v="2"/>
    <n v="1"/>
    <n v="0"/>
    <n v="0"/>
    <n v="0"/>
    <n v="0"/>
    <n v="-1"/>
    <n v="0"/>
    <n v="0"/>
    <s v="55+"/>
  </r>
  <r>
    <s v="TX0461"/>
    <n v="6035"/>
    <n v="6.6449999999999995E-2"/>
    <x v="1"/>
    <n v="71.605000000000004"/>
    <n v="6.8449999999999998"/>
    <n v="0"/>
    <n v="0"/>
    <x v="4"/>
    <n v="61"/>
    <x v="2"/>
    <x v="2"/>
    <n v="3"/>
    <n v="0"/>
    <n v="9.7078159240321406E-3"/>
    <n v="9.5593883108721453E-2"/>
    <n v="0"/>
    <n v="-1"/>
    <n v="0"/>
    <n v="0"/>
    <s v="55+"/>
  </r>
  <r>
    <s v="TX0462"/>
    <n v="2380"/>
    <n v="0.18398"/>
    <x v="2"/>
    <n v="78.738"/>
    <n v="7.6029999999999998"/>
    <n v="0"/>
    <n v="0"/>
    <x v="4"/>
    <n v="52"/>
    <x v="0"/>
    <x v="0"/>
    <n v="1"/>
    <n v="0"/>
    <n v="2.4198342759437066E-2"/>
    <n v="9.6560745764433936E-2"/>
    <n v="0"/>
    <n v="-1"/>
    <n v="0"/>
    <n v="0"/>
    <s v="45-54"/>
  </r>
  <r>
    <s v="TX0463"/>
    <n v="3419"/>
    <n v="3.9480000000000001E-2"/>
    <x v="3"/>
    <n v="33.848999999999997"/>
    <n v="1.9630000000000001"/>
    <n v="0"/>
    <n v="0"/>
    <x v="4"/>
    <n v="47"/>
    <x v="1"/>
    <x v="4"/>
    <n v="1"/>
    <n v="0"/>
    <n v="2.0112073357106471E-2"/>
    <n v="5.799285060119945E-2"/>
    <n v="0"/>
    <n v="-1"/>
    <n v="0"/>
    <n v="0"/>
    <s v="45-54"/>
  </r>
  <r>
    <s v="TX0464"/>
    <n v="7405"/>
    <n v="0.13435"/>
    <x v="2"/>
    <n v="21.143999999999998"/>
    <n v="3.2450000000000001"/>
    <n v="2.9319999999999999E-2"/>
    <n v="1"/>
    <x v="4"/>
    <n v="19"/>
    <x v="0"/>
    <x v="4"/>
    <n v="5"/>
    <n v="0.3081664098613251"/>
    <n v="4.140215716486903E-2"/>
    <n v="0.15347143397654184"/>
    <n v="0.13435"/>
    <n v="-0.78176404912541864"/>
    <n v="0.21823595087458131"/>
    <n v="9.0354391371340517E-3"/>
    <s v="18-24"/>
  </r>
  <r>
    <s v="TX0465"/>
    <n v="4424"/>
    <n v="1.2409999999999999E-2"/>
    <x v="3"/>
    <n v="89.471000000000004"/>
    <n v="1.2689999999999999"/>
    <n v="0"/>
    <n v="0"/>
    <x v="2"/>
    <n v="42"/>
    <x v="1"/>
    <x v="1"/>
    <n v="4"/>
    <n v="0"/>
    <n v="9.779353821907014E-3"/>
    <n v="1.418336667747091E-2"/>
    <n v="0"/>
    <n v="-1"/>
    <n v="0"/>
    <n v="0"/>
    <s v="35-44"/>
  </r>
  <r>
    <s v="TX0466"/>
    <n v="9243"/>
    <n v="0"/>
    <x v="4"/>
    <n v="15.016"/>
    <n v="0"/>
    <n v="0.24193000000000001"/>
    <n v="1"/>
    <x v="1"/>
    <n v="50"/>
    <x v="0"/>
    <x v="2"/>
    <s v="Nil"/>
    <n v="0"/>
    <n v="0"/>
    <n v="0"/>
    <n v="0"/>
    <n v="0"/>
    <e v="#DIV/0!"/>
    <n v="0"/>
    <s v="45-54"/>
  </r>
  <r>
    <s v="TX0467"/>
    <n v="1342"/>
    <n v="5.1639999999999998E-2"/>
    <x v="5"/>
    <n v="32.82"/>
    <n v="7.3129999999999997"/>
    <n v="0.13522000000000001"/>
    <n v="1"/>
    <x v="5"/>
    <n v="23"/>
    <x v="3"/>
    <x v="3"/>
    <n v="3"/>
    <n v="0.13674278681799534"/>
    <n v="7.06139751128128E-3"/>
    <n v="0.22282145033516149"/>
    <n v="5.1639999999999998E-2"/>
    <n v="1.6185127807900856"/>
    <n v="2.6185127807900854"/>
    <n v="1.8490359633529335E-2"/>
    <s v="18-24"/>
  </r>
  <r>
    <s v="TX0468"/>
    <n v="3340"/>
    <n v="0"/>
    <x v="3"/>
    <n v="51.375999999999998"/>
    <n v="0.64500000000000002"/>
    <n v="0.35837000000000002"/>
    <n v="1"/>
    <x v="1"/>
    <n v="25"/>
    <x v="2"/>
    <x v="2"/>
    <s v="Nil"/>
    <n v="1.5503875968992247"/>
    <n v="0"/>
    <n v="1.2554500155714731E-2"/>
    <n v="0"/>
    <n v="0"/>
    <e v="#DIV/0!"/>
    <n v="0.5556124031007752"/>
    <s v="25-34"/>
  </r>
  <r>
    <s v="TX0469"/>
    <n v="5994"/>
    <n v="5.457E-2"/>
    <x v="2"/>
    <n v="9.4689999999999994"/>
    <n v="8.5980000000000008"/>
    <n v="0.41650999999999999"/>
    <n v="1"/>
    <x v="4"/>
    <n v="58"/>
    <x v="0"/>
    <x v="4"/>
    <n v="4"/>
    <n v="0.1163061177017911"/>
    <n v="6.3468248429867404E-3"/>
    <n v="0.90801562995036444"/>
    <n v="5.457E-2"/>
    <n v="6.6325820047645223"/>
    <n v="7.6325820047645223"/>
    <n v="4.8442661083973014E-2"/>
    <s v="55+"/>
  </r>
  <r>
    <s v="TX0470"/>
    <n v="3281"/>
    <n v="0"/>
    <x v="5"/>
    <n v="98.798000000000002"/>
    <n v="9.1120000000000001"/>
    <n v="0"/>
    <n v="0"/>
    <x v="2"/>
    <n v="22"/>
    <x v="1"/>
    <x v="3"/>
    <n v="3"/>
    <n v="0"/>
    <n v="0"/>
    <n v="9.2228587623231245E-2"/>
    <n v="0"/>
    <n v="0"/>
    <n v="0"/>
    <n v="0"/>
    <s v="18-24"/>
  </r>
  <r>
    <s v="TX0471"/>
    <n v="3505"/>
    <n v="0.14752000000000001"/>
    <x v="2"/>
    <n v="8.6850000000000005"/>
    <n v="6.9039999999999999"/>
    <n v="0"/>
    <n v="0"/>
    <x v="3"/>
    <n v="58"/>
    <x v="2"/>
    <x v="3"/>
    <n v="3"/>
    <n v="0"/>
    <n v="2.136732329084589E-2"/>
    <n v="0.79493379389752439"/>
    <n v="0"/>
    <n v="-1"/>
    <n v="0"/>
    <n v="0"/>
    <s v="55+"/>
  </r>
  <r>
    <s v="TX0472"/>
    <n v="7334"/>
    <n v="0.11698"/>
    <x v="3"/>
    <n v="99.103999999999999"/>
    <n v="0.54500000000000004"/>
    <n v="0"/>
    <n v="0"/>
    <x v="1"/>
    <n v="45"/>
    <x v="2"/>
    <x v="1"/>
    <n v="2"/>
    <n v="0"/>
    <n v="0.21464220183486238"/>
    <n v="5.4992734904746529E-3"/>
    <n v="0"/>
    <n v="-1"/>
    <n v="0"/>
    <n v="0"/>
    <s v="45-54"/>
  </r>
  <r>
    <s v="TX0473"/>
    <n v="7028"/>
    <n v="0.15789"/>
    <x v="1"/>
    <n v="25.776"/>
    <n v="6.9459999999999997"/>
    <n v="0"/>
    <n v="0"/>
    <x v="3"/>
    <n v="32"/>
    <x v="1"/>
    <x v="2"/>
    <n v="3"/>
    <n v="0"/>
    <n v="2.2731068240714081E-2"/>
    <n v="0.26947548106765984"/>
    <n v="0"/>
    <n v="-1"/>
    <n v="0"/>
    <n v="0"/>
    <s v="25-34"/>
  </r>
  <r>
    <s v="TX0474"/>
    <n v="2874"/>
    <n v="8.8330000000000006E-2"/>
    <x v="0"/>
    <n v="88.126000000000005"/>
    <n v="3.0489999999999999"/>
    <n v="0"/>
    <n v="0"/>
    <x v="5"/>
    <n v="22"/>
    <x v="0"/>
    <x v="2"/>
    <s v="Nil"/>
    <n v="0"/>
    <n v="2.8970154148901282E-2"/>
    <n v="3.4598188956721058E-2"/>
    <n v="0"/>
    <n v="-1"/>
    <n v="0"/>
    <n v="0"/>
    <s v="18-24"/>
  </r>
  <r>
    <s v="TX0475"/>
    <n v="1452"/>
    <n v="0.19785"/>
    <x v="0"/>
    <n v="5.7130000000000001"/>
    <n v="0.78100000000000003"/>
    <n v="8.9190000000000005E-2"/>
    <n v="1"/>
    <x v="2"/>
    <n v="28"/>
    <x v="0"/>
    <x v="3"/>
    <n v="5"/>
    <n v="1.2804097311139564"/>
    <n v="0.25332906530089627"/>
    <n v="0.13670575879572905"/>
    <n v="0.19785"/>
    <n v="-0.54920394238059134"/>
    <n v="0.45079605761940866"/>
    <n v="0.11419974391805378"/>
    <s v="25-34"/>
  </r>
  <r>
    <s v="TX0476"/>
    <n v="4344"/>
    <n v="0.10489"/>
    <x v="0"/>
    <n v="45.808"/>
    <n v="0.86099999999999999"/>
    <n v="0"/>
    <n v="0"/>
    <x v="3"/>
    <n v="33"/>
    <x v="1"/>
    <x v="3"/>
    <n v="2"/>
    <n v="0"/>
    <n v="0.12182346109175378"/>
    <n v="1.8795843520782396E-2"/>
    <n v="0"/>
    <n v="-1"/>
    <n v="0"/>
    <n v="0"/>
    <s v="25-34"/>
  </r>
  <r>
    <s v="TX0477"/>
    <n v="5187"/>
    <n v="0.11854000000000001"/>
    <x v="0"/>
    <n v="85.817999999999998"/>
    <n v="3.3860000000000001"/>
    <n v="0"/>
    <n v="0"/>
    <x v="1"/>
    <n v="58"/>
    <x v="3"/>
    <x v="3"/>
    <n v="4"/>
    <n v="0"/>
    <n v="3.5008860011813352E-2"/>
    <n v="3.9455592066932346E-2"/>
    <n v="0"/>
    <n v="-1"/>
    <n v="0"/>
    <n v="0"/>
    <s v="55+"/>
  </r>
  <r>
    <s v="TX0478"/>
    <n v="4077"/>
    <n v="3.7629999999999997E-2"/>
    <x v="0"/>
    <n v="12.785"/>
    <n v="8.58"/>
    <n v="0"/>
    <n v="0"/>
    <x v="2"/>
    <n v="45"/>
    <x v="0"/>
    <x v="4"/>
    <n v="2"/>
    <n v="0"/>
    <n v="4.385780885780885E-3"/>
    <n v="0.67109894407508797"/>
    <n v="0"/>
    <n v="-1"/>
    <n v="0"/>
    <n v="0"/>
    <s v="45-54"/>
  </r>
  <r>
    <s v="TX0479"/>
    <n v="1012"/>
    <n v="8.0750000000000002E-2"/>
    <x v="2"/>
    <n v="75.763000000000005"/>
    <n v="6.843"/>
    <n v="0"/>
    <n v="0"/>
    <x v="2"/>
    <n v="63"/>
    <x v="0"/>
    <x v="1"/>
    <s v="Nil"/>
    <n v="0"/>
    <n v="1.180037995031419E-2"/>
    <n v="9.0321133006876705E-2"/>
    <n v="0"/>
    <n v="-1"/>
    <n v="0"/>
    <n v="0"/>
    <s v="55+"/>
  </r>
  <r>
    <s v="TX0480"/>
    <n v="9765"/>
    <n v="0.154"/>
    <x v="2"/>
    <n v="87.591999999999999"/>
    <n v="4.1059999999999999"/>
    <n v="0"/>
    <n v="0"/>
    <x v="0"/>
    <n v="56"/>
    <x v="3"/>
    <x v="1"/>
    <s v="Nil"/>
    <n v="0"/>
    <n v="3.7506088650754991E-2"/>
    <n v="4.6876427070965385E-2"/>
    <n v="0"/>
    <n v="-1"/>
    <n v="0"/>
    <n v="0"/>
    <s v="55+"/>
  </r>
  <r>
    <s v="TX0481"/>
    <n v="2361"/>
    <n v="0.15858"/>
    <x v="3"/>
    <n v="68.159000000000006"/>
    <n v="7.7140000000000004"/>
    <n v="0.20061000000000001"/>
    <n v="1"/>
    <x v="5"/>
    <n v="28"/>
    <x v="2"/>
    <x v="2"/>
    <n v="3"/>
    <n v="0.12963443090484833"/>
    <n v="2.0557428052890847E-2"/>
    <n v="0.11317654308308514"/>
    <n v="0.15858"/>
    <n v="0.26503972758229294"/>
    <n v="1.2650397275822929"/>
    <n v="2.6005963183821625E-2"/>
    <s v="25-34"/>
  </r>
  <r>
    <s v="TX0482"/>
    <n v="4923"/>
    <n v="0.12978999999999999"/>
    <x v="2"/>
    <n v="29.734000000000002"/>
    <n v="7.6609999999999996"/>
    <n v="0"/>
    <n v="1"/>
    <x v="0"/>
    <n v="41"/>
    <x v="2"/>
    <x v="1"/>
    <n v="5"/>
    <n v="0.13053126223730585"/>
    <n v="1.6941652525779925E-2"/>
    <n v="0.25765117374049906"/>
    <n v="0.12978999999999999"/>
    <n v="-1"/>
    <n v="0"/>
    <n v="0"/>
    <s v="35-44"/>
  </r>
  <r>
    <s v="TX0483"/>
    <n v="2340"/>
    <n v="9.3649999999999997E-2"/>
    <x v="4"/>
    <n v="67.222999999999999"/>
    <n v="4.6609999999999996"/>
    <n v="0.14024"/>
    <n v="1"/>
    <x v="1"/>
    <n v="54"/>
    <x v="1"/>
    <x v="3"/>
    <s v="Nil"/>
    <n v="0.21454623471358081"/>
    <n v="2.0092254880926842E-2"/>
    <n v="6.9336387843446437E-2"/>
    <n v="9.3649999999999997E-2"/>
    <n v="0.49749065670048059"/>
    <n v="1.4974906567004806"/>
    <n v="3.0087963956232571E-2"/>
    <s v="45-54"/>
  </r>
  <r>
    <s v="TX0484"/>
    <n v="7768"/>
    <n v="0.17813999999999999"/>
    <x v="3"/>
    <n v="55.322000000000003"/>
    <n v="2.5329999999999999"/>
    <n v="0"/>
    <n v="0"/>
    <x v="0"/>
    <n v="38"/>
    <x v="1"/>
    <x v="1"/>
    <n v="3"/>
    <n v="0"/>
    <n v="7.0327674694038694E-2"/>
    <n v="4.578648638877842E-2"/>
    <n v="0"/>
    <n v="-1"/>
    <n v="0"/>
    <n v="0"/>
    <s v="35-44"/>
  </r>
  <r>
    <s v="TX0485"/>
    <n v="2023"/>
    <n v="9.0900000000000009E-3"/>
    <x v="1"/>
    <n v="11.673"/>
    <n v="1.4410000000000001"/>
    <n v="0"/>
    <n v="0"/>
    <x v="3"/>
    <n v="24"/>
    <x v="3"/>
    <x v="4"/>
    <n v="1"/>
    <n v="0"/>
    <n v="6.3081193615544765E-3"/>
    <n v="0.12344727148119593"/>
    <n v="0"/>
    <n v="-1"/>
    <n v="0"/>
    <n v="0"/>
    <s v="18-24"/>
  </r>
  <r>
    <s v="TX0486"/>
    <n v="5180"/>
    <n v="2.6110000000000001E-2"/>
    <x v="4"/>
    <n v="44.499000000000002"/>
    <n v="6.5709999999999997"/>
    <n v="0"/>
    <n v="0"/>
    <x v="2"/>
    <n v="44"/>
    <x v="0"/>
    <x v="0"/>
    <n v="2"/>
    <n v="0"/>
    <n v="3.9735200121747078E-3"/>
    <n v="0.14766623969077955"/>
    <n v="0"/>
    <n v="-1"/>
    <n v="0"/>
    <n v="0"/>
    <s v="35-44"/>
  </r>
  <r>
    <s v="TX0487"/>
    <n v="7731"/>
    <n v="0.16064000000000001"/>
    <x v="2"/>
    <n v="68.849000000000004"/>
    <n v="1.2070000000000001"/>
    <n v="0.16128000000000001"/>
    <n v="1"/>
    <x v="2"/>
    <n v="23"/>
    <x v="0"/>
    <x v="4"/>
    <n v="3"/>
    <n v="0.82850041425020704"/>
    <n v="0.13309030654515328"/>
    <n v="1.7531118825255269E-2"/>
    <n v="0.16064000000000001"/>
    <n v="3.9840637450199307E-3"/>
    <n v="1.0039840637450199"/>
    <n v="0.13362054681027341"/>
    <s v="18-24"/>
  </r>
  <r>
    <s v="TX0488"/>
    <n v="7085"/>
    <n v="0"/>
    <x v="1"/>
    <n v="15.359"/>
    <n v="7.0250000000000004"/>
    <n v="0"/>
    <n v="0"/>
    <x v="2"/>
    <n v="35"/>
    <x v="2"/>
    <x v="4"/>
    <n v="5"/>
    <n v="0"/>
    <n v="0"/>
    <n v="0.4573865486034247"/>
    <n v="0"/>
    <n v="0"/>
    <n v="0"/>
    <n v="0"/>
    <s v="35-44"/>
  </r>
  <r>
    <s v="TX0489"/>
    <n v="8265"/>
    <n v="1.8970000000000001E-2"/>
    <x v="2"/>
    <n v="5.8920000000000003"/>
    <n v="2.7770000000000001"/>
    <n v="0.33096999999999999"/>
    <n v="1"/>
    <x v="2"/>
    <n v="19"/>
    <x v="0"/>
    <x v="1"/>
    <n v="1"/>
    <n v="0.36010082823190492"/>
    <n v="6.8311127115592363E-3"/>
    <n v="0.47131704005431091"/>
    <n v="1.8970000000000001E-2"/>
    <n v="16.447021613073272"/>
    <n v="17.447021613073272"/>
    <n v="0.11918257111991357"/>
    <s v="18-24"/>
  </r>
  <r>
    <s v="TX0490"/>
    <n v="2660"/>
    <n v="0.11889"/>
    <x v="2"/>
    <n v="32.142000000000003"/>
    <n v="6.0369999999999999"/>
    <n v="0"/>
    <n v="0"/>
    <x v="2"/>
    <n v="18"/>
    <x v="3"/>
    <x v="2"/>
    <n v="1"/>
    <n v="0"/>
    <n v="1.9693556402186518E-2"/>
    <n v="0.18782278638541469"/>
    <n v="0"/>
    <n v="-1"/>
    <n v="0"/>
    <n v="0"/>
    <s v="18-24"/>
  </r>
  <r>
    <s v="TX0491"/>
    <n v="5189"/>
    <n v="0.11266"/>
    <x v="5"/>
    <n v="18.126999999999999"/>
    <n v="1.228"/>
    <n v="0"/>
    <n v="0"/>
    <x v="1"/>
    <n v="50"/>
    <x v="2"/>
    <x v="2"/>
    <n v="1"/>
    <n v="0"/>
    <n v="9.1742671009771987E-2"/>
    <n v="6.7744248910465057E-2"/>
    <n v="0"/>
    <n v="-1"/>
    <n v="0"/>
    <n v="0"/>
    <s v="45-54"/>
  </r>
  <r>
    <s v="TX0492"/>
    <n v="7324"/>
    <n v="0.19742999999999999"/>
    <x v="0"/>
    <n v="22.385999999999999"/>
    <n v="8.2799999999999994"/>
    <n v="0"/>
    <n v="0"/>
    <x v="2"/>
    <n v="26"/>
    <x v="3"/>
    <x v="3"/>
    <n v="2"/>
    <n v="0"/>
    <n v="2.3844202898550725E-2"/>
    <n v="0.36987402841061379"/>
    <n v="0"/>
    <n v="-1"/>
    <n v="0"/>
    <n v="0"/>
    <s v="25-34"/>
  </r>
  <r>
    <s v="TX0493"/>
    <n v="1908"/>
    <n v="0"/>
    <x v="1"/>
    <n v="34.212000000000003"/>
    <n v="5.1520000000000001"/>
    <n v="0"/>
    <n v="0"/>
    <x v="1"/>
    <n v="41"/>
    <x v="2"/>
    <x v="4"/>
    <n v="1"/>
    <n v="0"/>
    <n v="0"/>
    <n v="0.15059043610429088"/>
    <n v="0"/>
    <n v="0"/>
    <n v="0"/>
    <n v="0"/>
    <s v="35-44"/>
  </r>
  <r>
    <s v="TX0494"/>
    <n v="5808"/>
    <n v="7.5999999999999998E-2"/>
    <x v="4"/>
    <n v="89.944999999999993"/>
    <n v="4.1520000000000001"/>
    <n v="0"/>
    <n v="0"/>
    <x v="0"/>
    <n v="28"/>
    <x v="1"/>
    <x v="1"/>
    <n v="3"/>
    <n v="0"/>
    <n v="1.8304431599229287E-2"/>
    <n v="4.6161543165267667E-2"/>
    <n v="0"/>
    <n v="-1"/>
    <n v="0"/>
    <n v="0"/>
    <s v="25-34"/>
  </r>
  <r>
    <s v="TX0495"/>
    <n v="7735"/>
    <n v="0.12255000000000001"/>
    <x v="4"/>
    <n v="8.1379999999999999"/>
    <n v="8.9390000000000001"/>
    <n v="0"/>
    <n v="0"/>
    <x v="3"/>
    <n v="53"/>
    <x v="0"/>
    <x v="1"/>
    <n v="1"/>
    <n v="0"/>
    <n v="1.3709587202147893E-2"/>
    <n v="1.098427131973458"/>
    <n v="0"/>
    <n v="-1"/>
    <n v="0"/>
    <n v="0"/>
    <s v="45-54"/>
  </r>
  <r>
    <s v="TX0496"/>
    <n v="2086"/>
    <n v="0.1142"/>
    <x v="4"/>
    <n v="87.415999999999997"/>
    <n v="3.431"/>
    <n v="0"/>
    <n v="0"/>
    <x v="5"/>
    <n v="27"/>
    <x v="0"/>
    <x v="0"/>
    <n v="1"/>
    <n v="0"/>
    <n v="3.3284756630719906E-2"/>
    <n v="3.9249107714834815E-2"/>
    <n v="0"/>
    <n v="-1"/>
    <n v="0"/>
    <n v="0"/>
    <s v="25-34"/>
  </r>
  <r>
    <s v="TX0497"/>
    <n v="1202"/>
    <n v="7.9829999999999998E-2"/>
    <x v="1"/>
    <n v="74.376999999999995"/>
    <n v="0.30599999999999999"/>
    <n v="0"/>
    <n v="0"/>
    <x v="4"/>
    <n v="22"/>
    <x v="0"/>
    <x v="1"/>
    <n v="5"/>
    <n v="0"/>
    <n v="0.26088235294117645"/>
    <n v="4.1141750810062255E-3"/>
    <n v="0"/>
    <n v="-1"/>
    <n v="0"/>
    <n v="0"/>
    <s v="18-24"/>
  </r>
  <r>
    <s v="TX0498"/>
    <n v="2857"/>
    <n v="4.002E-2"/>
    <x v="4"/>
    <n v="55.908999999999999"/>
    <n v="1.839"/>
    <n v="8.5500000000000007E-2"/>
    <n v="1"/>
    <x v="4"/>
    <n v="61"/>
    <x v="1"/>
    <x v="3"/>
    <n v="5"/>
    <n v="0.54377379010331706"/>
    <n v="2.1761827079934747E-2"/>
    <n v="3.2892736410953513E-2"/>
    <n v="4.002E-2"/>
    <n v="1.1364317841079461"/>
    <n v="2.1364317841079461"/>
    <n v="4.649265905383361E-2"/>
    <s v="55+"/>
  </r>
  <r>
    <s v="TX0499"/>
    <n v="7399"/>
    <n v="2.5430000000000001E-2"/>
    <x v="1"/>
    <n v="92.647999999999996"/>
    <n v="1.9350000000000001"/>
    <n v="0"/>
    <n v="0"/>
    <x v="1"/>
    <n v="36"/>
    <x v="0"/>
    <x v="4"/>
    <n v="4"/>
    <n v="0"/>
    <n v="1.3142118863049095E-2"/>
    <n v="2.0885502115534065E-2"/>
    <n v="0"/>
    <n v="-1"/>
    <n v="0"/>
    <n v="0"/>
    <s v="35-44"/>
  </r>
  <r>
    <s v="TX0500"/>
    <n v="7505"/>
    <n v="0.19639999999999999"/>
    <x v="5"/>
    <n v="87.656999999999996"/>
    <n v="7.9720000000000004"/>
    <n v="0"/>
    <n v="0"/>
    <x v="0"/>
    <n v="57"/>
    <x v="1"/>
    <x v="4"/>
    <s v="Nil"/>
    <n v="0"/>
    <n v="2.4636226793778221E-2"/>
    <n v="9.0945389415562947E-2"/>
    <n v="0"/>
    <n v="-1"/>
    <n v="0"/>
    <n v="0"/>
    <s v="55+"/>
  </r>
  <r>
    <s v="TX0501"/>
    <n v="7121"/>
    <n v="8.0180000000000001E-2"/>
    <x v="3"/>
    <n v="19.661000000000001"/>
    <n v="5.0570000000000004"/>
    <n v="0"/>
    <n v="0"/>
    <x v="2"/>
    <n v="65"/>
    <x v="0"/>
    <x v="1"/>
    <n v="5"/>
    <n v="0"/>
    <n v="1.5855250148309272E-2"/>
    <n v="0.25720970449112457"/>
    <n v="0"/>
    <n v="-1"/>
    <n v="0"/>
    <n v="0"/>
    <s v="55+"/>
  </r>
  <r>
    <s v="TX0502"/>
    <n v="3076"/>
    <n v="0.15848000000000001"/>
    <x v="0"/>
    <n v="55.722000000000001"/>
    <n v="1.7430000000000001"/>
    <n v="0"/>
    <n v="0"/>
    <x v="2"/>
    <n v="24"/>
    <x v="1"/>
    <x v="4"/>
    <n v="3"/>
    <n v="0"/>
    <n v="9.0923694779116465E-2"/>
    <n v="3.1280284268332077E-2"/>
    <n v="0"/>
    <n v="-1"/>
    <n v="0"/>
    <n v="0"/>
    <s v="18-24"/>
  </r>
  <r>
    <s v="TX0503"/>
    <n v="6066"/>
    <n v="0.10241"/>
    <x v="4"/>
    <n v="12.445"/>
    <n v="1.7230000000000001"/>
    <n v="0"/>
    <n v="0"/>
    <x v="3"/>
    <n v="27"/>
    <x v="2"/>
    <x v="1"/>
    <n v="4"/>
    <n v="0"/>
    <n v="5.9437028438769586E-2"/>
    <n v="0.13844917637605464"/>
    <n v="0"/>
    <n v="-1"/>
    <n v="0"/>
    <n v="0"/>
    <s v="25-34"/>
  </r>
  <r>
    <s v="TX0504"/>
    <n v="6571"/>
    <n v="0.16339999999999999"/>
    <x v="0"/>
    <n v="94.587000000000003"/>
    <n v="1.0389999999999999"/>
    <n v="0.27717000000000003"/>
    <n v="1"/>
    <x v="4"/>
    <n v="38"/>
    <x v="0"/>
    <x v="2"/>
    <n v="3"/>
    <n v="0.9624639076034649"/>
    <n v="0.15726660250240615"/>
    <n v="1.0984596191865689E-2"/>
    <n v="0.16339999999999999"/>
    <n v="0.69626682986536137"/>
    <n v="1.6962668298653614"/>
    <n v="0.26676612127045241"/>
    <s v="35-44"/>
  </r>
  <r>
    <s v="TX0505"/>
    <n v="5286"/>
    <n v="0"/>
    <x v="1"/>
    <n v="80.227999999999994"/>
    <n v="8.5060000000000002"/>
    <n v="0"/>
    <n v="0"/>
    <x v="3"/>
    <n v="37"/>
    <x v="3"/>
    <x v="1"/>
    <n v="4"/>
    <n v="0"/>
    <n v="0"/>
    <n v="0.10602283492047665"/>
    <n v="0"/>
    <n v="0"/>
    <n v="0"/>
    <n v="0"/>
    <s v="35-44"/>
  </r>
  <r>
    <s v="TX0506"/>
    <n v="5315"/>
    <n v="0.12275"/>
    <x v="2"/>
    <n v="20.161999999999999"/>
    <n v="0.66500000000000004"/>
    <n v="0"/>
    <n v="0"/>
    <x v="4"/>
    <n v="41"/>
    <x v="0"/>
    <x v="0"/>
    <n v="5"/>
    <n v="0"/>
    <n v="0.18458646616541352"/>
    <n v="3.2982839004067059E-2"/>
    <n v="0"/>
    <n v="-1"/>
    <n v="0"/>
    <n v="0"/>
    <s v="35-44"/>
  </r>
  <r>
    <s v="TX0507"/>
    <n v="9253"/>
    <n v="0.10759000000000001"/>
    <x v="3"/>
    <n v="42.378999999999998"/>
    <n v="3.7490000000000001"/>
    <n v="0"/>
    <n v="0"/>
    <x v="0"/>
    <n v="44"/>
    <x v="0"/>
    <x v="1"/>
    <n v="4"/>
    <n v="0"/>
    <n v="2.8698319551880503E-2"/>
    <n v="8.8463625852426911E-2"/>
    <n v="0"/>
    <n v="-1"/>
    <n v="0"/>
    <n v="0"/>
    <s v="35-44"/>
  </r>
  <r>
    <s v="TX0508"/>
    <n v="5665"/>
    <n v="4.4699999999999997E-2"/>
    <x v="2"/>
    <n v="78.908000000000001"/>
    <n v="4.8449999999999998"/>
    <n v="0"/>
    <n v="0"/>
    <x v="0"/>
    <n v="60"/>
    <x v="2"/>
    <x v="0"/>
    <s v="Nil"/>
    <n v="0"/>
    <n v="9.2260061919504643E-3"/>
    <n v="6.1400618441729608E-2"/>
    <n v="0"/>
    <n v="-1"/>
    <n v="0"/>
    <n v="0"/>
    <s v="55+"/>
  </r>
  <r>
    <s v="TX0509"/>
    <n v="8545"/>
    <n v="0.16772999999999999"/>
    <x v="1"/>
    <n v="29.795000000000002"/>
    <n v="2.9969999999999999"/>
    <n v="0"/>
    <n v="0"/>
    <x v="0"/>
    <n v="51"/>
    <x v="2"/>
    <x v="4"/>
    <n v="4"/>
    <n v="0"/>
    <n v="5.5965965965965966E-2"/>
    <n v="0.10058734687028024"/>
    <n v="0"/>
    <n v="-1"/>
    <n v="0"/>
    <n v="0"/>
    <s v="45-54"/>
  </r>
  <r>
    <s v="TX0510"/>
    <n v="7834"/>
    <n v="0.17269000000000001"/>
    <x v="3"/>
    <n v="16.177"/>
    <n v="8.3260000000000005"/>
    <n v="0.18725"/>
    <n v="1"/>
    <x v="1"/>
    <n v="41"/>
    <x v="1"/>
    <x v="2"/>
    <n v="4"/>
    <n v="0.12010569300984866"/>
    <n v="2.0741052125870765E-2"/>
    <n v="0.51468133770167523"/>
    <n v="0.17269000000000001"/>
    <n v="8.4312930685042503E-2"/>
    <n v="1.0843129306850425"/>
    <n v="2.2489791016094163E-2"/>
    <s v="35-44"/>
  </r>
  <r>
    <s v="TX0511"/>
    <n v="9293"/>
    <n v="6.7739999999999995E-2"/>
    <x v="0"/>
    <n v="3.54"/>
    <n v="0.89800000000000002"/>
    <n v="0"/>
    <n v="0"/>
    <x v="4"/>
    <n v="59"/>
    <x v="3"/>
    <x v="3"/>
    <n v="2"/>
    <n v="0"/>
    <n v="7.5434298440979944E-2"/>
    <n v="0.25367231638418081"/>
    <n v="0"/>
    <n v="-1"/>
    <n v="0"/>
    <n v="0"/>
    <s v="55+"/>
  </r>
  <r>
    <s v="TX0512"/>
    <n v="1959"/>
    <n v="0"/>
    <x v="0"/>
    <n v="84.447000000000003"/>
    <n v="0.17399999999999999"/>
    <n v="0"/>
    <n v="0"/>
    <x v="2"/>
    <n v="24"/>
    <x v="1"/>
    <x v="0"/>
    <s v="Nil"/>
    <n v="0"/>
    <n v="0"/>
    <n v="2.0604639596433264E-3"/>
    <n v="0"/>
    <n v="0"/>
    <n v="0"/>
    <n v="0"/>
    <s v="18-24"/>
  </r>
  <r>
    <s v="TX0513"/>
    <n v="9389"/>
    <n v="0.10605000000000001"/>
    <x v="1"/>
    <n v="92.983000000000004"/>
    <n v="1.002"/>
    <n v="0"/>
    <n v="0"/>
    <x v="5"/>
    <n v="45"/>
    <x v="1"/>
    <x v="1"/>
    <s v="Nil"/>
    <n v="0"/>
    <n v="0.10583832335329342"/>
    <n v="1.077616338470473E-2"/>
    <n v="0"/>
    <n v="-1"/>
    <n v="0"/>
    <n v="0"/>
    <s v="45-54"/>
  </r>
  <r>
    <s v="TX0514"/>
    <n v="4109"/>
    <n v="0"/>
    <x v="1"/>
    <n v="79.864000000000004"/>
    <n v="6.2320000000000002"/>
    <n v="0"/>
    <n v="0"/>
    <x v="3"/>
    <n v="39"/>
    <x v="0"/>
    <x v="0"/>
    <n v="5"/>
    <n v="0"/>
    <n v="0"/>
    <n v="7.8032655514374438E-2"/>
    <n v="0"/>
    <n v="0"/>
    <n v="0"/>
    <n v="0"/>
    <s v="35-44"/>
  </r>
  <r>
    <s v="TX0515"/>
    <n v="3866"/>
    <n v="6.3399999999999998E-2"/>
    <x v="1"/>
    <n v="29.812000000000001"/>
    <n v="5.1859999999999999"/>
    <n v="0"/>
    <n v="0"/>
    <x v="1"/>
    <n v="22"/>
    <x v="3"/>
    <x v="0"/>
    <n v="4"/>
    <n v="0"/>
    <n v="1.222522175086772E-2"/>
    <n v="0.17395679592110558"/>
    <n v="0"/>
    <n v="-1"/>
    <n v="0"/>
    <n v="0"/>
    <s v="18-24"/>
  </r>
  <r>
    <s v="TX0516"/>
    <n v="8157"/>
    <n v="2.4289999999999999E-2"/>
    <x v="4"/>
    <n v="93.244"/>
    <n v="2.569"/>
    <n v="0"/>
    <n v="0"/>
    <x v="5"/>
    <n v="19"/>
    <x v="2"/>
    <x v="4"/>
    <n v="3"/>
    <n v="0"/>
    <n v="9.455040871934604E-3"/>
    <n v="2.7551370597571963E-2"/>
    <n v="0"/>
    <n v="-1"/>
    <n v="0"/>
    <n v="0"/>
    <s v="18-24"/>
  </r>
  <r>
    <s v="TX0517"/>
    <n v="3299"/>
    <n v="0"/>
    <x v="5"/>
    <n v="65.460999999999999"/>
    <n v="0.95299999999999996"/>
    <n v="0"/>
    <n v="0"/>
    <x v="2"/>
    <n v="21"/>
    <x v="1"/>
    <x v="0"/>
    <s v="Nil"/>
    <n v="0"/>
    <n v="0"/>
    <n v="1.4558286613403399E-2"/>
    <n v="0"/>
    <n v="0"/>
    <n v="0"/>
    <n v="0"/>
    <s v="18-24"/>
  </r>
  <r>
    <s v="TX0518"/>
    <n v="6588"/>
    <n v="0.12625"/>
    <x v="2"/>
    <n v="78.658000000000001"/>
    <n v="4.8659999999999997"/>
    <n v="0"/>
    <n v="1"/>
    <x v="2"/>
    <n v="51"/>
    <x v="0"/>
    <x v="3"/>
    <n v="4"/>
    <n v="0.20550760378133992"/>
    <n v="2.5945334977394166E-2"/>
    <n v="6.1862747590836271E-2"/>
    <n v="0.12625"/>
    <n v="-1"/>
    <n v="0"/>
    <n v="0"/>
    <s v="45-54"/>
  </r>
  <r>
    <s v="TX0519"/>
    <n v="8189"/>
    <n v="0.14627999999999999"/>
    <x v="4"/>
    <n v="48.972999999999999"/>
    <n v="0.31900000000000001"/>
    <n v="0"/>
    <n v="0"/>
    <x v="4"/>
    <n v="39"/>
    <x v="0"/>
    <x v="4"/>
    <n v="3"/>
    <n v="0"/>
    <n v="0.45855799373040751"/>
    <n v="6.5137933146836016E-3"/>
    <n v="0"/>
    <n v="-1"/>
    <n v="0"/>
    <n v="0"/>
    <s v="35-44"/>
  </r>
  <r>
    <s v="TX0520"/>
    <n v="9845"/>
    <n v="0"/>
    <x v="4"/>
    <n v="99.881"/>
    <n v="6.6959999999999997"/>
    <n v="0"/>
    <n v="0"/>
    <x v="0"/>
    <n v="53"/>
    <x v="0"/>
    <x v="0"/>
    <n v="3"/>
    <n v="0"/>
    <n v="0"/>
    <n v="6.703977733502868E-2"/>
    <n v="0"/>
    <n v="0"/>
    <n v="0"/>
    <n v="0"/>
    <s v="45-54"/>
  </r>
  <r>
    <s v="TX0521"/>
    <n v="4425"/>
    <n v="0.16879"/>
    <x v="2"/>
    <n v="22.742000000000001"/>
    <n v="3.8"/>
    <n v="0"/>
    <n v="0"/>
    <x v="3"/>
    <n v="45"/>
    <x v="1"/>
    <x v="1"/>
    <s v="Nil"/>
    <n v="0"/>
    <n v="4.4418421052631579E-2"/>
    <n v="0.1670917245624835"/>
    <n v="0"/>
    <n v="-1"/>
    <n v="0"/>
    <n v="0"/>
    <s v="45-54"/>
  </r>
  <r>
    <s v="TX0522"/>
    <n v="1753"/>
    <n v="0.12639"/>
    <x v="2"/>
    <n v="20.021000000000001"/>
    <n v="5.4029999999999996"/>
    <n v="0"/>
    <n v="0"/>
    <x v="4"/>
    <n v="23"/>
    <x v="1"/>
    <x v="4"/>
    <n v="2"/>
    <n v="0"/>
    <n v="2.3392559689061634E-2"/>
    <n v="0.26986664002797062"/>
    <n v="0"/>
    <n v="-1"/>
    <n v="0"/>
    <n v="0"/>
    <s v="18-24"/>
  </r>
  <r>
    <s v="TX0523"/>
    <n v="2072"/>
    <n v="0"/>
    <x v="1"/>
    <n v="4.3129999999999997"/>
    <n v="5.819"/>
    <n v="0"/>
    <n v="0"/>
    <x v="3"/>
    <n v="31"/>
    <x v="3"/>
    <x v="2"/>
    <n v="3"/>
    <n v="0"/>
    <n v="0"/>
    <n v="1.3491769070252726"/>
    <n v="0"/>
    <n v="0"/>
    <n v="0"/>
    <n v="0"/>
    <s v="25-34"/>
  </r>
  <r>
    <s v="TX0524"/>
    <n v="3994"/>
    <n v="9.1109999999999997E-2"/>
    <x v="3"/>
    <n v="23.565000000000001"/>
    <n v="8.57"/>
    <n v="0"/>
    <n v="0"/>
    <x v="5"/>
    <n v="25"/>
    <x v="0"/>
    <x v="2"/>
    <n v="5"/>
    <n v="0"/>
    <n v="1.063127187864644E-2"/>
    <n v="0.3636749416507532"/>
    <n v="0"/>
    <n v="-1"/>
    <n v="0"/>
    <n v="0"/>
    <s v="25-34"/>
  </r>
  <r>
    <s v="TX0525"/>
    <n v="9537"/>
    <n v="0.15542"/>
    <x v="1"/>
    <n v="73.691999999999993"/>
    <n v="3.379"/>
    <n v="0"/>
    <n v="0"/>
    <x v="3"/>
    <n v="49"/>
    <x v="2"/>
    <x v="0"/>
    <n v="3"/>
    <n v="0"/>
    <n v="4.5995856762355729E-2"/>
    <n v="4.5853009824675682E-2"/>
    <n v="0"/>
    <n v="-1"/>
    <n v="0"/>
    <n v="0"/>
    <s v="45-54"/>
  </r>
  <r>
    <s v="TX0526"/>
    <n v="2117"/>
    <n v="0.19173999999999999"/>
    <x v="3"/>
    <n v="94.308999999999997"/>
    <n v="3.496"/>
    <n v="0"/>
    <n v="0"/>
    <x v="4"/>
    <n v="29"/>
    <x v="1"/>
    <x v="3"/>
    <n v="1"/>
    <n v="0"/>
    <n v="5.4845537757437071E-2"/>
    <n v="3.7069632802807791E-2"/>
    <n v="0"/>
    <n v="-1"/>
    <n v="0"/>
    <n v="0"/>
    <s v="25-34"/>
  </r>
  <r>
    <s v="TX0527"/>
    <n v="9567"/>
    <n v="0"/>
    <x v="1"/>
    <n v="45.185000000000002"/>
    <n v="7.3550000000000004"/>
    <n v="0"/>
    <n v="0"/>
    <x v="1"/>
    <n v="41"/>
    <x v="3"/>
    <x v="4"/>
    <n v="1"/>
    <n v="0"/>
    <n v="0"/>
    <n v="0.16277525727564457"/>
    <n v="0"/>
    <n v="0"/>
    <n v="0"/>
    <n v="0"/>
    <s v="35-44"/>
  </r>
  <r>
    <s v="TX0528"/>
    <n v="6329"/>
    <n v="0.12916"/>
    <x v="3"/>
    <n v="51.439"/>
    <n v="0.252"/>
    <n v="0"/>
    <n v="0"/>
    <x v="0"/>
    <n v="30"/>
    <x v="2"/>
    <x v="2"/>
    <n v="5"/>
    <n v="0"/>
    <n v="0.51253968253968252"/>
    <n v="4.8990065903302942E-3"/>
    <n v="0"/>
    <n v="-1"/>
    <n v="0"/>
    <n v="0"/>
    <s v="25-34"/>
  </r>
  <r>
    <s v="TX0529"/>
    <n v="6655"/>
    <n v="0"/>
    <x v="0"/>
    <n v="99.054000000000002"/>
    <n v="8.0909999999999993"/>
    <n v="3.4090000000000002E-2"/>
    <n v="1"/>
    <x v="1"/>
    <n v="47"/>
    <x v="2"/>
    <x v="1"/>
    <s v="Nil"/>
    <n v="0.12359411692003462"/>
    <n v="0"/>
    <n v="8.1682718517172445E-2"/>
    <n v="0"/>
    <n v="0"/>
    <e v="#DIV/0!"/>
    <n v="4.2133234458039803E-3"/>
    <s v="45-54"/>
  </r>
  <r>
    <s v="TX0530"/>
    <n v="4990"/>
    <n v="5.0860000000000002E-2"/>
    <x v="3"/>
    <n v="58.613999999999997"/>
    <n v="0.59699999999999998"/>
    <n v="0"/>
    <n v="0"/>
    <x v="4"/>
    <n v="38"/>
    <x v="2"/>
    <x v="0"/>
    <n v="2"/>
    <n v="0"/>
    <n v="8.5192629815745408E-2"/>
    <n v="1.018527996724332E-2"/>
    <n v="0"/>
    <n v="-1"/>
    <n v="0"/>
    <n v="0"/>
    <s v="35-44"/>
  </r>
  <r>
    <s v="TX0531"/>
    <n v="7319"/>
    <n v="0.15583"/>
    <x v="1"/>
    <n v="29.276"/>
    <n v="9.4740000000000002"/>
    <n v="0"/>
    <n v="0"/>
    <x v="2"/>
    <n v="60"/>
    <x v="0"/>
    <x v="0"/>
    <n v="4"/>
    <n v="0"/>
    <n v="1.6448173949757231E-2"/>
    <n v="0.32360978275720725"/>
    <n v="0"/>
    <n v="-1"/>
    <n v="0"/>
    <n v="0"/>
    <s v="55+"/>
  </r>
  <r>
    <s v="TX0532"/>
    <n v="4017"/>
    <n v="0.16658000000000001"/>
    <x v="2"/>
    <n v="37.960999999999999"/>
    <n v="6.4009999999999998"/>
    <n v="0.33917999999999998"/>
    <n v="1"/>
    <x v="1"/>
    <n v="24"/>
    <x v="3"/>
    <x v="4"/>
    <n v="3"/>
    <n v="0.15622558975160131"/>
    <n v="2.6024058740821747E-2"/>
    <n v="0.16862042622691711"/>
    <n v="0.16658000000000001"/>
    <n v="1.0361387921719292"/>
    <n v="2.0361387921719292"/>
    <n v="5.2988595531948131E-2"/>
    <s v="18-24"/>
  </r>
  <r>
    <s v="TX0533"/>
    <n v="1956"/>
    <n v="0"/>
    <x v="4"/>
    <n v="64.236999999999995"/>
    <n v="4.3970000000000002"/>
    <n v="0"/>
    <n v="0"/>
    <x v="5"/>
    <n v="49"/>
    <x v="0"/>
    <x v="4"/>
    <n v="2"/>
    <n v="0"/>
    <n v="0"/>
    <n v="6.8449647399473831E-2"/>
    <n v="0"/>
    <n v="0"/>
    <n v="0"/>
    <n v="0"/>
    <s v="45-54"/>
  </r>
  <r>
    <s v="TX0534"/>
    <n v="2791"/>
    <n v="0"/>
    <x v="2"/>
    <n v="56.04"/>
    <n v="5.8940000000000001"/>
    <n v="0"/>
    <n v="0"/>
    <x v="3"/>
    <n v="60"/>
    <x v="2"/>
    <x v="1"/>
    <n v="2"/>
    <n v="0"/>
    <n v="0"/>
    <n v="0.10517487508922199"/>
    <n v="0"/>
    <n v="0"/>
    <n v="0"/>
    <n v="0"/>
    <s v="55+"/>
  </r>
  <r>
    <s v="TX0535"/>
    <n v="8851"/>
    <n v="8.5639999999999994E-2"/>
    <x v="3"/>
    <n v="14.84"/>
    <n v="0.81399999999999995"/>
    <n v="0.32563999999999999"/>
    <n v="1"/>
    <x v="3"/>
    <n v="31"/>
    <x v="2"/>
    <x v="1"/>
    <n v="4"/>
    <n v="1.2285012285012287"/>
    <n v="0.10520884520884521"/>
    <n v="5.4851752021563338E-2"/>
    <n v="8.5639999999999994E-2"/>
    <n v="2.8024287716020551"/>
    <n v="3.8024287716020551"/>
    <n v="0.40004914004914005"/>
    <s v="25-34"/>
  </r>
  <r>
    <s v="TX0536"/>
    <n v="8179"/>
    <n v="0"/>
    <x v="4"/>
    <n v="67.744"/>
    <n v="6.4089999999999998"/>
    <n v="0"/>
    <n v="0"/>
    <x v="4"/>
    <n v="18"/>
    <x v="2"/>
    <x v="2"/>
    <n v="5"/>
    <n v="0"/>
    <n v="0"/>
    <n v="9.4606164383561647E-2"/>
    <n v="0"/>
    <n v="0"/>
    <n v="0"/>
    <n v="0"/>
    <s v="18-24"/>
  </r>
  <r>
    <s v="TX0537"/>
    <n v="2577"/>
    <n v="9.2179999999999998E-2"/>
    <x v="0"/>
    <n v="97.879000000000005"/>
    <n v="2.7480000000000002"/>
    <n v="0"/>
    <n v="0"/>
    <x v="2"/>
    <n v="41"/>
    <x v="1"/>
    <x v="0"/>
    <n v="2"/>
    <n v="0"/>
    <n v="3.3544395924308586E-2"/>
    <n v="2.8075480950970077E-2"/>
    <n v="0"/>
    <n v="-1"/>
    <n v="0"/>
    <n v="0"/>
    <s v="35-44"/>
  </r>
  <r>
    <s v="TX0538"/>
    <n v="7608"/>
    <n v="0.14732999999999999"/>
    <x v="2"/>
    <n v="64.043999999999997"/>
    <n v="1.5509999999999999"/>
    <n v="0"/>
    <n v="0"/>
    <x v="0"/>
    <n v="43"/>
    <x v="1"/>
    <x v="0"/>
    <n v="5"/>
    <n v="0"/>
    <n v="9.4990328820116057E-2"/>
    <n v="2.4217725313846729E-2"/>
    <n v="0"/>
    <n v="-1"/>
    <n v="0"/>
    <n v="0"/>
    <s v="35-44"/>
  </r>
  <r>
    <s v="TX0539"/>
    <n v="7182"/>
    <n v="0.11004"/>
    <x v="5"/>
    <n v="97.587999999999994"/>
    <n v="6.952"/>
    <n v="9.2130000000000004E-2"/>
    <n v="1"/>
    <x v="2"/>
    <n v="63"/>
    <x v="0"/>
    <x v="0"/>
    <n v="5"/>
    <n v="0.14384349827387802"/>
    <n v="1.5828538550057537E-2"/>
    <n v="7.1238267000040989E-2"/>
    <n v="0.11004"/>
    <n v="-0.16275899672846234"/>
    <n v="0.83724100327153761"/>
    <n v="1.3252301495972382E-2"/>
    <s v="55+"/>
  </r>
  <r>
    <s v="TX0540"/>
    <n v="2293"/>
    <n v="8.5849999999999996E-2"/>
    <x v="0"/>
    <n v="7.34"/>
    <n v="9.2319999999999993"/>
    <n v="9.4189999999999996E-2"/>
    <n v="1"/>
    <x v="4"/>
    <n v="33"/>
    <x v="3"/>
    <x v="0"/>
    <n v="2"/>
    <n v="0.10831889081455806"/>
    <n v="9.2991767764298103E-3"/>
    <n v="1.2577656675749318"/>
    <n v="8.5849999999999996E-2"/>
    <n v="9.7146185206755983E-2"/>
    <n v="1.0971461852067559"/>
    <n v="1.0202556325823224E-2"/>
    <s v="25-34"/>
  </r>
  <r>
    <s v="TX0541"/>
    <n v="5239"/>
    <n v="0.16303000000000001"/>
    <x v="4"/>
    <n v="70.566999999999993"/>
    <n v="4.3979999999999997"/>
    <n v="0"/>
    <n v="0"/>
    <x v="4"/>
    <n v="41"/>
    <x v="1"/>
    <x v="3"/>
    <n v="4"/>
    <n v="0"/>
    <n v="3.7069122328331067E-2"/>
    <n v="6.2323749061175902E-2"/>
    <n v="0"/>
    <n v="-1"/>
    <n v="0"/>
    <n v="0"/>
    <s v="35-44"/>
  </r>
  <r>
    <s v="TX0542"/>
    <n v="9333"/>
    <n v="0.17202999999999999"/>
    <x v="3"/>
    <n v="93.433999999999997"/>
    <n v="6.3150000000000004"/>
    <n v="0"/>
    <n v="0"/>
    <x v="3"/>
    <n v="56"/>
    <x v="3"/>
    <x v="1"/>
    <s v="Nil"/>
    <n v="0"/>
    <n v="2.7241488519398255E-2"/>
    <n v="6.7587815998458811E-2"/>
    <n v="0"/>
    <n v="-1"/>
    <n v="0"/>
    <n v="0"/>
    <s v="55+"/>
  </r>
  <r>
    <s v="TX0543"/>
    <n v="5947"/>
    <n v="9.4869999999999996E-2"/>
    <x v="0"/>
    <n v="21.064"/>
    <n v="1.5820000000000001"/>
    <n v="0.25625999999999999"/>
    <n v="1"/>
    <x v="1"/>
    <n v="20"/>
    <x v="0"/>
    <x v="4"/>
    <s v="Nil"/>
    <n v="0.63211125158027814"/>
    <n v="5.9968394437420983E-2"/>
    <n v="7.5104443600455761E-2"/>
    <n v="9.4869999999999996E-2"/>
    <n v="1.7011700221355537"/>
    <n v="2.7011700221355537"/>
    <n v="0.16198482932996205"/>
    <s v="18-24"/>
  </r>
  <r>
    <s v="TX0544"/>
    <n v="3771"/>
    <n v="0.15770000000000001"/>
    <x v="5"/>
    <n v="6.7229999999999999"/>
    <n v="4.7160000000000002"/>
    <n v="0"/>
    <n v="1"/>
    <x v="0"/>
    <n v="39"/>
    <x v="0"/>
    <x v="4"/>
    <n v="4"/>
    <n v="0.21204410517387615"/>
    <n v="3.3439355385920272E-2"/>
    <n v="0.7014725568942437"/>
    <n v="0.15770000000000001"/>
    <n v="-1"/>
    <n v="0"/>
    <n v="0"/>
    <s v="35-44"/>
  </r>
  <r>
    <s v="TX0545"/>
    <n v="9981"/>
    <n v="0.12126000000000001"/>
    <x v="1"/>
    <n v="84.138000000000005"/>
    <n v="2.5750000000000002"/>
    <n v="0"/>
    <n v="0"/>
    <x v="3"/>
    <n v="41"/>
    <x v="0"/>
    <x v="3"/>
    <n v="1"/>
    <n v="0"/>
    <n v="4.7091262135922331E-2"/>
    <n v="3.0604483111079418E-2"/>
    <n v="0"/>
    <n v="-1"/>
    <n v="0"/>
    <n v="0"/>
    <s v="35-44"/>
  </r>
  <r>
    <s v="TX0546"/>
    <n v="5775"/>
    <n v="8.5169999999999996E-2"/>
    <x v="3"/>
    <n v="55.332000000000001"/>
    <n v="5.6230000000000002"/>
    <n v="0"/>
    <n v="0"/>
    <x v="2"/>
    <n v="29"/>
    <x v="0"/>
    <x v="0"/>
    <n v="5"/>
    <n v="0"/>
    <n v="1.5146718833362972E-2"/>
    <n v="0.10162293067302827"/>
    <n v="0"/>
    <n v="-1"/>
    <n v="0"/>
    <n v="0"/>
    <s v="25-34"/>
  </r>
  <r>
    <s v="TX0547"/>
    <n v="5022"/>
    <n v="0.12659999999999999"/>
    <x v="4"/>
    <n v="17.562000000000001"/>
    <n v="4.3220000000000001"/>
    <n v="0"/>
    <n v="0"/>
    <x v="4"/>
    <n v="24"/>
    <x v="3"/>
    <x v="0"/>
    <n v="3"/>
    <n v="0"/>
    <n v="2.9291994447015267E-2"/>
    <n v="0.24609953308279239"/>
    <n v="0"/>
    <n v="-1"/>
    <n v="0"/>
    <n v="0"/>
    <s v="18-24"/>
  </r>
  <r>
    <s v="TX0548"/>
    <n v="8347"/>
    <n v="4.8750000000000002E-2"/>
    <x v="5"/>
    <n v="80.858999999999995"/>
    <n v="5.9580000000000002"/>
    <n v="0"/>
    <n v="0"/>
    <x v="0"/>
    <n v="44"/>
    <x v="2"/>
    <x v="2"/>
    <n v="2"/>
    <n v="0"/>
    <n v="8.1822759315206446E-3"/>
    <n v="7.368381998293326E-2"/>
    <n v="0"/>
    <n v="-1"/>
    <n v="0"/>
    <n v="0"/>
    <s v="35-44"/>
  </r>
  <r>
    <s v="TX0549"/>
    <n v="3648"/>
    <n v="0"/>
    <x v="0"/>
    <n v="13.455"/>
    <n v="8.9830000000000005"/>
    <n v="0.42008000000000001"/>
    <n v="1"/>
    <x v="2"/>
    <n v="45"/>
    <x v="0"/>
    <x v="1"/>
    <n v="2"/>
    <n v="0.11132138483802738"/>
    <n v="0"/>
    <n v="0.66763285024154595"/>
    <n v="0"/>
    <n v="0"/>
    <e v="#DIV/0!"/>
    <n v="4.6763887342758541E-2"/>
    <s v="45-54"/>
  </r>
  <r>
    <s v="TX0550"/>
    <n v="6950"/>
    <n v="0.16492000000000001"/>
    <x v="4"/>
    <n v="35.585999999999999"/>
    <n v="2.2170000000000001"/>
    <n v="0.31879000000000002"/>
    <n v="1"/>
    <x v="5"/>
    <n v="51"/>
    <x v="0"/>
    <x v="1"/>
    <n v="3"/>
    <n v="0.45105999097880017"/>
    <n v="7.4388813712223723E-2"/>
    <n v="6.2299780812679145E-2"/>
    <n v="0.16492000000000001"/>
    <n v="0.93299781712345375"/>
    <n v="1.9329978171234539"/>
    <n v="0.14379341452413172"/>
    <s v="45-54"/>
  </r>
  <r>
    <s v="TX0551"/>
    <n v="1344"/>
    <n v="0.10033"/>
    <x v="0"/>
    <n v="76.346000000000004"/>
    <n v="7.9850000000000003"/>
    <n v="0"/>
    <n v="0"/>
    <x v="0"/>
    <n v="37"/>
    <x v="1"/>
    <x v="0"/>
    <n v="2"/>
    <n v="0"/>
    <n v="1.25648090169067E-2"/>
    <n v="0.10458963141487439"/>
    <n v="0"/>
    <n v="-1"/>
    <n v="0"/>
    <n v="0"/>
    <s v="35-44"/>
  </r>
  <r>
    <s v="TX0552"/>
    <n v="9751"/>
    <n v="5.33E-2"/>
    <x v="0"/>
    <n v="30.888000000000002"/>
    <n v="0"/>
    <n v="0"/>
    <n v="1"/>
    <x v="3"/>
    <n v="60"/>
    <x v="1"/>
    <x v="0"/>
    <n v="2"/>
    <n v="0"/>
    <n v="0"/>
    <n v="0"/>
    <n v="5.33E-2"/>
    <n v="-1"/>
    <n v="0"/>
    <n v="0"/>
    <s v="55+"/>
  </r>
  <r>
    <s v="TX0553"/>
    <n v="4320"/>
    <n v="0"/>
    <x v="3"/>
    <n v="57.158999999999999"/>
    <n v="7.4530000000000003"/>
    <n v="0"/>
    <n v="0"/>
    <x v="4"/>
    <n v="18"/>
    <x v="3"/>
    <x v="2"/>
    <n v="5"/>
    <n v="0"/>
    <n v="0"/>
    <n v="0.13039066463724"/>
    <n v="0"/>
    <n v="0"/>
    <n v="0"/>
    <n v="0"/>
    <s v="18-24"/>
  </r>
  <r>
    <s v="TX0554"/>
    <n v="3447"/>
    <n v="2.3369999999999998E-2"/>
    <x v="2"/>
    <n v="46.024000000000001"/>
    <n v="0.80600000000000005"/>
    <n v="0.11693000000000001"/>
    <n v="1"/>
    <x v="0"/>
    <n v="57"/>
    <x v="1"/>
    <x v="2"/>
    <n v="5"/>
    <n v="1.2406947890818858"/>
    <n v="2.8995037220843668E-2"/>
    <n v="1.7512602120632714E-2"/>
    <n v="2.3369999999999998E-2"/>
    <n v="4.0034231921266583"/>
    <n v="5.0034231921266583"/>
    <n v="0.1450744416873449"/>
    <s v="55+"/>
  </r>
  <r>
    <s v="TX0555"/>
    <n v="4137"/>
    <n v="9.2499999999999995E-3"/>
    <x v="4"/>
    <n v="94.248999999999995"/>
    <n v="9.2460000000000004"/>
    <n v="0"/>
    <n v="0"/>
    <x v="0"/>
    <n v="55"/>
    <x v="0"/>
    <x v="2"/>
    <n v="4"/>
    <n v="0"/>
    <n v="1.0004326195111398E-3"/>
    <n v="9.8101836624261279E-2"/>
    <n v="0"/>
    <n v="-1"/>
    <n v="0"/>
    <n v="0"/>
    <s v="55+"/>
  </r>
  <r>
    <s v="TX0556"/>
    <n v="6698"/>
    <n v="0"/>
    <x v="1"/>
    <n v="6.4889999999999999"/>
    <n v="7.48"/>
    <n v="0"/>
    <n v="0"/>
    <x v="2"/>
    <n v="50"/>
    <x v="3"/>
    <x v="2"/>
    <n v="1"/>
    <n v="0"/>
    <n v="0"/>
    <n v="1.152719987671444"/>
    <n v="0"/>
    <n v="0"/>
    <n v="0"/>
    <n v="0"/>
    <s v="45-54"/>
  </r>
  <r>
    <s v="TX0557"/>
    <n v="3776"/>
    <n v="0"/>
    <x v="2"/>
    <n v="1.3919999999999999"/>
    <n v="5.3650000000000002"/>
    <n v="0"/>
    <n v="0"/>
    <x v="2"/>
    <n v="19"/>
    <x v="3"/>
    <x v="3"/>
    <n v="1"/>
    <n v="0"/>
    <n v="0"/>
    <n v="3.854166666666667"/>
    <n v="0"/>
    <n v="0"/>
    <n v="0"/>
    <n v="0"/>
    <s v="18-24"/>
  </r>
  <r>
    <s v="TX0558"/>
    <n v="4024"/>
    <n v="0"/>
    <x v="5"/>
    <n v="77.905000000000001"/>
    <n v="1.665"/>
    <n v="0"/>
    <n v="0"/>
    <x v="5"/>
    <n v="59"/>
    <x v="3"/>
    <x v="4"/>
    <n v="3"/>
    <n v="0"/>
    <n v="0"/>
    <n v="2.1372184070342082E-2"/>
    <n v="0"/>
    <n v="0"/>
    <n v="0"/>
    <n v="0"/>
    <s v="55+"/>
  </r>
  <r>
    <s v="TX0559"/>
    <n v="5311"/>
    <n v="0.14221"/>
    <x v="3"/>
    <n v="55.459000000000003"/>
    <n v="1.1739999999999999"/>
    <n v="0.38582"/>
    <n v="1"/>
    <x v="4"/>
    <n v="30"/>
    <x v="1"/>
    <x v="3"/>
    <n v="4"/>
    <n v="0.85178875638841567"/>
    <n v="0.12113287904599661"/>
    <n v="2.1168791359382603E-2"/>
    <n v="0.14221"/>
    <n v="1.7130300260178608"/>
    <n v="2.713030026017861"/>
    <n v="0.32863713798977856"/>
    <s v="25-34"/>
  </r>
  <r>
    <s v="TX0560"/>
    <n v="2415"/>
    <n v="3.245E-2"/>
    <x v="4"/>
    <n v="38.698999999999998"/>
    <n v="2.3650000000000002"/>
    <n v="0"/>
    <n v="0"/>
    <x v="1"/>
    <n v="34"/>
    <x v="2"/>
    <x v="1"/>
    <n v="1"/>
    <n v="0"/>
    <n v="1.3720930232558139E-2"/>
    <n v="6.1112690250394078E-2"/>
    <n v="0"/>
    <n v="-1"/>
    <n v="0"/>
    <n v="0"/>
    <s v="25-34"/>
  </r>
  <r>
    <s v="TX0561"/>
    <n v="4253"/>
    <n v="0.11649"/>
    <x v="2"/>
    <n v="62.94"/>
    <n v="2.8239999999999998"/>
    <n v="0"/>
    <n v="0"/>
    <x v="0"/>
    <n v="41"/>
    <x v="1"/>
    <x v="3"/>
    <s v="Nil"/>
    <n v="0"/>
    <n v="4.1250000000000002E-2"/>
    <n v="4.4868128376231331E-2"/>
    <n v="0"/>
    <n v="-1"/>
    <n v="0"/>
    <n v="0"/>
    <s v="35-44"/>
  </r>
  <r>
    <s v="TX0562"/>
    <n v="6718"/>
    <n v="5.3699999999999998E-2"/>
    <x v="4"/>
    <n v="42.399000000000001"/>
    <n v="7.3029999999999999"/>
    <n v="0"/>
    <n v="0"/>
    <x v="4"/>
    <n v="45"/>
    <x v="1"/>
    <x v="1"/>
    <n v="4"/>
    <n v="0"/>
    <n v="7.3531425441599341E-3"/>
    <n v="0.17224462841104743"/>
    <n v="0"/>
    <n v="-1"/>
    <n v="0"/>
    <n v="0"/>
    <s v="45-54"/>
  </r>
  <r>
    <s v="TX0563"/>
    <n v="2012"/>
    <n v="0.17175000000000001"/>
    <x v="4"/>
    <n v="23.905000000000001"/>
    <n v="3.7549999999999999"/>
    <n v="0"/>
    <n v="0"/>
    <x v="1"/>
    <n v="50"/>
    <x v="0"/>
    <x v="0"/>
    <n v="1"/>
    <n v="0"/>
    <n v="4.5739014647137158E-2"/>
    <n v="0.15708010876385692"/>
    <n v="0"/>
    <n v="-1"/>
    <n v="0"/>
    <n v="0"/>
    <s v="45-54"/>
  </r>
  <r>
    <s v="TX0564"/>
    <n v="8988"/>
    <n v="7.7399999999999997E-2"/>
    <x v="3"/>
    <n v="68.832999999999998"/>
    <n v="2.2959999999999998"/>
    <n v="0"/>
    <n v="0"/>
    <x v="2"/>
    <n v="45"/>
    <x v="0"/>
    <x v="1"/>
    <n v="5"/>
    <n v="0"/>
    <n v="3.3710801393728222E-2"/>
    <n v="3.3356093734110089E-2"/>
    <n v="0"/>
    <n v="-1"/>
    <n v="0"/>
    <n v="0"/>
    <s v="45-54"/>
  </r>
  <r>
    <s v="TX0565"/>
    <n v="8344"/>
    <n v="0.17796999999999999"/>
    <x v="5"/>
    <n v="67.003"/>
    <n v="8.7769999999999992"/>
    <n v="0.15765999999999999"/>
    <n v="1"/>
    <x v="2"/>
    <n v="60"/>
    <x v="1"/>
    <x v="1"/>
    <s v="Nil"/>
    <n v="0.11393414606357527"/>
    <n v="2.0276859974934489E-2"/>
    <n v="0.13099413459098846"/>
    <n v="0.17796999999999999"/>
    <n v="-0.11412035736360059"/>
    <n v="0.8858796426363994"/>
    <n v="1.7962857468383275E-2"/>
    <s v="55+"/>
  </r>
  <r>
    <s v="TX0566"/>
    <n v="7710"/>
    <n v="0"/>
    <x v="2"/>
    <n v="94.03"/>
    <n v="8.3550000000000004"/>
    <n v="3.2169999999999997E-2"/>
    <n v="1"/>
    <x v="2"/>
    <n v="52"/>
    <x v="3"/>
    <x v="2"/>
    <n v="4"/>
    <n v="0.11968880909634949"/>
    <n v="0"/>
    <n v="8.8854620865681175E-2"/>
    <n v="0"/>
    <n v="0"/>
    <e v="#DIV/0!"/>
    <n v="3.8503889886295625E-3"/>
    <s v="45-54"/>
  </r>
  <r>
    <s v="TX0567"/>
    <n v="4358"/>
    <n v="0"/>
    <x v="0"/>
    <n v="25.960999999999999"/>
    <n v="7.0110000000000001"/>
    <n v="0.28182000000000001"/>
    <n v="1"/>
    <x v="0"/>
    <n v="56"/>
    <x v="3"/>
    <x v="3"/>
    <n v="1"/>
    <n v="0.1426330052774212"/>
    <n v="0"/>
    <n v="0.2700589345556797"/>
    <n v="0"/>
    <n v="0"/>
    <e v="#DIV/0!"/>
    <n v="4.0196833547282845E-2"/>
    <s v="55+"/>
  </r>
  <r>
    <s v="TX0568"/>
    <n v="6208"/>
    <n v="0"/>
    <x v="3"/>
    <n v="29.690999999999999"/>
    <n v="5.7030000000000003"/>
    <n v="0.45233000000000001"/>
    <n v="1"/>
    <x v="1"/>
    <n v="55"/>
    <x v="1"/>
    <x v="0"/>
    <s v="Nil"/>
    <n v="0.17534630896019637"/>
    <n v="0"/>
    <n v="0.19207840759826211"/>
    <n v="0"/>
    <n v="0"/>
    <e v="#DIV/0!"/>
    <n v="7.9314395931965626E-2"/>
    <s v="55+"/>
  </r>
  <r>
    <s v="TX0569"/>
    <n v="5756"/>
    <n v="0.11318"/>
    <x v="1"/>
    <n v="86.066000000000003"/>
    <n v="5.0819999999999999"/>
    <n v="0"/>
    <n v="0"/>
    <x v="5"/>
    <n v="49"/>
    <x v="2"/>
    <x v="3"/>
    <n v="4"/>
    <n v="0"/>
    <n v="2.2270759543486819E-2"/>
    <n v="5.9047707573257731E-2"/>
    <n v="0"/>
    <n v="-1"/>
    <n v="0"/>
    <n v="0"/>
    <s v="45-54"/>
  </r>
  <r>
    <s v="TX0570"/>
    <n v="7827"/>
    <n v="0.19209999999999999"/>
    <x v="1"/>
    <n v="5.2939999999999996"/>
    <n v="0.104"/>
    <n v="0"/>
    <n v="0"/>
    <x v="4"/>
    <n v="49"/>
    <x v="1"/>
    <x v="4"/>
    <n v="1"/>
    <n v="0"/>
    <n v="1.8471153846153847"/>
    <n v="1.9644880997355497E-2"/>
    <n v="0"/>
    <n v="-1"/>
    <n v="0"/>
    <n v="0"/>
    <s v="45-54"/>
  </r>
  <r>
    <s v="TX0571"/>
    <n v="8222"/>
    <n v="4.199E-2"/>
    <x v="1"/>
    <n v="70.183999999999997"/>
    <n v="5.1260000000000003"/>
    <n v="0.12917000000000001"/>
    <n v="1"/>
    <x v="3"/>
    <n v="57"/>
    <x v="3"/>
    <x v="3"/>
    <n v="2"/>
    <n v="0.19508388607101051"/>
    <n v="8.1915723761217321E-3"/>
    <n v="7.3036589536076613E-2"/>
    <n v="4.199E-2"/>
    <n v="2.0762086211002622"/>
    <n v="3.0762086211002622"/>
    <n v="2.519898556379243E-2"/>
    <s v="55+"/>
  </r>
  <r>
    <s v="TX0572"/>
    <n v="5150"/>
    <n v="0"/>
    <x v="5"/>
    <n v="76.692999999999998"/>
    <n v="6.1079999999999997"/>
    <n v="0.11731999999999999"/>
    <n v="1"/>
    <x v="4"/>
    <n v="38"/>
    <x v="0"/>
    <x v="3"/>
    <n v="5"/>
    <n v="0.16371971185330714"/>
    <n v="0"/>
    <n v="7.9642209849660334E-2"/>
    <n v="0"/>
    <n v="0"/>
    <e v="#DIV/0!"/>
    <n v="1.9207596594629995E-2"/>
    <s v="35-44"/>
  </r>
  <r>
    <s v="TX0573"/>
    <n v="5787"/>
    <n v="0.19098999999999999"/>
    <x v="5"/>
    <n v="2.5369999999999999"/>
    <n v="0.19500000000000001"/>
    <n v="0"/>
    <n v="0"/>
    <x v="4"/>
    <n v="41"/>
    <x v="2"/>
    <x v="4"/>
    <n v="4"/>
    <n v="0"/>
    <n v="0.97943589743589732"/>
    <n v="7.6862435947970043E-2"/>
    <n v="0"/>
    <n v="-1"/>
    <n v="0"/>
    <n v="0"/>
    <s v="35-44"/>
  </r>
  <r>
    <s v="TX0574"/>
    <n v="8343"/>
    <n v="0"/>
    <x v="4"/>
    <n v="84.466999999999999"/>
    <n v="4.0060000000000002"/>
    <n v="0.43908999999999998"/>
    <n v="1"/>
    <x v="3"/>
    <n v="59"/>
    <x v="0"/>
    <x v="0"/>
    <n v="2"/>
    <n v="0.24962556165751371"/>
    <n v="0"/>
    <n v="4.7426805734784E-2"/>
    <n v="0"/>
    <n v="0"/>
    <e v="#DIV/0!"/>
    <n v="0.10960808786819769"/>
    <s v="55+"/>
  </r>
  <r>
    <s v="TX0575"/>
    <n v="6647"/>
    <n v="0.14817"/>
    <x v="3"/>
    <n v="25.373999999999999"/>
    <n v="9.1080000000000005"/>
    <n v="0"/>
    <n v="0"/>
    <x v="0"/>
    <n v="58"/>
    <x v="1"/>
    <x v="2"/>
    <n v="3"/>
    <n v="0"/>
    <n v="1.6268115942028986E-2"/>
    <n v="0.35895010640813435"/>
    <n v="0"/>
    <n v="-1"/>
    <n v="0"/>
    <n v="0"/>
    <s v="55+"/>
  </r>
  <r>
    <s v="TX0576"/>
    <n v="9629"/>
    <n v="0.11944"/>
    <x v="3"/>
    <n v="89.45"/>
    <n v="5.1589999999999998"/>
    <n v="0"/>
    <n v="0"/>
    <x v="0"/>
    <n v="45"/>
    <x v="2"/>
    <x v="1"/>
    <n v="5"/>
    <n v="0"/>
    <n v="2.3151773599534794E-2"/>
    <n v="5.7674678591391838E-2"/>
    <n v="0"/>
    <n v="-1"/>
    <n v="0"/>
    <n v="0"/>
    <s v="45-54"/>
  </r>
  <r>
    <s v="TX0577"/>
    <n v="2524"/>
    <n v="3.8460000000000001E-2"/>
    <x v="4"/>
    <n v="72.097999999999999"/>
    <n v="2.5779999999999998"/>
    <n v="0"/>
    <n v="0"/>
    <x v="1"/>
    <n v="62"/>
    <x v="2"/>
    <x v="0"/>
    <n v="2"/>
    <n v="0"/>
    <n v="1.491854150504267E-2"/>
    <n v="3.5756886460095977E-2"/>
    <n v="0"/>
    <n v="-1"/>
    <n v="0"/>
    <n v="0"/>
    <s v="55+"/>
  </r>
  <r>
    <s v="TX0578"/>
    <n v="8989"/>
    <n v="8.9480000000000004E-2"/>
    <x v="1"/>
    <n v="83.856999999999999"/>
    <n v="1.542"/>
    <n v="0"/>
    <n v="0"/>
    <x v="3"/>
    <n v="41"/>
    <x v="2"/>
    <x v="2"/>
    <n v="1"/>
    <n v="0"/>
    <n v="5.8028534370946822E-2"/>
    <n v="1.8388446999057919E-2"/>
    <n v="0"/>
    <n v="-1"/>
    <n v="0"/>
    <n v="0"/>
    <s v="35-44"/>
  </r>
  <r>
    <s v="TX0579"/>
    <n v="5269"/>
    <n v="0.14926"/>
    <x v="5"/>
    <n v="63.594999999999999"/>
    <n v="1.3680000000000001"/>
    <n v="0.38851999999999998"/>
    <n v="1"/>
    <x v="2"/>
    <n v="41"/>
    <x v="1"/>
    <x v="4"/>
    <n v="3"/>
    <n v="0.73099415204678353"/>
    <n v="0.10910818713450292"/>
    <n v="2.151112508845035E-2"/>
    <n v="0.14926"/>
    <n v="1.6029746750636471"/>
    <n v="2.6029746750636473"/>
    <n v="0.28400584795321632"/>
    <s v="35-44"/>
  </r>
  <r>
    <s v="TX0580"/>
    <n v="2259"/>
    <n v="4.9750000000000003E-2"/>
    <x v="3"/>
    <n v="79.766000000000005"/>
    <n v="5.923"/>
    <n v="0"/>
    <n v="0"/>
    <x v="1"/>
    <n v="45"/>
    <x v="0"/>
    <x v="1"/>
    <n v="3"/>
    <n v="0"/>
    <n v="8.3994597332432887E-3"/>
    <n v="7.4254694982824762E-2"/>
    <n v="0"/>
    <n v="-1"/>
    <n v="0"/>
    <n v="0"/>
    <s v="45-54"/>
  </r>
  <r>
    <s v="TX0581"/>
    <n v="4531"/>
    <n v="8.276E-2"/>
    <x v="3"/>
    <n v="21.678999999999998"/>
    <n v="1.875"/>
    <n v="0"/>
    <n v="0"/>
    <x v="4"/>
    <n v="27"/>
    <x v="1"/>
    <x v="4"/>
    <n v="2"/>
    <n v="0"/>
    <n v="4.4138666666666666E-2"/>
    <n v="8.6489229207989307E-2"/>
    <n v="0"/>
    <n v="-1"/>
    <n v="0"/>
    <n v="0"/>
    <s v="25-34"/>
  </r>
  <r>
    <s v="TX0582"/>
    <n v="4407"/>
    <n v="8.881E-2"/>
    <x v="0"/>
    <n v="53.557000000000002"/>
    <n v="1.4570000000000001"/>
    <n v="0"/>
    <n v="0"/>
    <x v="2"/>
    <n v="20"/>
    <x v="0"/>
    <x v="4"/>
    <s v="Nil"/>
    <n v="0"/>
    <n v="6.095401509951956E-2"/>
    <n v="2.720466045521594E-2"/>
    <n v="0"/>
    <n v="-1"/>
    <n v="0"/>
    <n v="0"/>
    <s v="18-24"/>
  </r>
  <r>
    <s v="TX0583"/>
    <n v="7949"/>
    <n v="5.5939999999999997E-2"/>
    <x v="2"/>
    <n v="93.224000000000004"/>
    <n v="3.895"/>
    <n v="0"/>
    <n v="0"/>
    <x v="2"/>
    <n v="41"/>
    <x v="0"/>
    <x v="4"/>
    <n v="1"/>
    <n v="0"/>
    <n v="1.4362002567394094E-2"/>
    <n v="4.1781086415515319E-2"/>
    <n v="0"/>
    <n v="-1"/>
    <n v="0"/>
    <n v="0"/>
    <s v="35-44"/>
  </r>
  <r>
    <s v="TX0584"/>
    <n v="6524"/>
    <n v="0.10630000000000001"/>
    <x v="3"/>
    <n v="12.898"/>
    <n v="1.1879999999999999"/>
    <n v="0.32496999999999998"/>
    <n v="1"/>
    <x v="0"/>
    <n v="46"/>
    <x v="1"/>
    <x v="1"/>
    <n v="2"/>
    <n v="0.84175084175084181"/>
    <n v="8.947811447811449E-2"/>
    <n v="9.2107303457900441E-2"/>
    <n v="0.10630000000000001"/>
    <n v="2.0571025399811851"/>
    <n v="3.0571025399811851"/>
    <n v="0.27354377104377103"/>
    <s v="45-54"/>
  </r>
  <r>
    <s v="TX0585"/>
    <n v="2303"/>
    <n v="0.12"/>
    <x v="5"/>
    <n v="52.508000000000003"/>
    <n v="4.0449999999999999"/>
    <n v="0.38571"/>
    <n v="1"/>
    <x v="4"/>
    <n v="38"/>
    <x v="3"/>
    <x v="4"/>
    <n v="2"/>
    <n v="0.24721878862793573"/>
    <n v="2.9666254635352288E-2"/>
    <n v="7.7035880246819524E-2"/>
    <n v="0.12"/>
    <n v="2.2142500000000003"/>
    <n v="3.2142500000000003"/>
    <n v="9.5354758961681094E-2"/>
    <s v="35-44"/>
  </r>
  <r>
    <s v="TX0586"/>
    <n v="8234"/>
    <n v="5.9670000000000001E-2"/>
    <x v="0"/>
    <n v="19.138000000000002"/>
    <n v="7.7080000000000002"/>
    <n v="0"/>
    <n v="0"/>
    <x v="3"/>
    <n v="30"/>
    <x v="2"/>
    <x v="2"/>
    <n v="5"/>
    <n v="0"/>
    <n v="7.7413077322262581E-3"/>
    <n v="0.40275890897690458"/>
    <n v="0"/>
    <n v="-1"/>
    <n v="0"/>
    <n v="0"/>
    <s v="25-34"/>
  </r>
  <r>
    <s v="TX0587"/>
    <n v="3757"/>
    <n v="0.10373"/>
    <x v="0"/>
    <n v="80.504999999999995"/>
    <n v="5.4610000000000003"/>
    <n v="0"/>
    <n v="0"/>
    <x v="3"/>
    <n v="23"/>
    <x v="0"/>
    <x v="4"/>
    <n v="3"/>
    <n v="0"/>
    <n v="1.899468961728621E-2"/>
    <n v="6.7834296006459238E-2"/>
    <n v="0"/>
    <n v="-1"/>
    <n v="0"/>
    <n v="0"/>
    <s v="18-24"/>
  </r>
  <r>
    <s v="TX0588"/>
    <n v="4554"/>
    <n v="3.0120000000000001E-2"/>
    <x v="2"/>
    <n v="69.956000000000003"/>
    <n v="7.2140000000000004"/>
    <n v="0"/>
    <n v="0"/>
    <x v="1"/>
    <n v="58"/>
    <x v="1"/>
    <x v="2"/>
    <n v="1"/>
    <n v="0"/>
    <n v="4.175214859994455E-3"/>
    <n v="0.10312196237635085"/>
    <n v="0"/>
    <n v="-1"/>
    <n v="0"/>
    <n v="0"/>
    <s v="55+"/>
  </r>
  <r>
    <s v="TX0589"/>
    <n v="5389"/>
    <n v="4.6199999999999998E-2"/>
    <x v="4"/>
    <n v="4.5970000000000004"/>
    <n v="5.9939999999999998"/>
    <n v="0"/>
    <n v="0"/>
    <x v="0"/>
    <n v="40"/>
    <x v="3"/>
    <x v="1"/>
    <n v="3"/>
    <n v="0"/>
    <n v="7.7077077077077078E-3"/>
    <n v="1.3038938438111811"/>
    <n v="0"/>
    <n v="-1"/>
    <n v="0"/>
    <n v="0"/>
    <s v="35-44"/>
  </r>
  <r>
    <s v="TX0590"/>
    <n v="9833"/>
    <n v="7.6929999999999998E-2"/>
    <x v="2"/>
    <n v="92.864000000000004"/>
    <n v="3.6880000000000002"/>
    <n v="0"/>
    <n v="0"/>
    <x v="3"/>
    <n v="57"/>
    <x v="1"/>
    <x v="2"/>
    <n v="3"/>
    <n v="0"/>
    <n v="2.0859544468546636E-2"/>
    <n v="3.9713990351481737E-2"/>
    <n v="0"/>
    <n v="-1"/>
    <n v="0"/>
    <n v="0"/>
    <s v="55+"/>
  </r>
  <r>
    <s v="TX0591"/>
    <n v="5068"/>
    <n v="0"/>
    <x v="2"/>
    <n v="21.568000000000001"/>
    <n v="4.3849999999999998"/>
    <n v="0.19872000000000001"/>
    <n v="1"/>
    <x v="3"/>
    <n v="34"/>
    <x v="1"/>
    <x v="4"/>
    <s v="Nil"/>
    <n v="0.22805017103762829"/>
    <n v="0"/>
    <n v="0.2033104599406528"/>
    <n v="0"/>
    <n v="0"/>
    <e v="#DIV/0!"/>
    <n v="4.5318129988597494E-2"/>
    <s v="25-34"/>
  </r>
  <r>
    <s v="TX0592"/>
    <n v="8123"/>
    <n v="8.4709999999999994E-2"/>
    <x v="1"/>
    <n v="2.976"/>
    <n v="4.875"/>
    <n v="0"/>
    <n v="0"/>
    <x v="2"/>
    <n v="55"/>
    <x v="0"/>
    <x v="3"/>
    <n v="4"/>
    <n v="0"/>
    <n v="1.7376410256410256E-2"/>
    <n v="1.6381048387096775"/>
    <n v="0"/>
    <n v="-1"/>
    <n v="0"/>
    <n v="0"/>
    <s v="55+"/>
  </r>
  <r>
    <s v="TX0593"/>
    <n v="6596"/>
    <n v="0"/>
    <x v="4"/>
    <n v="35.529000000000003"/>
    <n v="4.0709999999999997"/>
    <n v="0.37669999999999998"/>
    <n v="1"/>
    <x v="3"/>
    <n v="19"/>
    <x v="1"/>
    <x v="0"/>
    <s v="Nil"/>
    <n v="0.24563989191844757"/>
    <n v="0"/>
    <n v="0.11458245377015958"/>
    <n v="0"/>
    <n v="0"/>
    <e v="#DIV/0!"/>
    <n v="9.2532547285679195E-2"/>
    <s v="18-24"/>
  </r>
  <r>
    <s v="TX0594"/>
    <n v="9179"/>
    <n v="0"/>
    <x v="2"/>
    <n v="29.916"/>
    <n v="5.6829999999999998"/>
    <n v="0"/>
    <n v="0"/>
    <x v="4"/>
    <n v="48"/>
    <x v="3"/>
    <x v="3"/>
    <n v="1"/>
    <n v="0"/>
    <n v="0"/>
    <n v="0.18996523599411685"/>
    <n v="0"/>
    <n v="0"/>
    <n v="0"/>
    <n v="0"/>
    <s v="45-54"/>
  </r>
  <r>
    <s v="TX0595"/>
    <n v="2975"/>
    <n v="0.11146"/>
    <x v="4"/>
    <n v="62.938000000000002"/>
    <n v="7.7549999999999999"/>
    <n v="0"/>
    <n v="0"/>
    <x v="3"/>
    <n v="32"/>
    <x v="0"/>
    <x v="1"/>
    <n v="2"/>
    <n v="0"/>
    <n v="1.4372662798194713E-2"/>
    <n v="0.12321649877657377"/>
    <n v="0"/>
    <n v="-1"/>
    <n v="0"/>
    <n v="0"/>
    <s v="25-34"/>
  </r>
  <r>
    <s v="TX0596"/>
    <n v="2512"/>
    <n v="2.0250000000000001E-2"/>
    <x v="5"/>
    <n v="60.968000000000004"/>
    <n v="0"/>
    <n v="0"/>
    <n v="0"/>
    <x v="4"/>
    <n v="55"/>
    <x v="2"/>
    <x v="4"/>
    <n v="1"/>
    <n v="0"/>
    <n v="0"/>
    <n v="0"/>
    <n v="0"/>
    <n v="-1"/>
    <n v="0"/>
    <n v="0"/>
    <s v="55+"/>
  </r>
  <r>
    <s v="TX0597"/>
    <n v="5377"/>
    <n v="0.14419000000000001"/>
    <x v="5"/>
    <n v="18.617999999999999"/>
    <n v="7.6779999999999999"/>
    <n v="0"/>
    <n v="0"/>
    <x v="3"/>
    <n v="54"/>
    <x v="2"/>
    <x v="0"/>
    <n v="4"/>
    <n v="0"/>
    <n v="1.8779630112008339E-2"/>
    <n v="0.41239660543559997"/>
    <n v="0"/>
    <n v="-1"/>
    <n v="0"/>
    <n v="0"/>
    <s v="45-54"/>
  </r>
  <r>
    <s v="TX0598"/>
    <n v="7955"/>
    <n v="0"/>
    <x v="1"/>
    <n v="90.191000000000003"/>
    <n v="5.6429999999999998"/>
    <n v="0"/>
    <n v="1"/>
    <x v="1"/>
    <n v="21"/>
    <x v="0"/>
    <x v="0"/>
    <n v="2"/>
    <n v="0.17721070352649301"/>
    <n v="0"/>
    <n v="6.2567218458604509E-2"/>
    <n v="0"/>
    <n v="0"/>
    <n v="0"/>
    <n v="0"/>
    <s v="18-24"/>
  </r>
  <r>
    <s v="TX0599"/>
    <n v="5106"/>
    <n v="7.8119999999999995E-2"/>
    <x v="2"/>
    <n v="74.156999999999996"/>
    <n v="5.6280000000000001"/>
    <n v="0"/>
    <n v="0"/>
    <x v="2"/>
    <n v="53"/>
    <x v="1"/>
    <x v="1"/>
    <n v="1"/>
    <n v="0"/>
    <n v="1.3880597014925371E-2"/>
    <n v="7.5893037744245329E-2"/>
    <n v="0"/>
    <n v="-1"/>
    <n v="0"/>
    <n v="0"/>
    <s v="45-54"/>
  </r>
  <r>
    <s v="TX0600"/>
    <n v="9026"/>
    <n v="4.199E-2"/>
    <x v="5"/>
    <n v="64.665999999999997"/>
    <n v="1.6779999999999999"/>
    <n v="0"/>
    <n v="1"/>
    <x v="3"/>
    <n v="41"/>
    <x v="2"/>
    <x v="4"/>
    <n v="2"/>
    <n v="0.59594755661501786"/>
    <n v="2.50238379022646E-2"/>
    <n v="2.5948721120836297E-2"/>
    <n v="4.199E-2"/>
    <n v="-1"/>
    <n v="0"/>
    <n v="0"/>
    <s v="35-44"/>
  </r>
  <r>
    <s v="TX0601"/>
    <n v="1432"/>
    <n v="5.8889999999999998E-2"/>
    <x v="1"/>
    <n v="53.372999999999998"/>
    <n v="8.6199999999999992"/>
    <n v="0.49257000000000001"/>
    <n v="1"/>
    <x v="2"/>
    <n v="49"/>
    <x v="1"/>
    <x v="0"/>
    <n v="1"/>
    <n v="0.11600928074245941"/>
    <n v="6.8317865429234339E-3"/>
    <n v="0.16150488074494593"/>
    <n v="5.8889999999999998E-2"/>
    <n v="7.3642384105960268"/>
    <n v="8.3642384105960268"/>
    <n v="5.7142691415313231E-2"/>
    <s v="45-54"/>
  </r>
  <r>
    <s v="TX0602"/>
    <n v="4566"/>
    <n v="2.443E-2"/>
    <x v="0"/>
    <n v="43.05"/>
    <n v="3.4329999999999998"/>
    <n v="0.14421999999999999"/>
    <n v="1"/>
    <x v="2"/>
    <n v="25"/>
    <x v="0"/>
    <x v="2"/>
    <n v="3"/>
    <n v="0.29129041654529569"/>
    <n v="7.1162248762015731E-3"/>
    <n v="7.9744483159117308E-2"/>
    <n v="2.443E-2"/>
    <n v="4.9033974621367165"/>
    <n v="5.9033974621367165"/>
    <n v="4.2009903874162535E-2"/>
    <s v="25-34"/>
  </r>
  <r>
    <s v="TX0603"/>
    <n v="8246"/>
    <n v="2.385E-2"/>
    <x v="2"/>
    <n v="67.902000000000001"/>
    <n v="6.28"/>
    <n v="0"/>
    <n v="0"/>
    <x v="2"/>
    <n v="59"/>
    <x v="3"/>
    <x v="4"/>
    <n v="3"/>
    <n v="0"/>
    <n v="3.7977707006369424E-3"/>
    <n v="9.2486230155223711E-2"/>
    <n v="0"/>
    <n v="-1"/>
    <n v="0"/>
    <n v="0"/>
    <s v="55+"/>
  </r>
  <r>
    <s v="TX0604"/>
    <n v="5916"/>
    <n v="0"/>
    <x v="2"/>
    <n v="43.710999999999999"/>
    <n v="8.5760000000000005"/>
    <n v="0"/>
    <n v="0"/>
    <x v="4"/>
    <n v="32"/>
    <x v="2"/>
    <x v="1"/>
    <n v="4"/>
    <n v="0"/>
    <n v="0"/>
    <n v="0.19619775342591111"/>
    <n v="0"/>
    <n v="0"/>
    <n v="0"/>
    <n v="0"/>
    <s v="25-34"/>
  </r>
  <r>
    <s v="TX0605"/>
    <n v="7917"/>
    <n v="0.17372000000000001"/>
    <x v="0"/>
    <n v="17.132000000000001"/>
    <n v="3.1619999999999999"/>
    <n v="0"/>
    <n v="0"/>
    <x v="3"/>
    <n v="49"/>
    <x v="2"/>
    <x v="2"/>
    <n v="2"/>
    <n v="0"/>
    <n v="5.4939911448450354E-2"/>
    <n v="0.18456689236516458"/>
    <n v="0"/>
    <n v="-1"/>
    <n v="0"/>
    <n v="0"/>
    <s v="45-54"/>
  </r>
  <r>
    <s v="TX0606"/>
    <n v="6148"/>
    <n v="6.4810000000000006E-2"/>
    <x v="3"/>
    <n v="57.682000000000002"/>
    <n v="9.1829999999999998"/>
    <n v="6.4360000000000001E-2"/>
    <n v="1"/>
    <x v="4"/>
    <n v="38"/>
    <x v="1"/>
    <x v="4"/>
    <n v="1"/>
    <n v="0.10889687465969727"/>
    <n v="7.0576064466949806E-3"/>
    <n v="0.15920044381262785"/>
    <n v="6.4810000000000006E-2"/>
    <n v="-6.9433729362753573E-3"/>
    <n v="0.99305662706372466"/>
    <n v="7.0086028530981165E-3"/>
    <s v="35-44"/>
  </r>
  <r>
    <s v="TX0607"/>
    <n v="4609"/>
    <n v="0.11398"/>
    <x v="0"/>
    <n v="98.546999999999997"/>
    <n v="9.2330000000000005"/>
    <n v="0"/>
    <n v="0"/>
    <x v="1"/>
    <n v="26"/>
    <x v="3"/>
    <x v="3"/>
    <n v="5"/>
    <n v="0"/>
    <n v="1.2344849994584642E-2"/>
    <n v="9.3691335098988304E-2"/>
    <n v="0"/>
    <n v="-1"/>
    <n v="0"/>
    <n v="0"/>
    <s v="25-34"/>
  </r>
  <r>
    <s v="TX0608"/>
    <n v="6814"/>
    <n v="6.8290000000000003E-2"/>
    <x v="3"/>
    <n v="76.78"/>
    <n v="4.8490000000000002"/>
    <n v="0"/>
    <n v="0"/>
    <x v="0"/>
    <n v="38"/>
    <x v="1"/>
    <x v="0"/>
    <s v="Nil"/>
    <n v="0"/>
    <n v="1.4083316147659312E-2"/>
    <n v="6.3154467309195106E-2"/>
    <n v="0"/>
    <n v="-1"/>
    <n v="0"/>
    <n v="0"/>
    <s v="35-44"/>
  </r>
  <r>
    <s v="TX0609"/>
    <n v="5157"/>
    <n v="2.9950000000000001E-2"/>
    <x v="2"/>
    <n v="52.374000000000002"/>
    <n v="3.5840000000000001"/>
    <n v="0"/>
    <n v="0"/>
    <x v="1"/>
    <n v="19"/>
    <x v="0"/>
    <x v="2"/>
    <n v="1"/>
    <n v="0"/>
    <n v="8.3565848214285712E-3"/>
    <n v="6.8430900828655439E-2"/>
    <n v="0"/>
    <n v="-1"/>
    <n v="0"/>
    <n v="0"/>
    <s v="18-24"/>
  </r>
  <r>
    <s v="TX0610"/>
    <n v="7908"/>
    <n v="0.18484"/>
    <x v="5"/>
    <n v="68.239000000000004"/>
    <n v="5.0259999999999998"/>
    <n v="0"/>
    <n v="0"/>
    <x v="2"/>
    <n v="39"/>
    <x v="0"/>
    <x v="1"/>
    <n v="4"/>
    <n v="0"/>
    <n v="3.6776760843613213E-2"/>
    <n v="7.3652896437521057E-2"/>
    <n v="0"/>
    <n v="-1"/>
    <n v="0"/>
    <n v="0"/>
    <s v="35-44"/>
  </r>
  <r>
    <s v="TX0611"/>
    <n v="3353"/>
    <n v="4.052E-2"/>
    <x v="4"/>
    <n v="31.152000000000001"/>
    <n v="7.4610000000000003"/>
    <n v="0"/>
    <n v="0"/>
    <x v="1"/>
    <n v="65"/>
    <x v="1"/>
    <x v="2"/>
    <n v="3"/>
    <n v="0"/>
    <n v="5.4309073850690257E-3"/>
    <n v="0.23950308166409862"/>
    <n v="0"/>
    <n v="-1"/>
    <n v="0"/>
    <n v="0"/>
    <s v="55+"/>
  </r>
  <r>
    <s v="TX0612"/>
    <n v="4524"/>
    <n v="0.16567000000000001"/>
    <x v="3"/>
    <n v="62.524999999999999"/>
    <n v="9.7799999999999994"/>
    <n v="0"/>
    <n v="0"/>
    <x v="4"/>
    <n v="26"/>
    <x v="1"/>
    <x v="3"/>
    <n v="1"/>
    <n v="0"/>
    <n v="1.6939672801635993E-2"/>
    <n v="0.15641743302678929"/>
    <n v="0"/>
    <n v="-1"/>
    <n v="0"/>
    <n v="0"/>
    <s v="25-34"/>
  </r>
  <r>
    <s v="TX0613"/>
    <n v="3740"/>
    <n v="8.5900000000000004E-2"/>
    <x v="2"/>
    <n v="52.360999999999997"/>
    <n v="1.633"/>
    <n v="0"/>
    <n v="0"/>
    <x v="2"/>
    <n v="40"/>
    <x v="0"/>
    <x v="3"/>
    <n v="5"/>
    <n v="0"/>
    <n v="5.2602571953459895E-2"/>
    <n v="3.1187334084528562E-2"/>
    <n v="0"/>
    <n v="-1"/>
    <n v="0"/>
    <n v="0"/>
    <s v="35-44"/>
  </r>
  <r>
    <s v="TX0614"/>
    <n v="9965"/>
    <n v="8.8239999999999999E-2"/>
    <x v="3"/>
    <n v="51.6"/>
    <n v="8.61"/>
    <n v="0"/>
    <n v="0"/>
    <x v="0"/>
    <n v="58"/>
    <x v="2"/>
    <x v="0"/>
    <s v="Nil"/>
    <n v="0"/>
    <n v="1.0248548199767712E-2"/>
    <n v="0.16686046511627906"/>
    <n v="0"/>
    <n v="-1"/>
    <n v="0"/>
    <n v="0"/>
    <s v="55+"/>
  </r>
  <r>
    <s v="TX0615"/>
    <n v="9317"/>
    <n v="0.16822000000000001"/>
    <x v="5"/>
    <n v="30.663"/>
    <n v="6.5229999999999997"/>
    <n v="0"/>
    <n v="0"/>
    <x v="1"/>
    <n v="42"/>
    <x v="2"/>
    <x v="2"/>
    <n v="2"/>
    <n v="0"/>
    <n v="2.5788747508814967E-2"/>
    <n v="0.21273195708182499"/>
    <n v="0"/>
    <n v="-1"/>
    <n v="0"/>
    <n v="0"/>
    <s v="35-44"/>
  </r>
  <r>
    <s v="TX0616"/>
    <n v="4952"/>
    <n v="0.12121999999999999"/>
    <x v="5"/>
    <n v="84.106999999999999"/>
    <n v="8.9809999999999999"/>
    <n v="0"/>
    <n v="0"/>
    <x v="4"/>
    <n v="58"/>
    <x v="2"/>
    <x v="3"/>
    <n v="5"/>
    <n v="0"/>
    <n v="1.3497383364881417E-2"/>
    <n v="0.10678064845970014"/>
    <n v="0"/>
    <n v="-1"/>
    <n v="0"/>
    <n v="0"/>
    <s v="55+"/>
  </r>
  <r>
    <s v="TX0617"/>
    <n v="1801"/>
    <n v="8.4600000000000005E-3"/>
    <x v="0"/>
    <n v="67.483999999999995"/>
    <n v="1.84"/>
    <n v="0.11641"/>
    <n v="1"/>
    <x v="2"/>
    <n v="41"/>
    <x v="1"/>
    <x v="3"/>
    <n v="1"/>
    <n v="0.54347826086956519"/>
    <n v="4.597826086956522E-3"/>
    <n v="2.7265722245272957E-2"/>
    <n v="8.4600000000000005E-3"/>
    <n v="12.760047281323876"/>
    <n v="13.760047281323876"/>
    <n v="6.3266304347826083E-2"/>
    <s v="35-44"/>
  </r>
  <r>
    <s v="TX0618"/>
    <n v="6717"/>
    <n v="0.14605000000000001"/>
    <x v="3"/>
    <n v="72.891999999999996"/>
    <n v="8.5879999999999992"/>
    <n v="0"/>
    <n v="1"/>
    <x v="2"/>
    <n v="43"/>
    <x v="0"/>
    <x v="4"/>
    <n v="2"/>
    <n v="0.11644154634373545"/>
    <n v="1.7006287843502565E-2"/>
    <n v="0.11781814190857706"/>
    <n v="0.14605000000000001"/>
    <n v="-1"/>
    <n v="0"/>
    <n v="0"/>
    <s v="35-44"/>
  </r>
  <r>
    <s v="TX0619"/>
    <n v="5198"/>
    <n v="0.11326"/>
    <x v="5"/>
    <n v="82.260999999999996"/>
    <n v="3.9380000000000002"/>
    <n v="0"/>
    <n v="0"/>
    <x v="0"/>
    <n v="19"/>
    <x v="1"/>
    <x v="2"/>
    <n v="4"/>
    <n v="0"/>
    <n v="2.8760792280345351E-2"/>
    <n v="4.7872017116251935E-2"/>
    <n v="0"/>
    <n v="-1"/>
    <n v="0"/>
    <n v="0"/>
    <s v="18-24"/>
  </r>
  <r>
    <s v="TX0620"/>
    <n v="8874"/>
    <n v="0.12639"/>
    <x v="2"/>
    <n v="24.902000000000001"/>
    <n v="8.3469999999999995"/>
    <n v="0"/>
    <n v="0"/>
    <x v="3"/>
    <n v="27"/>
    <x v="0"/>
    <x v="1"/>
    <n v="3"/>
    <n v="0"/>
    <n v="1.5141967173834913E-2"/>
    <n v="0.33519396032447191"/>
    <n v="0"/>
    <n v="-1"/>
    <n v="0"/>
    <n v="0"/>
    <s v="25-34"/>
  </r>
  <r>
    <s v="TX0621"/>
    <n v="3712"/>
    <n v="4.8460000000000003E-2"/>
    <x v="1"/>
    <n v="56.838999999999999"/>
    <n v="6.0069999999999997"/>
    <n v="0"/>
    <n v="0"/>
    <x v="2"/>
    <n v="45"/>
    <x v="3"/>
    <x v="3"/>
    <n v="2"/>
    <n v="0"/>
    <n v="8.0672548693191282E-3"/>
    <n v="0.10568447720755116"/>
    <n v="0"/>
    <n v="-1"/>
    <n v="0"/>
    <n v="0"/>
    <s v="45-54"/>
  </r>
  <r>
    <s v="TX0622"/>
    <n v="4035"/>
    <n v="2.034E-2"/>
    <x v="0"/>
    <n v="37.408999999999999"/>
    <n v="1.3520000000000001"/>
    <n v="0"/>
    <n v="0"/>
    <x v="0"/>
    <n v="49"/>
    <x v="1"/>
    <x v="1"/>
    <n v="1"/>
    <n v="0"/>
    <n v="1.5044378698224852E-2"/>
    <n v="3.6141035579673346E-2"/>
    <n v="0"/>
    <n v="-1"/>
    <n v="0"/>
    <n v="0"/>
    <s v="45-54"/>
  </r>
  <r>
    <s v="TX0623"/>
    <n v="5610"/>
    <n v="0"/>
    <x v="0"/>
    <n v="49.298999999999999"/>
    <n v="7.7869999999999999"/>
    <n v="0.40598000000000001"/>
    <n v="1"/>
    <x v="5"/>
    <n v="27"/>
    <x v="1"/>
    <x v="1"/>
    <s v="Nil"/>
    <n v="0.1284191601386927"/>
    <n v="0"/>
    <n v="0.15795452240410557"/>
    <n v="0"/>
    <n v="0"/>
    <e v="#DIV/0!"/>
    <n v="5.2135610633106462E-2"/>
    <s v="25-34"/>
  </r>
  <r>
    <s v="TX0624"/>
    <n v="4198"/>
    <n v="0"/>
    <x v="5"/>
    <n v="43.716000000000001"/>
    <n v="8.8350000000000009"/>
    <n v="0"/>
    <n v="0"/>
    <x v="0"/>
    <n v="37"/>
    <x v="3"/>
    <x v="0"/>
    <n v="5"/>
    <n v="0"/>
    <n v="0"/>
    <n v="0.20209991765028823"/>
    <n v="0"/>
    <n v="0"/>
    <n v="0"/>
    <n v="0"/>
    <s v="35-44"/>
  </r>
  <r>
    <s v="TX0625"/>
    <n v="3055"/>
    <n v="0.10218000000000001"/>
    <x v="2"/>
    <n v="63.606000000000002"/>
    <n v="0.22500000000000001"/>
    <n v="0"/>
    <n v="0"/>
    <x v="4"/>
    <n v="63"/>
    <x v="0"/>
    <x v="4"/>
    <n v="4"/>
    <n v="0"/>
    <n v="0.45413333333333333"/>
    <n v="3.5374021318743515E-3"/>
    <n v="0"/>
    <n v="-1"/>
    <n v="0"/>
    <n v="0"/>
    <s v="55+"/>
  </r>
  <r>
    <s v="TX0626"/>
    <n v="9508"/>
    <n v="0.16375000000000001"/>
    <x v="2"/>
    <n v="58.752000000000002"/>
    <n v="7.407"/>
    <n v="0"/>
    <n v="0"/>
    <x v="1"/>
    <n v="23"/>
    <x v="2"/>
    <x v="1"/>
    <n v="3"/>
    <n v="0"/>
    <n v="2.2107465910625086E-2"/>
    <n v="0.12607230392156862"/>
    <n v="0"/>
    <n v="-1"/>
    <n v="0"/>
    <n v="0"/>
    <s v="18-24"/>
  </r>
  <r>
    <s v="TX0627"/>
    <n v="9794"/>
    <n v="9.239E-2"/>
    <x v="2"/>
    <n v="43.222000000000001"/>
    <n v="5.1429999999999998"/>
    <n v="0"/>
    <n v="0"/>
    <x v="1"/>
    <n v="32"/>
    <x v="0"/>
    <x v="0"/>
    <n v="1"/>
    <n v="0"/>
    <n v="1.7964223216021778E-2"/>
    <n v="0.11899032899912081"/>
    <n v="0"/>
    <n v="-1"/>
    <n v="0"/>
    <n v="0"/>
    <s v="25-34"/>
  </r>
  <r>
    <s v="TX0628"/>
    <n v="1350"/>
    <n v="0.19789000000000001"/>
    <x v="4"/>
    <n v="88.626000000000005"/>
    <n v="9.6329999999999991"/>
    <n v="3.5400000000000001E-2"/>
    <n v="1"/>
    <x v="3"/>
    <n v="53"/>
    <x v="0"/>
    <x v="3"/>
    <n v="3"/>
    <n v="0.1038098204090107"/>
    <n v="2.054292536073913E-2"/>
    <n v="0.10869270868593865"/>
    <n v="0.19789000000000001"/>
    <n v="-0.82111273940067719"/>
    <n v="0.17888726059932286"/>
    <n v="3.6748676424789789E-3"/>
    <s v="45-54"/>
  </r>
  <r>
    <s v="TX0629"/>
    <n v="8383"/>
    <n v="5.9270000000000003E-2"/>
    <x v="3"/>
    <n v="50.667999999999999"/>
    <n v="1.77"/>
    <n v="0"/>
    <n v="0"/>
    <x v="2"/>
    <n v="33"/>
    <x v="0"/>
    <x v="2"/>
    <n v="5"/>
    <n v="0"/>
    <n v="3.3485875706214689E-2"/>
    <n v="3.4933291229178182E-2"/>
    <n v="0"/>
    <n v="-1"/>
    <n v="0"/>
    <n v="0"/>
    <s v="25-34"/>
  </r>
  <r>
    <s v="TX0630"/>
    <n v="8645"/>
    <n v="5.0369999999999998E-2"/>
    <x v="0"/>
    <n v="26.074999999999999"/>
    <n v="6.8150000000000004"/>
    <n v="0"/>
    <n v="0"/>
    <x v="4"/>
    <n v="28"/>
    <x v="3"/>
    <x v="4"/>
    <s v="Nil"/>
    <n v="0"/>
    <n v="7.3910491562729263E-3"/>
    <n v="0.26136145733461175"/>
    <n v="0"/>
    <n v="-1"/>
    <n v="0"/>
    <n v="0"/>
    <s v="25-34"/>
  </r>
  <r>
    <s v="TX0631"/>
    <n v="5986"/>
    <n v="0"/>
    <x v="5"/>
    <n v="36.15"/>
    <n v="1.6679999999999999"/>
    <n v="0"/>
    <n v="0"/>
    <x v="3"/>
    <n v="30"/>
    <x v="3"/>
    <x v="1"/>
    <n v="3"/>
    <n v="0"/>
    <n v="0"/>
    <n v="4.6141078838174275E-2"/>
    <n v="0"/>
    <n v="0"/>
    <n v="0"/>
    <n v="0"/>
    <s v="25-34"/>
  </r>
  <r>
    <s v="TX0632"/>
    <n v="8659"/>
    <n v="0.13417999999999999"/>
    <x v="2"/>
    <n v="16.116"/>
    <n v="6.5540000000000003"/>
    <n v="0"/>
    <n v="0"/>
    <x v="0"/>
    <n v="54"/>
    <x v="3"/>
    <x v="3"/>
    <n v="5"/>
    <n v="0"/>
    <n v="2.0472993591699722E-2"/>
    <n v="0.40667659468850836"/>
    <n v="0"/>
    <n v="-1"/>
    <n v="0"/>
    <n v="0"/>
    <s v="45-54"/>
  </r>
  <r>
    <s v="TX0633"/>
    <n v="3504"/>
    <n v="0.17115"/>
    <x v="2"/>
    <n v="61.645000000000003"/>
    <n v="5.8250000000000002"/>
    <n v="0.15268000000000001"/>
    <n v="1"/>
    <x v="2"/>
    <n v="65"/>
    <x v="3"/>
    <x v="1"/>
    <s v="Nil"/>
    <n v="0.17167381974248927"/>
    <n v="2.9381974248927037E-2"/>
    <n v="9.4492659583096758E-2"/>
    <n v="0.17115"/>
    <n v="-0.10791703184341213"/>
    <n v="0.89208296815658783"/>
    <n v="2.6211158798283264E-2"/>
    <s v="55+"/>
  </r>
  <r>
    <s v="TX0634"/>
    <n v="5406"/>
    <n v="6.1120000000000001E-2"/>
    <x v="4"/>
    <n v="65.119"/>
    <n v="0.69099999999999995"/>
    <n v="0.47533999999999998"/>
    <n v="1"/>
    <x v="1"/>
    <n v="39"/>
    <x v="1"/>
    <x v="0"/>
    <n v="3"/>
    <n v="1.4471780028943562"/>
    <n v="8.8451519536903042E-2"/>
    <n v="1.0611342311767686E-2"/>
    <n v="6.1120000000000001E-2"/>
    <n v="6.7771596858638743"/>
    <n v="7.7771596858638743"/>
    <n v="0.68790159189580324"/>
    <s v="35-44"/>
  </r>
  <r>
    <s v="TX0635"/>
    <n v="3047"/>
    <n v="0"/>
    <x v="0"/>
    <n v="54.540999999999997"/>
    <n v="9.5640000000000001"/>
    <n v="0.1867"/>
    <n v="1"/>
    <x v="0"/>
    <n v="29"/>
    <x v="2"/>
    <x v="0"/>
    <n v="5"/>
    <n v="0.10455876202425764"/>
    <n v="0"/>
    <n v="0.17535432060284925"/>
    <n v="0"/>
    <n v="0"/>
    <e v="#DIV/0!"/>
    <n v="1.9521120869928899E-2"/>
    <s v="25-34"/>
  </r>
  <r>
    <s v="TX0636"/>
    <n v="2999"/>
    <n v="0.18540999999999999"/>
    <x v="5"/>
    <n v="57.863"/>
    <n v="8.3949999999999996"/>
    <n v="0"/>
    <n v="0"/>
    <x v="0"/>
    <n v="43"/>
    <x v="1"/>
    <x v="4"/>
    <n v="5"/>
    <n v="0"/>
    <n v="2.2085765336509827E-2"/>
    <n v="0.14508407790816238"/>
    <n v="0"/>
    <n v="-1"/>
    <n v="0"/>
    <n v="0"/>
    <s v="35-44"/>
  </r>
  <r>
    <s v="TX0637"/>
    <n v="8640"/>
    <n v="0.10342"/>
    <x v="5"/>
    <n v="96.715000000000003"/>
    <n v="4.7240000000000002"/>
    <n v="0.16986000000000001"/>
    <n v="1"/>
    <x v="2"/>
    <n v="54"/>
    <x v="0"/>
    <x v="2"/>
    <n v="4"/>
    <n v="0.21168501270110077"/>
    <n v="2.189246401354784E-2"/>
    <n v="4.8844543245618571E-2"/>
    <n v="0.10342"/>
    <n v="0.64242893057435713"/>
    <n v="1.6424289305743571"/>
    <n v="3.5956816257408979E-2"/>
    <s v="45-54"/>
  </r>
  <r>
    <s v="TX0638"/>
    <n v="3900"/>
    <n v="0.10481"/>
    <x v="3"/>
    <n v="59.034999999999997"/>
    <n v="6.6020000000000003"/>
    <n v="0"/>
    <n v="0"/>
    <x v="0"/>
    <n v="54"/>
    <x v="0"/>
    <x v="0"/>
    <n v="1"/>
    <n v="0"/>
    <n v="1.5875492275068161E-2"/>
    <n v="0.11183196408909969"/>
    <n v="0"/>
    <n v="-1"/>
    <n v="0"/>
    <n v="0"/>
    <s v="45-54"/>
  </r>
  <r>
    <s v="TX0639"/>
    <n v="9894"/>
    <n v="8.7970000000000007E-2"/>
    <x v="3"/>
    <n v="59.006999999999998"/>
    <n v="3.4620000000000002"/>
    <n v="0"/>
    <n v="0"/>
    <x v="5"/>
    <n v="62"/>
    <x v="3"/>
    <x v="1"/>
    <n v="2"/>
    <n v="0"/>
    <n v="2.5410167533217794E-2"/>
    <n v="5.8671005134983988E-2"/>
    <n v="0"/>
    <n v="-1"/>
    <n v="0"/>
    <n v="0"/>
    <s v="55+"/>
  </r>
  <r>
    <s v="TX0640"/>
    <n v="8358"/>
    <n v="0.13228000000000001"/>
    <x v="0"/>
    <n v="78.831000000000003"/>
    <n v="0.57599999999999996"/>
    <n v="0.16203000000000001"/>
    <n v="1"/>
    <x v="1"/>
    <n v="26"/>
    <x v="2"/>
    <x v="2"/>
    <s v="Nil"/>
    <n v="1.7361111111111112"/>
    <n v="0.22965277777777782"/>
    <n v="7.3067701792442052E-3"/>
    <n v="0.13228000000000001"/>
    <n v="0.22490172361657088"/>
    <n v="1.2249017236165709"/>
    <n v="0.28130208333333334"/>
    <s v="25-34"/>
  </r>
  <r>
    <s v="TX0641"/>
    <n v="5316"/>
    <n v="6.6790000000000002E-2"/>
    <x v="2"/>
    <n v="62.107999999999997"/>
    <n v="1.2969999999999999"/>
    <n v="0.16087000000000001"/>
    <n v="1"/>
    <x v="2"/>
    <n v="25"/>
    <x v="0"/>
    <x v="2"/>
    <n v="1"/>
    <n v="0.77101002313030076"/>
    <n v="5.1495759444872787E-2"/>
    <n v="2.088297803825594E-2"/>
    <n v="6.6790000000000002E-2"/>
    <n v="1.4085941009133105"/>
    <n v="2.4085941009133105"/>
    <n v="0.12403238242097149"/>
    <s v="25-34"/>
  </r>
  <r>
    <s v="TX0642"/>
    <n v="3758"/>
    <n v="0.16022"/>
    <x v="4"/>
    <n v="58.945"/>
    <n v="9.7530000000000001"/>
    <n v="0"/>
    <n v="0"/>
    <x v="1"/>
    <n v="60"/>
    <x v="2"/>
    <x v="1"/>
    <n v="3"/>
    <n v="0"/>
    <n v="1.6427765815646467E-2"/>
    <n v="0.1654593264907965"/>
    <n v="0"/>
    <n v="-1"/>
    <n v="0"/>
    <n v="0"/>
    <s v="55+"/>
  </r>
  <r>
    <s v="TX0643"/>
    <n v="8715"/>
    <n v="0.19420999999999999"/>
    <x v="4"/>
    <n v="22.364999999999998"/>
    <n v="4.1870000000000003"/>
    <n v="0"/>
    <n v="0"/>
    <x v="2"/>
    <n v="64"/>
    <x v="3"/>
    <x v="2"/>
    <n v="1"/>
    <n v="0"/>
    <n v="4.6384045856221634E-2"/>
    <n v="0.18721216186004921"/>
    <n v="0"/>
    <n v="-1"/>
    <n v="0"/>
    <n v="0"/>
    <s v="55+"/>
  </r>
  <r>
    <s v="TX0644"/>
    <n v="9635"/>
    <n v="3.2059999999999998E-2"/>
    <x v="4"/>
    <n v="20.951000000000001"/>
    <n v="2.371"/>
    <n v="0"/>
    <n v="1"/>
    <x v="1"/>
    <n v="59"/>
    <x v="1"/>
    <x v="1"/>
    <n v="5"/>
    <n v="0.42176296921130324"/>
    <n v="1.3521720792914381E-2"/>
    <n v="0.11316882249057324"/>
    <n v="3.2059999999999998E-2"/>
    <n v="-1"/>
    <n v="0"/>
    <n v="0"/>
    <s v="55+"/>
  </r>
  <r>
    <s v="TX0645"/>
    <n v="8854"/>
    <n v="0.17172000000000001"/>
    <x v="1"/>
    <n v="31.292000000000002"/>
    <n v="4.1719999999999997"/>
    <n v="0"/>
    <n v="0"/>
    <x v="1"/>
    <n v="29"/>
    <x v="1"/>
    <x v="0"/>
    <n v="4"/>
    <n v="0"/>
    <n v="4.116011505273251E-2"/>
    <n v="0.13332481145340661"/>
    <n v="0"/>
    <n v="-1"/>
    <n v="0"/>
    <n v="0"/>
    <s v="25-34"/>
  </r>
  <r>
    <s v="TX0646"/>
    <n v="5774"/>
    <n v="0"/>
    <x v="5"/>
    <n v="69.293000000000006"/>
    <n v="7.1"/>
    <n v="0.28021000000000001"/>
    <n v="1"/>
    <x v="1"/>
    <n v="53"/>
    <x v="1"/>
    <x v="2"/>
    <n v="2"/>
    <n v="0.14084507042253522"/>
    <n v="0"/>
    <n v="0.10246345229676877"/>
    <n v="0"/>
    <n v="0"/>
    <e v="#DIV/0!"/>
    <n v="3.9466197183098593E-2"/>
    <s v="45-54"/>
  </r>
  <r>
    <s v="TX0647"/>
    <n v="6624"/>
    <n v="7.7619999999999995E-2"/>
    <x v="0"/>
    <n v="92.019000000000005"/>
    <n v="0.19700000000000001"/>
    <n v="0"/>
    <n v="0"/>
    <x v="5"/>
    <n v="28"/>
    <x v="0"/>
    <x v="3"/>
    <n v="1"/>
    <n v="0"/>
    <n v="0.39401015228426389"/>
    <n v="2.1408622132385704E-3"/>
    <n v="0"/>
    <n v="-1"/>
    <n v="0"/>
    <n v="0"/>
    <s v="25-34"/>
  </r>
  <r>
    <s v="TX0648"/>
    <n v="5259"/>
    <n v="0.17546999999999999"/>
    <x v="1"/>
    <n v="45.848999999999997"/>
    <n v="1.341"/>
    <n v="0.37329000000000001"/>
    <n v="1"/>
    <x v="1"/>
    <n v="41"/>
    <x v="0"/>
    <x v="2"/>
    <n v="2"/>
    <n v="0.74571215510812827"/>
    <n v="0.13085011185682327"/>
    <n v="2.9248184257017602E-2"/>
    <n v="0.17546999999999999"/>
    <n v="1.1273722003761328"/>
    <n v="2.1273722003761328"/>
    <n v="0.2783668903803132"/>
    <s v="35-44"/>
  </r>
  <r>
    <s v="TX0649"/>
    <n v="1789"/>
    <n v="1.6199999999999999E-2"/>
    <x v="4"/>
    <n v="53.258000000000003"/>
    <n v="1.9"/>
    <n v="0"/>
    <n v="1"/>
    <x v="2"/>
    <n v="41"/>
    <x v="3"/>
    <x v="4"/>
    <n v="3"/>
    <n v="0.52631578947368418"/>
    <n v="8.5263157894736839E-3"/>
    <n v="3.5675391490480303E-2"/>
    <n v="1.6199999999999999E-2"/>
    <n v="-1"/>
    <n v="0"/>
    <n v="0"/>
    <s v="35-44"/>
  </r>
  <r>
    <s v="TX0650"/>
    <n v="2951"/>
    <n v="0.11548"/>
    <x v="2"/>
    <n v="37.244"/>
    <n v="5.3849999999999998"/>
    <n v="0"/>
    <n v="0"/>
    <x v="2"/>
    <n v="18"/>
    <x v="1"/>
    <x v="1"/>
    <n v="3"/>
    <n v="0"/>
    <n v="2.1444753946146703E-2"/>
    <n v="0.1445870475781334"/>
    <n v="0"/>
    <n v="-1"/>
    <n v="0"/>
    <n v="0"/>
    <s v="18-24"/>
  </r>
  <r>
    <s v="TX0651"/>
    <n v="3380"/>
    <n v="0.14374000000000001"/>
    <x v="5"/>
    <n v="93.391999999999996"/>
    <n v="7.6040000000000001"/>
    <n v="0"/>
    <n v="1"/>
    <x v="0"/>
    <n v="53"/>
    <x v="2"/>
    <x v="1"/>
    <n v="3"/>
    <n v="0.13150973172014729"/>
    <n v="1.8903208837453972E-2"/>
    <n v="8.1420250128490662E-2"/>
    <n v="0.14374000000000001"/>
    <n v="-1"/>
    <n v="0"/>
    <n v="0"/>
    <s v="45-54"/>
  </r>
  <r>
    <s v="TX0652"/>
    <n v="5760"/>
    <n v="6.4310000000000006E-2"/>
    <x v="4"/>
    <n v="69.650999999999996"/>
    <n v="4.3840000000000003"/>
    <n v="0"/>
    <n v="0"/>
    <x v="0"/>
    <n v="31"/>
    <x v="1"/>
    <x v="0"/>
    <n v="2"/>
    <n v="0"/>
    <n v="1.4669251824817519E-2"/>
    <n v="6.2942384172517268E-2"/>
    <n v="0"/>
    <n v="-1"/>
    <n v="0"/>
    <n v="0"/>
    <s v="25-34"/>
  </r>
  <r>
    <s v="TX0653"/>
    <n v="7549"/>
    <n v="0.18448999999999999"/>
    <x v="4"/>
    <n v="79.414000000000001"/>
    <n v="5.0529999999999999"/>
    <n v="0"/>
    <n v="0"/>
    <x v="2"/>
    <n v="18"/>
    <x v="1"/>
    <x v="0"/>
    <n v="4"/>
    <n v="0"/>
    <n v="3.6510983574114385E-2"/>
    <n v="6.3628579343692551E-2"/>
    <n v="0"/>
    <n v="-1"/>
    <n v="0"/>
    <n v="0"/>
    <s v="18-24"/>
  </r>
  <r>
    <s v="TX0654"/>
    <n v="1770"/>
    <n v="4.1160000000000002E-2"/>
    <x v="2"/>
    <n v="56.156999999999996"/>
    <n v="6.7119999999999997"/>
    <n v="0"/>
    <n v="0"/>
    <x v="5"/>
    <n v="44"/>
    <x v="0"/>
    <x v="3"/>
    <n v="1"/>
    <n v="0"/>
    <n v="6.1323003575685349E-3"/>
    <n v="0.11952205424078922"/>
    <n v="0"/>
    <n v="-1"/>
    <n v="0"/>
    <n v="0"/>
    <s v="35-44"/>
  </r>
  <r>
    <s v="TX0655"/>
    <n v="7225"/>
    <n v="0.13869000000000001"/>
    <x v="2"/>
    <n v="45.122999999999998"/>
    <n v="9.3460000000000001"/>
    <n v="0.34057999999999999"/>
    <n v="1"/>
    <x v="0"/>
    <n v="41"/>
    <x v="1"/>
    <x v="4"/>
    <n v="5"/>
    <n v="0.10699764605178685"/>
    <n v="1.483950353092232E-2"/>
    <n v="0.20712275336302996"/>
    <n v="0.13869000000000001"/>
    <n v="1.4556925517340831"/>
    <n v="2.4556925517340829"/>
    <n v="3.644125829231757E-2"/>
    <s v="35-44"/>
  </r>
  <r>
    <s v="TX0656"/>
    <n v="5413"/>
    <n v="1.9189999999999999E-2"/>
    <x v="5"/>
    <n v="94.259"/>
    <n v="4.5380000000000003"/>
    <n v="0"/>
    <n v="0"/>
    <x v="0"/>
    <n v="20"/>
    <x v="3"/>
    <x v="2"/>
    <s v="Nil"/>
    <n v="0"/>
    <n v="4.2287351256059934E-3"/>
    <n v="4.8143943814383777E-2"/>
    <n v="0"/>
    <n v="-1"/>
    <n v="0"/>
    <n v="0"/>
    <s v="18-24"/>
  </r>
  <r>
    <s v="TX0657"/>
    <n v="6522"/>
    <n v="0.13636000000000001"/>
    <x v="0"/>
    <n v="74.397000000000006"/>
    <n v="9.9160000000000004"/>
    <n v="0"/>
    <n v="0"/>
    <x v="3"/>
    <n v="23"/>
    <x v="3"/>
    <x v="1"/>
    <n v="3"/>
    <n v="0"/>
    <n v="1.3751512706736588E-2"/>
    <n v="0.13328494428538784"/>
    <n v="0"/>
    <n v="-1"/>
    <n v="0"/>
    <n v="0"/>
    <s v="18-24"/>
  </r>
  <r>
    <s v="TX0658"/>
    <n v="2831"/>
    <n v="6.8709999999999993E-2"/>
    <x v="2"/>
    <n v="80.256"/>
    <n v="0.38"/>
    <n v="0"/>
    <n v="0"/>
    <x v="0"/>
    <n v="41"/>
    <x v="3"/>
    <x v="0"/>
    <n v="1"/>
    <n v="0"/>
    <n v="0.18081578947368418"/>
    <n v="4.734848484848485E-3"/>
    <n v="0"/>
    <n v="-1"/>
    <n v="0"/>
    <n v="0"/>
    <s v="35-44"/>
  </r>
  <r>
    <s v="TX0659"/>
    <n v="5711"/>
    <n v="5.4820000000000001E-2"/>
    <x v="1"/>
    <n v="20.725999999999999"/>
    <n v="1.518"/>
    <n v="0"/>
    <n v="0"/>
    <x v="1"/>
    <n v="20"/>
    <x v="2"/>
    <x v="3"/>
    <s v="Nil"/>
    <n v="0"/>
    <n v="3.6113306982872198E-2"/>
    <n v="7.3241339380488282E-2"/>
    <n v="0"/>
    <n v="-1"/>
    <n v="0"/>
    <n v="0"/>
    <s v="18-24"/>
  </r>
  <r>
    <s v="TX0660"/>
    <n v="6886"/>
    <n v="0.11008"/>
    <x v="3"/>
    <n v="85.399000000000001"/>
    <n v="9.2530000000000001"/>
    <n v="0"/>
    <n v="0"/>
    <x v="0"/>
    <n v="32"/>
    <x v="1"/>
    <x v="3"/>
    <n v="4"/>
    <n v="0"/>
    <n v="1.1896682157138225E-2"/>
    <n v="0.10835021487371047"/>
    <n v="0"/>
    <n v="-1"/>
    <n v="0"/>
    <n v="0"/>
    <s v="25-34"/>
  </r>
  <r>
    <s v="TX0661"/>
    <n v="2624"/>
    <n v="6.3869999999999996E-2"/>
    <x v="0"/>
    <n v="64.513000000000005"/>
    <n v="0.313"/>
    <n v="0"/>
    <n v="0"/>
    <x v="2"/>
    <n v="22"/>
    <x v="2"/>
    <x v="4"/>
    <n v="4"/>
    <n v="0"/>
    <n v="0.20405750798722044"/>
    <n v="4.8517353091624936E-3"/>
    <n v="0"/>
    <n v="-1"/>
    <n v="0"/>
    <n v="0"/>
    <s v="18-24"/>
  </r>
  <r>
    <s v="TX0662"/>
    <n v="7774"/>
    <n v="0"/>
    <x v="0"/>
    <n v="30.812000000000001"/>
    <n v="6.14"/>
    <n v="0"/>
    <n v="0"/>
    <x v="3"/>
    <n v="37"/>
    <x v="1"/>
    <x v="1"/>
    <s v="Nil"/>
    <n v="0"/>
    <n v="0"/>
    <n v="0.1992730105153836"/>
    <n v="0"/>
    <n v="0"/>
    <n v="0"/>
    <n v="0"/>
    <s v="35-44"/>
  </r>
  <r>
    <s v="TX0663"/>
    <n v="3678"/>
    <n v="0.14419000000000001"/>
    <x v="4"/>
    <n v="96.744"/>
    <n v="6.5"/>
    <n v="0"/>
    <n v="0"/>
    <x v="1"/>
    <n v="41"/>
    <x v="0"/>
    <x v="1"/>
    <n v="1"/>
    <n v="0"/>
    <n v="2.2183076923076923E-2"/>
    <n v="6.7187629206979238E-2"/>
    <n v="0"/>
    <n v="-1"/>
    <n v="0"/>
    <n v="0"/>
    <s v="35-44"/>
  </r>
  <r>
    <s v="TX0664"/>
    <n v="5754"/>
    <n v="0.10564999999999999"/>
    <x v="3"/>
    <n v="19.393999999999998"/>
    <n v="0.68799999999999994"/>
    <n v="0"/>
    <n v="0"/>
    <x v="2"/>
    <n v="63"/>
    <x v="3"/>
    <x v="2"/>
    <n v="5"/>
    <n v="0"/>
    <n v="0.15356104651162791"/>
    <n v="3.5474889140971431E-2"/>
    <n v="0"/>
    <n v="-1"/>
    <n v="0"/>
    <n v="0"/>
    <s v="55+"/>
  </r>
  <r>
    <s v="TX0665"/>
    <n v="9891"/>
    <n v="0.15823999999999999"/>
    <x v="2"/>
    <n v="72.644000000000005"/>
    <n v="3.5049999999999999"/>
    <n v="0"/>
    <n v="0"/>
    <x v="3"/>
    <n v="58"/>
    <x v="0"/>
    <x v="0"/>
    <n v="5"/>
    <n v="0"/>
    <n v="4.5146932952924393E-2"/>
    <n v="4.8248995099388792E-2"/>
    <n v="0"/>
    <n v="-1"/>
    <n v="0"/>
    <n v="0"/>
    <s v="55+"/>
  </r>
  <r>
    <s v="TX0666"/>
    <n v="9736"/>
    <n v="0.14999000000000001"/>
    <x v="0"/>
    <n v="66.036000000000001"/>
    <n v="8.4990000000000006"/>
    <n v="0.23524"/>
    <n v="1"/>
    <x v="4"/>
    <n v="33"/>
    <x v="1"/>
    <x v="1"/>
    <n v="4"/>
    <n v="0.11766090128250381"/>
    <n v="1.7647958583362749E-2"/>
    <n v="0.12870252589496639"/>
    <n v="0.14999000000000001"/>
    <n v="0.56837122474831647"/>
    <n v="1.5683712247483164"/>
    <n v="2.7678550417696197E-2"/>
    <s v="25-34"/>
  </r>
  <r>
    <s v="TX0667"/>
    <n v="6247"/>
    <n v="0.13772999999999999"/>
    <x v="4"/>
    <n v="44.277000000000001"/>
    <n v="0.66300000000000003"/>
    <n v="0"/>
    <n v="0"/>
    <x v="1"/>
    <n v="41"/>
    <x v="0"/>
    <x v="4"/>
    <s v="Nil"/>
    <n v="0"/>
    <n v="0.20773755656108595"/>
    <n v="1.4973914221830748E-2"/>
    <n v="0"/>
    <n v="-1"/>
    <n v="0"/>
    <n v="0"/>
    <s v="35-44"/>
  </r>
  <r>
    <s v="TX0668"/>
    <n v="3771"/>
    <n v="0.13639999999999999"/>
    <x v="2"/>
    <n v="91.218999999999994"/>
    <n v="5.7"/>
    <n v="0"/>
    <n v="0"/>
    <x v="4"/>
    <n v="41"/>
    <x v="1"/>
    <x v="2"/>
    <n v="4"/>
    <n v="0"/>
    <n v="2.3929824561403506E-2"/>
    <n v="6.2486981878775258E-2"/>
    <n v="0"/>
    <n v="-1"/>
    <n v="0"/>
    <n v="0"/>
    <s v="35-44"/>
  </r>
  <r>
    <s v="TX0669"/>
    <n v="4900"/>
    <n v="0.1142"/>
    <x v="3"/>
    <n v="61.463000000000001"/>
    <n v="4.5119999999999996"/>
    <n v="0"/>
    <n v="0"/>
    <x v="2"/>
    <n v="26"/>
    <x v="3"/>
    <x v="2"/>
    <n v="2"/>
    <n v="0"/>
    <n v="2.5310283687943264E-2"/>
    <n v="7.3410019035842697E-2"/>
    <n v="0"/>
    <n v="-1"/>
    <n v="0"/>
    <n v="0"/>
    <s v="25-34"/>
  </r>
  <r>
    <s v="TX0670"/>
    <n v="3189"/>
    <n v="7.6550000000000007E-2"/>
    <x v="1"/>
    <n v="12.769"/>
    <n v="4.9939999999999998"/>
    <n v="0"/>
    <n v="0"/>
    <x v="1"/>
    <n v="30"/>
    <x v="2"/>
    <x v="2"/>
    <n v="2"/>
    <n v="0"/>
    <n v="1.5328394072887467E-2"/>
    <n v="0.39110345367687366"/>
    <n v="0"/>
    <n v="-1"/>
    <n v="0"/>
    <n v="0"/>
    <s v="25-34"/>
  </r>
  <r>
    <s v="TX0671"/>
    <n v="6627"/>
    <n v="0.18199000000000001"/>
    <x v="4"/>
    <n v="59.085999999999999"/>
    <n v="1.772"/>
    <n v="0"/>
    <n v="0"/>
    <x v="4"/>
    <n v="45"/>
    <x v="2"/>
    <x v="2"/>
    <n v="2"/>
    <n v="0"/>
    <n v="0.10270316027088036"/>
    <n v="2.9990183799884915E-2"/>
    <n v="0"/>
    <n v="-1"/>
    <n v="0"/>
    <n v="0"/>
    <s v="45-54"/>
  </r>
  <r>
    <s v="TX0672"/>
    <n v="9801"/>
    <n v="0.19320000000000001"/>
    <x v="1"/>
    <n v="42.173000000000002"/>
    <n v="4.4619999999999997"/>
    <n v="7.238E-2"/>
    <n v="1"/>
    <x v="1"/>
    <n v="40"/>
    <x v="1"/>
    <x v="4"/>
    <n v="4"/>
    <n v="0.22411474675033619"/>
    <n v="4.3298969072164954E-2"/>
    <n v="0.10580229056505346"/>
    <n v="0.19320000000000001"/>
    <n v="-0.62536231884057969"/>
    <n v="0.37463768115942025"/>
    <n v="1.6221425369789332E-2"/>
    <s v="35-44"/>
  </r>
  <r>
    <s v="TX0673"/>
    <n v="2841"/>
    <n v="0.11700000000000001"/>
    <x v="2"/>
    <n v="40.335999999999999"/>
    <n v="5.6639999999999997"/>
    <n v="0"/>
    <n v="0"/>
    <x v="3"/>
    <n v="35"/>
    <x v="2"/>
    <x v="4"/>
    <n v="3"/>
    <n v="0"/>
    <n v="2.0656779661016953E-2"/>
    <n v="0.14042046806822689"/>
    <n v="0"/>
    <n v="-1"/>
    <n v="0"/>
    <n v="0"/>
    <s v="35-44"/>
  </r>
  <r>
    <s v="TX0674"/>
    <n v="5659"/>
    <n v="5.2830000000000002E-2"/>
    <x v="3"/>
    <n v="75.662000000000006"/>
    <n v="0.41"/>
    <n v="0"/>
    <n v="0"/>
    <x v="2"/>
    <n v="55"/>
    <x v="2"/>
    <x v="3"/>
    <n v="4"/>
    <n v="0"/>
    <n v="0.12885365853658537"/>
    <n v="5.4188364040072944E-3"/>
    <n v="0"/>
    <n v="-1"/>
    <n v="0"/>
    <n v="0"/>
    <s v="55+"/>
  </r>
  <r>
    <s v="TX0675"/>
    <n v="9652"/>
    <n v="0.13192999999999999"/>
    <x v="2"/>
    <n v="99.113"/>
    <n v="8.6760000000000002"/>
    <n v="5.5870000000000003E-2"/>
    <n v="1"/>
    <x v="3"/>
    <n v="29"/>
    <x v="2"/>
    <x v="1"/>
    <n v="3"/>
    <n v="0.1152604887044721"/>
    <n v="1.5206316274781004E-2"/>
    <n v="8.7536448296388972E-2"/>
    <n v="0.13192999999999999"/>
    <n v="-0.57651785037519887"/>
    <n v="0.42348214962480107"/>
    <n v="6.4396035039188566E-3"/>
    <s v="25-34"/>
  </r>
  <r>
    <s v="TX0676"/>
    <n v="8198"/>
    <n v="6.6720000000000002E-2"/>
    <x v="1"/>
    <n v="75.915999999999997"/>
    <n v="5.5979999999999999"/>
    <n v="0"/>
    <n v="0"/>
    <x v="4"/>
    <n v="39"/>
    <x v="3"/>
    <x v="0"/>
    <n v="5"/>
    <n v="0"/>
    <n v="1.1918542336548769E-2"/>
    <n v="7.3739396174719432E-2"/>
    <n v="0"/>
    <n v="-1"/>
    <n v="0"/>
    <n v="0"/>
    <s v="35-44"/>
  </r>
  <r>
    <s v="TX0677"/>
    <n v="1918"/>
    <n v="0.11856"/>
    <x v="3"/>
    <n v="44.198999999999998"/>
    <n v="2.96"/>
    <n v="0"/>
    <n v="0"/>
    <x v="0"/>
    <n v="57"/>
    <x v="1"/>
    <x v="0"/>
    <n v="4"/>
    <n v="0"/>
    <n v="4.0054054054054052E-2"/>
    <n v="6.6969840946627751E-2"/>
    <n v="0"/>
    <n v="-1"/>
    <n v="0"/>
    <n v="0"/>
    <s v="55+"/>
  </r>
  <r>
    <s v="TX0678"/>
    <n v="5207"/>
    <n v="4.9849999999999998E-2"/>
    <x v="5"/>
    <n v="11.335000000000001"/>
    <n v="7.25"/>
    <n v="0"/>
    <n v="0"/>
    <x v="2"/>
    <n v="18"/>
    <x v="0"/>
    <x v="1"/>
    <n v="5"/>
    <n v="0"/>
    <n v="6.8758620689655173E-3"/>
    <n v="0.63961182179091303"/>
    <n v="0"/>
    <n v="-1"/>
    <n v="0"/>
    <n v="0"/>
    <s v="18-24"/>
  </r>
  <r>
    <s v="TX0679"/>
    <n v="9575"/>
    <n v="4.5609999999999998E-2"/>
    <x v="0"/>
    <n v="74.198999999999998"/>
    <n v="5.1520000000000001"/>
    <n v="0.36907000000000001"/>
    <n v="1"/>
    <x v="2"/>
    <n v="48"/>
    <x v="2"/>
    <x v="1"/>
    <n v="1"/>
    <n v="0.19409937888198758"/>
    <n v="8.8528726708074525E-3"/>
    <n v="6.9434898044448037E-2"/>
    <n v="4.5609999999999998E-2"/>
    <n v="7.0918658188993655"/>
    <n v="8.0918658188993646"/>
    <n v="7.1636257763975156E-2"/>
    <s v="45-54"/>
  </r>
  <r>
    <s v="TX0680"/>
    <n v="7256"/>
    <n v="0"/>
    <x v="0"/>
    <n v="93.646000000000001"/>
    <n v="9.484"/>
    <n v="0.14265"/>
    <n v="1"/>
    <x v="2"/>
    <n v="51"/>
    <x v="3"/>
    <x v="4"/>
    <n v="5"/>
    <n v="0.10544074230282581"/>
    <n v="0"/>
    <n v="0.10127501441599214"/>
    <n v="0"/>
    <n v="0"/>
    <e v="#DIV/0!"/>
    <n v="1.5041121889498101E-2"/>
    <s v="45-54"/>
  </r>
  <r>
    <s v="TX0681"/>
    <n v="6035"/>
    <n v="7.9000000000000008E-3"/>
    <x v="0"/>
    <n v="94.272000000000006"/>
    <n v="5.4589999999999996"/>
    <n v="0"/>
    <n v="0"/>
    <x v="0"/>
    <n v="44"/>
    <x v="3"/>
    <x v="2"/>
    <n v="3"/>
    <n v="0"/>
    <n v="1.4471514929474264E-3"/>
    <n v="5.7906907671418865E-2"/>
    <n v="0"/>
    <n v="-1"/>
    <n v="0"/>
    <n v="0"/>
    <s v="35-44"/>
  </r>
  <r>
    <s v="TX0682"/>
    <n v="1844"/>
    <n v="5.0180000000000002E-2"/>
    <x v="2"/>
    <n v="25.152000000000001"/>
    <n v="0.69"/>
    <n v="0.16996"/>
    <n v="1"/>
    <x v="1"/>
    <n v="41"/>
    <x v="2"/>
    <x v="4"/>
    <n v="5"/>
    <n v="1.4492753623188408"/>
    <n v="7.2724637681159429E-2"/>
    <n v="2.7433206106870226E-2"/>
    <n v="5.0180000000000002E-2"/>
    <n v="2.3870067756078117"/>
    <n v="3.3870067756078117"/>
    <n v="0.24631884057971015"/>
    <s v="35-44"/>
  </r>
  <r>
    <s v="TX0683"/>
    <n v="7603"/>
    <n v="6.7199999999999996E-2"/>
    <x v="0"/>
    <n v="40.506999999999998"/>
    <n v="0.33300000000000002"/>
    <n v="0"/>
    <n v="0"/>
    <x v="1"/>
    <n v="38"/>
    <x v="0"/>
    <x v="3"/>
    <n v="3"/>
    <n v="0"/>
    <n v="0.20180180180180177"/>
    <n v="8.2208013429777571E-3"/>
    <n v="0"/>
    <n v="-1"/>
    <n v="0"/>
    <n v="0"/>
    <s v="35-44"/>
  </r>
  <r>
    <s v="TX0684"/>
    <n v="5532"/>
    <n v="0.15345"/>
    <x v="2"/>
    <n v="18.899000000000001"/>
    <n v="4.6120000000000001"/>
    <n v="0.45672000000000001"/>
    <n v="1"/>
    <x v="1"/>
    <n v="61"/>
    <x v="2"/>
    <x v="1"/>
    <n v="3"/>
    <n v="0.21682567215958368"/>
    <n v="3.3271899392888118E-2"/>
    <n v="0.24403407587703052"/>
    <n v="0.15345"/>
    <n v="1.9763440860215056"/>
    <n v="2.9763440860215056"/>
    <n v="9.9028620988725072E-2"/>
    <s v="55+"/>
  </r>
  <r>
    <s v="TX0685"/>
    <n v="9916"/>
    <n v="4.1640000000000003E-2"/>
    <x v="2"/>
    <n v="23.367999999999999"/>
    <n v="5.9530000000000003"/>
    <n v="0"/>
    <n v="0"/>
    <x v="1"/>
    <n v="62"/>
    <x v="3"/>
    <x v="0"/>
    <s v="Nil"/>
    <n v="0"/>
    <n v="6.9947925415756763E-3"/>
    <n v="0.25475008558712775"/>
    <n v="0"/>
    <n v="-1"/>
    <n v="0"/>
    <n v="0"/>
    <s v="55+"/>
  </r>
  <r>
    <s v="TX0686"/>
    <n v="6642"/>
    <n v="0.1822"/>
    <x v="0"/>
    <n v="64.846000000000004"/>
    <n v="6.4770000000000003"/>
    <n v="0"/>
    <n v="0"/>
    <x v="4"/>
    <n v="49"/>
    <x v="1"/>
    <x v="0"/>
    <s v="Nil"/>
    <n v="0"/>
    <n v="2.8130307241006638E-2"/>
    <n v="9.9882799247447793E-2"/>
    <n v="0"/>
    <n v="-1"/>
    <n v="0"/>
    <n v="0"/>
    <s v="45-54"/>
  </r>
  <r>
    <s v="TX0687"/>
    <n v="3611"/>
    <n v="4.0939999999999997E-2"/>
    <x v="2"/>
    <n v="32.204000000000001"/>
    <n v="2.6179999999999999"/>
    <n v="0"/>
    <n v="0"/>
    <x v="2"/>
    <n v="41"/>
    <x v="2"/>
    <x v="3"/>
    <s v="Nil"/>
    <n v="0"/>
    <n v="1.563789152024446E-2"/>
    <n v="8.1294249161594834E-2"/>
    <n v="0"/>
    <n v="-1"/>
    <n v="0"/>
    <n v="0"/>
    <s v="35-44"/>
  </r>
  <r>
    <s v="TX0688"/>
    <n v="6412"/>
    <n v="4.095E-2"/>
    <x v="3"/>
    <n v="46.674999999999997"/>
    <n v="0.127"/>
    <n v="0"/>
    <n v="0"/>
    <x v="0"/>
    <n v="36"/>
    <x v="3"/>
    <x v="3"/>
    <n v="1"/>
    <n v="0"/>
    <n v="0.32244094488188974"/>
    <n v="2.7209426888055708E-3"/>
    <n v="0"/>
    <n v="-1"/>
    <n v="0"/>
    <n v="0"/>
    <s v="35-44"/>
  </r>
  <r>
    <s v="TX0689"/>
    <n v="8693"/>
    <n v="0.17383000000000001"/>
    <x v="1"/>
    <n v="70.225999999999999"/>
    <n v="2.7189999999999999"/>
    <n v="0"/>
    <n v="0"/>
    <x v="3"/>
    <n v="58"/>
    <x v="2"/>
    <x v="3"/>
    <s v="Nil"/>
    <n v="0"/>
    <n v="6.3931592497241646E-2"/>
    <n v="3.8717853786346935E-2"/>
    <n v="0"/>
    <n v="-1"/>
    <n v="0"/>
    <n v="0"/>
    <s v="55+"/>
  </r>
  <r>
    <s v="TX0690"/>
    <n v="2385"/>
    <n v="0"/>
    <x v="2"/>
    <n v="16.949000000000002"/>
    <n v="4.99"/>
    <n v="0.45479000000000003"/>
    <n v="1"/>
    <x v="3"/>
    <n v="56"/>
    <x v="2"/>
    <x v="3"/>
    <n v="4"/>
    <n v="0.20040080160320639"/>
    <n v="0"/>
    <n v="0.2944126497138474"/>
    <n v="0"/>
    <n v="0"/>
    <e v="#DIV/0!"/>
    <n v="9.114028056112225E-2"/>
    <s v="55+"/>
  </r>
  <r>
    <s v="TX0691"/>
    <n v="4542"/>
    <n v="0.12252"/>
    <x v="1"/>
    <n v="17.338999999999999"/>
    <n v="8.6809999999999992"/>
    <n v="0"/>
    <n v="0"/>
    <x v="5"/>
    <n v="19"/>
    <x v="0"/>
    <x v="4"/>
    <n v="5"/>
    <n v="0"/>
    <n v="1.4113581384633108E-2"/>
    <n v="0.50066324470846069"/>
    <n v="0"/>
    <n v="-1"/>
    <n v="0"/>
    <n v="0"/>
    <s v="18-24"/>
  </r>
  <r>
    <s v="TX0692"/>
    <n v="7251"/>
    <n v="0.11398999999999999"/>
    <x v="0"/>
    <n v="20.401"/>
    <n v="7.2930000000000001"/>
    <n v="0"/>
    <n v="0"/>
    <x v="3"/>
    <n v="43"/>
    <x v="3"/>
    <x v="0"/>
    <n v="5"/>
    <n v="0"/>
    <n v="1.563005621829151E-2"/>
    <n v="0.35748247634919855"/>
    <n v="0"/>
    <n v="-1"/>
    <n v="0"/>
    <n v="0"/>
    <s v="35-44"/>
  </r>
  <r>
    <s v="TX0693"/>
    <n v="3494"/>
    <n v="0.18715999999999999"/>
    <x v="0"/>
    <n v="9.3800000000000008"/>
    <n v="3.6030000000000002"/>
    <n v="0.25634000000000001"/>
    <n v="1"/>
    <x v="0"/>
    <n v="60"/>
    <x v="3"/>
    <x v="1"/>
    <n v="3"/>
    <n v="0.27754648903691365"/>
    <n v="5.1945600888148757E-2"/>
    <n v="0.38411513859275054"/>
    <n v="0.18715999999999999"/>
    <n v="0.36963026287668316"/>
    <n v="1.3696302628766832"/>
    <n v="7.1146266999722457E-2"/>
    <s v="55+"/>
  </r>
  <r>
    <s v="TX0694"/>
    <n v="9157"/>
    <n v="0"/>
    <x v="5"/>
    <n v="21.4"/>
    <n v="7.2619999999999996"/>
    <n v="0"/>
    <n v="0"/>
    <x v="2"/>
    <n v="65"/>
    <x v="0"/>
    <x v="2"/>
    <n v="4"/>
    <n v="0"/>
    <n v="0"/>
    <n v="0.33934579439252338"/>
    <n v="0"/>
    <n v="0"/>
    <n v="0"/>
    <n v="0"/>
    <s v="55+"/>
  </r>
  <r>
    <s v="TX0695"/>
    <n v="4572"/>
    <n v="0.19608"/>
    <x v="2"/>
    <n v="10.227"/>
    <n v="7.9329999999999998"/>
    <n v="0"/>
    <n v="0"/>
    <x v="3"/>
    <n v="36"/>
    <x v="1"/>
    <x v="1"/>
    <n v="4"/>
    <n v="0"/>
    <n v="2.4717004916172951E-2"/>
    <n v="0.77569179622567708"/>
    <n v="0"/>
    <n v="-1"/>
    <n v="0"/>
    <n v="0"/>
    <s v="35-44"/>
  </r>
  <r>
    <s v="TX0696"/>
    <n v="7698"/>
    <n v="0"/>
    <x v="5"/>
    <n v="32.322000000000003"/>
    <n v="0"/>
    <n v="0"/>
    <n v="0"/>
    <x v="1"/>
    <n v="33"/>
    <x v="3"/>
    <x v="2"/>
    <s v="Nil"/>
    <n v="0"/>
    <n v="0"/>
    <n v="0"/>
    <n v="0"/>
    <n v="0"/>
    <n v="0"/>
    <n v="0"/>
    <s v="25-34"/>
  </r>
  <r>
    <s v="TX0697"/>
    <n v="3888"/>
    <n v="6.225E-2"/>
    <x v="4"/>
    <n v="63.095999999999997"/>
    <n v="5.28"/>
    <n v="0"/>
    <n v="0"/>
    <x v="0"/>
    <n v="41"/>
    <x v="1"/>
    <x v="3"/>
    <n v="3"/>
    <n v="0"/>
    <n v="1.1789772727272727E-2"/>
    <n v="8.3682008368200847E-2"/>
    <n v="0"/>
    <n v="-1"/>
    <n v="0"/>
    <n v="0"/>
    <s v="35-44"/>
  </r>
  <r>
    <s v="TX0698"/>
    <n v="7155"/>
    <n v="0.18876000000000001"/>
    <x v="0"/>
    <n v="72.302000000000007"/>
    <n v="0.748"/>
    <n v="7.6700000000000004E-2"/>
    <n v="1"/>
    <x v="1"/>
    <n v="65"/>
    <x v="1"/>
    <x v="4"/>
    <s v="Nil"/>
    <n v="1.3368983957219251"/>
    <n v="0.25235294117647061"/>
    <n v="1.0345495283671267E-2"/>
    <n v="0.18876000000000001"/>
    <n v="-0.59366391184572997"/>
    <n v="0.40633608815426997"/>
    <n v="0.10254010695187166"/>
    <s v="55+"/>
  </r>
  <r>
    <s v="TX0699"/>
    <n v="3281"/>
    <n v="0.15823999999999999"/>
    <x v="0"/>
    <n v="32.860999999999997"/>
    <n v="6.359"/>
    <n v="0"/>
    <n v="0"/>
    <x v="2"/>
    <n v="27"/>
    <x v="2"/>
    <x v="4"/>
    <n v="5"/>
    <n v="0"/>
    <n v="2.4884415788646013E-2"/>
    <n v="0.19351206597486384"/>
    <n v="0"/>
    <n v="-1"/>
    <n v="0"/>
    <n v="0"/>
    <s v="25-34"/>
  </r>
  <r>
    <s v="TX0700"/>
    <n v="9602"/>
    <n v="0.15135000000000001"/>
    <x v="2"/>
    <n v="12.999000000000001"/>
    <n v="9.07"/>
    <n v="0"/>
    <n v="0"/>
    <x v="0"/>
    <n v="41"/>
    <x v="3"/>
    <x v="2"/>
    <s v="Nil"/>
    <n v="0"/>
    <n v="1.6686879823594267E-2"/>
    <n v="0.69774598046003533"/>
    <n v="0"/>
    <n v="-1"/>
    <n v="0"/>
    <n v="0"/>
    <s v="35-44"/>
  </r>
  <r>
    <s v="TX0701"/>
    <n v="3054"/>
    <n v="0.18013000000000001"/>
    <x v="2"/>
    <n v="2.3809999999999998"/>
    <n v="7.5039999999999996"/>
    <n v="0"/>
    <n v="0"/>
    <x v="4"/>
    <n v="37"/>
    <x v="1"/>
    <x v="0"/>
    <n v="3"/>
    <n v="0"/>
    <n v="2.4004530916844354E-2"/>
    <n v="3.1516169676606469"/>
    <n v="0"/>
    <n v="-1"/>
    <n v="0"/>
    <n v="0"/>
    <s v="35-44"/>
  </r>
  <r>
    <s v="TX0702"/>
    <n v="3938"/>
    <n v="1.465E-2"/>
    <x v="3"/>
    <n v="64.569000000000003"/>
    <n v="1.5449999999999999"/>
    <n v="0"/>
    <n v="0"/>
    <x v="2"/>
    <n v="56"/>
    <x v="0"/>
    <x v="2"/>
    <n v="2"/>
    <n v="0"/>
    <n v="9.4822006472491914E-3"/>
    <n v="2.3927891093249082E-2"/>
    <n v="0"/>
    <n v="-1"/>
    <n v="0"/>
    <n v="0"/>
    <s v="55+"/>
  </r>
  <r>
    <s v="TX0703"/>
    <n v="7453"/>
    <n v="0.11991"/>
    <x v="3"/>
    <n v="19.093"/>
    <n v="7.2789999999999999"/>
    <n v="0"/>
    <n v="0"/>
    <x v="3"/>
    <n v="49"/>
    <x v="1"/>
    <x v="1"/>
    <n v="3"/>
    <n v="0"/>
    <n v="1.6473416678115128E-2"/>
    <n v="0.38123919761169012"/>
    <n v="0"/>
    <n v="-1"/>
    <n v="0"/>
    <n v="0"/>
    <s v="45-54"/>
  </r>
  <r>
    <s v="TX0704"/>
    <n v="7585"/>
    <n v="5.7090000000000002E-2"/>
    <x v="4"/>
    <n v="66.012"/>
    <n v="8.59"/>
    <n v="0"/>
    <n v="0"/>
    <x v="2"/>
    <n v="53"/>
    <x v="2"/>
    <x v="3"/>
    <s v="Nil"/>
    <n v="0"/>
    <n v="6.6461001164144357E-3"/>
    <n v="0.1301278555414167"/>
    <n v="0"/>
    <n v="-1"/>
    <n v="0"/>
    <n v="0"/>
    <s v="45-54"/>
  </r>
  <r>
    <s v="TX0705"/>
    <n v="2187"/>
    <n v="3.1050000000000001E-2"/>
    <x v="1"/>
    <n v="62.9"/>
    <n v="6.867"/>
    <n v="0"/>
    <n v="0"/>
    <x v="2"/>
    <n v="44"/>
    <x v="3"/>
    <x v="2"/>
    <n v="5"/>
    <n v="0"/>
    <n v="4.5216251638269984E-3"/>
    <n v="0.10917329093799683"/>
    <n v="0"/>
    <n v="-1"/>
    <n v="0"/>
    <n v="0"/>
    <s v="35-44"/>
  </r>
  <r>
    <s v="TX0706"/>
    <n v="3104"/>
    <n v="1.1429999999999999E-2"/>
    <x v="4"/>
    <n v="68.025000000000006"/>
    <n v="9.1989999999999998"/>
    <n v="0"/>
    <n v="1"/>
    <x v="4"/>
    <n v="26"/>
    <x v="2"/>
    <x v="2"/>
    <s v="Nil"/>
    <n v="0.10870746820306555"/>
    <n v="1.2425263615610392E-3"/>
    <n v="0.13522969496508636"/>
    <n v="1.1429999999999999E-2"/>
    <n v="-1"/>
    <n v="0"/>
    <n v="0"/>
    <s v="25-34"/>
  </r>
  <r>
    <s v="TX0707"/>
    <n v="7997"/>
    <n v="7.2359999999999994E-2"/>
    <x v="4"/>
    <n v="77.367000000000004"/>
    <n v="1.9259999999999999"/>
    <n v="0"/>
    <n v="0"/>
    <x v="4"/>
    <n v="37"/>
    <x v="0"/>
    <x v="0"/>
    <n v="3"/>
    <n v="0"/>
    <n v="3.7570093457943925E-2"/>
    <n v="2.4894334793904377E-2"/>
    <n v="0"/>
    <n v="-1"/>
    <n v="0"/>
    <n v="0"/>
    <s v="35-44"/>
  </r>
  <r>
    <s v="TX0708"/>
    <n v="9060"/>
    <n v="0.14316999999999999"/>
    <x v="3"/>
    <n v="55.642000000000003"/>
    <n v="8.6590000000000007"/>
    <n v="0.17329"/>
    <n v="1"/>
    <x v="1"/>
    <n v="38"/>
    <x v="0"/>
    <x v="0"/>
    <n v="3"/>
    <n v="0.11548677676406051"/>
    <n v="1.6534241829310542E-2"/>
    <n v="0.15561985550483448"/>
    <n v="0.14316999999999999"/>
    <n v="0.21037926940001403"/>
    <n v="1.2103792694000139"/>
    <n v="2.0012703545444044E-2"/>
    <s v="35-44"/>
  </r>
  <r>
    <s v="TX0709"/>
    <n v="3680"/>
    <n v="6.1920000000000003E-2"/>
    <x v="3"/>
    <n v="51.905000000000001"/>
    <n v="0.57099999999999995"/>
    <n v="0.42752000000000001"/>
    <n v="1"/>
    <x v="3"/>
    <n v="22"/>
    <x v="1"/>
    <x v="3"/>
    <n v="1"/>
    <n v="1.7513134851138354"/>
    <n v="0.10844133099824869"/>
    <n v="1.1000866968500143E-2"/>
    <n v="6.1920000000000003E-2"/>
    <n v="5.9043927648578816"/>
    <n v="6.9043927648578807"/>
    <n v="0.74872154115586698"/>
    <s v="18-24"/>
  </r>
  <r>
    <s v="TX0710"/>
    <n v="1829"/>
    <n v="0.16234999999999999"/>
    <x v="0"/>
    <n v="42.085000000000001"/>
    <n v="8.2789999999999999"/>
    <n v="0"/>
    <n v="0"/>
    <x v="2"/>
    <n v="37"/>
    <x v="1"/>
    <x v="2"/>
    <n v="2"/>
    <n v="0"/>
    <n v="1.9609856262833673E-2"/>
    <n v="0.1967209219436854"/>
    <n v="0"/>
    <n v="-1"/>
    <n v="0"/>
    <n v="0"/>
    <s v="35-44"/>
  </r>
  <r>
    <s v="TX0711"/>
    <n v="6999"/>
    <n v="2.664E-2"/>
    <x v="0"/>
    <n v="58.037999999999997"/>
    <n v="9.7490000000000006"/>
    <n v="0.15124000000000001"/>
    <n v="1"/>
    <x v="0"/>
    <n v="19"/>
    <x v="2"/>
    <x v="1"/>
    <n v="1"/>
    <n v="0.10257462303826033"/>
    <n v="2.7325879577392554E-3"/>
    <n v="0.16797615355456771"/>
    <n v="2.664E-2"/>
    <n v="4.6771771771771773"/>
    <n v="5.6771771771771773"/>
    <n v="1.5513385988306493E-2"/>
    <s v="18-24"/>
  </r>
  <r>
    <s v="TX0712"/>
    <n v="6806"/>
    <n v="0.12485"/>
    <x v="2"/>
    <n v="81.462999999999994"/>
    <n v="1.6240000000000001"/>
    <n v="0"/>
    <n v="0"/>
    <x v="4"/>
    <n v="50"/>
    <x v="2"/>
    <x v="2"/>
    <n v="3"/>
    <n v="0"/>
    <n v="7.687807881773398E-2"/>
    <n v="1.9935430809078971E-2"/>
    <n v="0"/>
    <n v="-1"/>
    <n v="0"/>
    <n v="0"/>
    <s v="45-54"/>
  </r>
  <r>
    <s v="TX0713"/>
    <n v="4925"/>
    <n v="0.12249"/>
    <x v="1"/>
    <n v="11.05"/>
    <n v="6.3220000000000001"/>
    <n v="0"/>
    <n v="0"/>
    <x v="3"/>
    <n v="61"/>
    <x v="0"/>
    <x v="4"/>
    <n v="2"/>
    <n v="0"/>
    <n v="1.9375197722239796E-2"/>
    <n v="0.57212669683257911"/>
    <n v="0"/>
    <n v="-1"/>
    <n v="0"/>
    <n v="0"/>
    <s v="55+"/>
  </r>
  <r>
    <s v="TX0714"/>
    <n v="5348"/>
    <n v="0"/>
    <x v="4"/>
    <n v="28.632999999999999"/>
    <n v="9.1850000000000005"/>
    <n v="0"/>
    <n v="0"/>
    <x v="3"/>
    <n v="63"/>
    <x v="1"/>
    <x v="4"/>
    <n v="2"/>
    <n v="0"/>
    <n v="0"/>
    <n v="0.32078371110257398"/>
    <n v="0"/>
    <n v="0"/>
    <n v="0"/>
    <n v="0"/>
    <s v="55+"/>
  </r>
  <r>
    <s v="TX0715"/>
    <n v="2163"/>
    <n v="0.16067000000000001"/>
    <x v="4"/>
    <n v="87.328000000000003"/>
    <n v="4.0880000000000001"/>
    <n v="0"/>
    <n v="0"/>
    <x v="1"/>
    <n v="45"/>
    <x v="3"/>
    <x v="2"/>
    <s v="Nil"/>
    <n v="0"/>
    <n v="3.930283757338552E-2"/>
    <n v="4.6812019054598752E-2"/>
    <n v="0"/>
    <n v="-1"/>
    <n v="0"/>
    <n v="0"/>
    <s v="45-54"/>
  </r>
  <r>
    <s v="TX0716"/>
    <n v="3171"/>
    <n v="0"/>
    <x v="3"/>
    <n v="53.185000000000002"/>
    <n v="0.55100000000000005"/>
    <n v="0.36349999999999999"/>
    <n v="1"/>
    <x v="4"/>
    <n v="41"/>
    <x v="3"/>
    <x v="4"/>
    <n v="1"/>
    <n v="1.8148820326678765"/>
    <n v="0"/>
    <n v="1.0360063927799193E-2"/>
    <n v="0"/>
    <n v="0"/>
    <e v="#DIV/0!"/>
    <n v="0.65970961887477308"/>
    <s v="35-44"/>
  </r>
  <r>
    <s v="TX0717"/>
    <n v="6286"/>
    <n v="0"/>
    <x v="0"/>
    <n v="39.198999999999998"/>
    <n v="1.228"/>
    <n v="0.40111999999999998"/>
    <n v="1"/>
    <x v="3"/>
    <n v="37"/>
    <x v="1"/>
    <x v="0"/>
    <n v="4"/>
    <n v="0.81433224755700329"/>
    <n v="0"/>
    <n v="3.1327329778820891E-2"/>
    <n v="0"/>
    <n v="0"/>
    <e v="#DIV/0!"/>
    <n v="0.32664495114006514"/>
    <s v="35-44"/>
  </r>
  <r>
    <s v="TX0718"/>
    <n v="7664"/>
    <n v="0.15762000000000001"/>
    <x v="4"/>
    <n v="91.117000000000004"/>
    <n v="4.5519999999999996"/>
    <n v="0.14696000000000001"/>
    <n v="1"/>
    <x v="3"/>
    <n v="65"/>
    <x v="0"/>
    <x v="4"/>
    <n v="1"/>
    <n v="0.21968365553602814"/>
    <n v="3.462653778558876E-2"/>
    <n v="4.9957746633449297E-2"/>
    <n v="0.15762000000000001"/>
    <n v="-6.7631011292983143E-2"/>
    <n v="0.9323689887070169"/>
    <n v="3.22847100175747E-2"/>
    <s v="55+"/>
  </r>
  <r>
    <s v="TX0719"/>
    <n v="1854"/>
    <n v="8.3089999999999997E-2"/>
    <x v="0"/>
    <n v="97.043999999999997"/>
    <n v="1.482"/>
    <n v="0"/>
    <n v="0"/>
    <x v="1"/>
    <n v="46"/>
    <x v="1"/>
    <x v="0"/>
    <n v="3"/>
    <n v="0"/>
    <n v="5.6066126855600536E-2"/>
    <n v="1.5271423271917894E-2"/>
    <n v="0"/>
    <n v="-1"/>
    <n v="0"/>
    <n v="0"/>
    <s v="45-54"/>
  </r>
  <r>
    <s v="TX0720"/>
    <n v="6418"/>
    <n v="6.089E-2"/>
    <x v="1"/>
    <n v="37.326000000000001"/>
    <n v="1.2589999999999999"/>
    <n v="0.15919"/>
    <n v="1"/>
    <x v="4"/>
    <n v="60"/>
    <x v="3"/>
    <x v="3"/>
    <n v="5"/>
    <n v="0.79428117553613986"/>
    <n v="4.8363780778395558E-2"/>
    <n v="3.3729839789958742E-2"/>
    <n v="6.089E-2"/>
    <n v="1.6143865987846937"/>
    <n v="2.6143865987846935"/>
    <n v="0.1264416203335981"/>
    <s v="55+"/>
  </r>
  <r>
    <s v="TX0721"/>
    <n v="8648"/>
    <n v="2.7390000000000001E-2"/>
    <x v="1"/>
    <n v="84.516999999999996"/>
    <n v="3.6659999999999999"/>
    <n v="0"/>
    <n v="0"/>
    <x v="3"/>
    <n v="51"/>
    <x v="3"/>
    <x v="0"/>
    <n v="2"/>
    <n v="0"/>
    <n v="7.4713584288052378E-3"/>
    <n v="4.3375888874427629E-2"/>
    <n v="0"/>
    <n v="-1"/>
    <n v="0"/>
    <n v="0"/>
    <s v="45-54"/>
  </r>
  <r>
    <s v="TX0722"/>
    <n v="5392"/>
    <n v="0.17385"/>
    <x v="3"/>
    <n v="79.725999999999999"/>
    <n v="3.0830000000000002"/>
    <n v="0.46698000000000001"/>
    <n v="1"/>
    <x v="3"/>
    <n v="50"/>
    <x v="2"/>
    <x v="3"/>
    <n v="2"/>
    <n v="0.3243593902043464"/>
    <n v="5.6389879987025625E-2"/>
    <n v="3.8669944560118408E-2"/>
    <n v="0.17385"/>
    <n v="1.6861087144089733"/>
    <n v="2.6861087144089733"/>
    <n v="0.15146934803762568"/>
    <s v="45-54"/>
  </r>
  <r>
    <s v="TX0723"/>
    <n v="3952"/>
    <n v="4.3830000000000001E-2"/>
    <x v="4"/>
    <n v="40.012999999999998"/>
    <n v="9.1319999999999997"/>
    <n v="0"/>
    <n v="0"/>
    <x v="0"/>
    <n v="38"/>
    <x v="2"/>
    <x v="1"/>
    <s v="Nil"/>
    <n v="0"/>
    <n v="4.7996057818659663E-3"/>
    <n v="0.22822582660635293"/>
    <n v="0"/>
    <n v="-1"/>
    <n v="0"/>
    <n v="0"/>
    <s v="35-44"/>
  </r>
  <r>
    <s v="TX0724"/>
    <n v="3328"/>
    <n v="0"/>
    <x v="3"/>
    <n v="66.608999999999995"/>
    <n v="8.9879999999999995"/>
    <n v="0"/>
    <n v="0"/>
    <x v="0"/>
    <n v="51"/>
    <x v="2"/>
    <x v="2"/>
    <n v="2"/>
    <n v="0"/>
    <n v="0"/>
    <n v="0.13493672026302753"/>
    <n v="0"/>
    <n v="0"/>
    <n v="0"/>
    <n v="0"/>
    <s v="45-54"/>
  </r>
  <r>
    <s v="TX0725"/>
    <n v="4068"/>
    <n v="0.19089999999999999"/>
    <x v="4"/>
    <n v="18.332000000000001"/>
    <n v="2.1320000000000001"/>
    <n v="0"/>
    <n v="0"/>
    <x v="3"/>
    <n v="41"/>
    <x v="0"/>
    <x v="3"/>
    <n v="4"/>
    <n v="0"/>
    <n v="8.9540337711069409E-2"/>
    <n v="0.1162993672267074"/>
    <n v="0"/>
    <n v="-1"/>
    <n v="0"/>
    <n v="0"/>
    <s v="35-44"/>
  </r>
  <r>
    <s v="TX0726"/>
    <n v="2621"/>
    <n v="0.15351000000000001"/>
    <x v="3"/>
    <n v="97.69"/>
    <n v="4.7169999999999996"/>
    <n v="0"/>
    <n v="0"/>
    <x v="0"/>
    <n v="41"/>
    <x v="1"/>
    <x v="4"/>
    <s v="Nil"/>
    <n v="0"/>
    <n v="3.2543989824040706E-2"/>
    <n v="4.8285392568328381E-2"/>
    <n v="0"/>
    <n v="-1"/>
    <n v="0"/>
    <n v="0"/>
    <s v="35-44"/>
  </r>
  <r>
    <s v="TX0727"/>
    <n v="8592"/>
    <n v="8.4750000000000006E-2"/>
    <x v="4"/>
    <n v="11.641"/>
    <n v="5.5330000000000004"/>
    <n v="0.18564"/>
    <n v="1"/>
    <x v="2"/>
    <n v="33"/>
    <x v="2"/>
    <x v="3"/>
    <n v="2"/>
    <n v="0.18073377914332187"/>
    <n v="1.5317187782396531E-2"/>
    <n v="0.47530280903702432"/>
    <n v="8.4750000000000006E-2"/>
    <n v="1.190442477876106"/>
    <n v="2.1904424778761062"/>
    <n v="3.355141876016627E-2"/>
    <s v="25-34"/>
  </r>
  <r>
    <s v="TX0728"/>
    <n v="9392"/>
    <n v="5.3769999999999998E-2"/>
    <x v="4"/>
    <n v="94.361999999999995"/>
    <n v="0"/>
    <n v="0"/>
    <n v="0"/>
    <x v="3"/>
    <n v="33"/>
    <x v="1"/>
    <x v="0"/>
    <s v="Nil"/>
    <n v="0"/>
    <n v="0"/>
    <n v="0"/>
    <n v="0"/>
    <n v="-1"/>
    <n v="0"/>
    <n v="0"/>
    <s v="25-34"/>
  </r>
  <r>
    <s v="TX0729"/>
    <n v="5490"/>
    <n v="0.19892000000000001"/>
    <x v="2"/>
    <n v="94.251999999999995"/>
    <n v="2.843"/>
    <n v="0"/>
    <n v="0"/>
    <x v="3"/>
    <n v="32"/>
    <x v="3"/>
    <x v="4"/>
    <n v="4"/>
    <n v="0"/>
    <n v="6.9968343299331701E-2"/>
    <n v="3.0163816152442388E-2"/>
    <n v="0"/>
    <n v="-1"/>
    <n v="0"/>
    <n v="0"/>
    <s v="25-34"/>
  </r>
  <r>
    <s v="TX0730"/>
    <n v="5218"/>
    <n v="8.7720000000000006E-2"/>
    <x v="5"/>
    <n v="62.712000000000003"/>
    <n v="5.0910000000000002"/>
    <n v="0"/>
    <n v="0"/>
    <x v="3"/>
    <n v="41"/>
    <x v="3"/>
    <x v="1"/>
    <n v="2"/>
    <n v="0"/>
    <n v="1.7230406599882144E-2"/>
    <n v="8.1180635285112893E-2"/>
    <n v="0"/>
    <n v="-1"/>
    <n v="0"/>
    <n v="0"/>
    <s v="35-44"/>
  </r>
  <r>
    <s v="TX0731"/>
    <n v="1515"/>
    <n v="4.5679999999999998E-2"/>
    <x v="1"/>
    <n v="61.470999999999997"/>
    <n v="8.5779999999999994"/>
    <n v="0"/>
    <n v="0"/>
    <x v="3"/>
    <n v="38"/>
    <x v="0"/>
    <x v="2"/>
    <n v="4"/>
    <n v="0"/>
    <n v="5.3252506411750992E-3"/>
    <n v="0.13954547672886403"/>
    <n v="0"/>
    <n v="-1"/>
    <n v="0"/>
    <n v="0"/>
    <s v="35-44"/>
  </r>
  <r>
    <s v="TX0732"/>
    <n v="2428"/>
    <n v="5.466E-2"/>
    <x v="0"/>
    <n v="89.192999999999998"/>
    <n v="3.1509999999999998"/>
    <n v="0"/>
    <n v="0"/>
    <x v="0"/>
    <n v="37"/>
    <x v="1"/>
    <x v="4"/>
    <n v="1"/>
    <n v="0"/>
    <n v="1.7346874008251349E-2"/>
    <n v="3.5327884475239088E-2"/>
    <n v="0"/>
    <n v="-1"/>
    <n v="0"/>
    <n v="0"/>
    <s v="35-44"/>
  </r>
  <r>
    <s v="TX0733"/>
    <n v="9765"/>
    <n v="0.14036000000000001"/>
    <x v="4"/>
    <n v="90.224000000000004"/>
    <n v="3.7509999999999999"/>
    <n v="0.47622999999999999"/>
    <n v="1"/>
    <x v="2"/>
    <n v="26"/>
    <x v="3"/>
    <x v="4"/>
    <n v="4"/>
    <n v="0.26659557451346311"/>
    <n v="3.741935483870968E-2"/>
    <n v="4.1574303954601877E-2"/>
    <n v="0.14036000000000001"/>
    <n v="2.3929182103163291"/>
    <n v="3.3929182103163291"/>
    <n v="0.12696081045054652"/>
    <s v="25-34"/>
  </r>
  <r>
    <s v="TX0734"/>
    <n v="2320"/>
    <n v="3.977E-2"/>
    <x v="0"/>
    <n v="63.078000000000003"/>
    <n v="0.55300000000000005"/>
    <n v="0.15082000000000001"/>
    <n v="1"/>
    <x v="2"/>
    <n v="52"/>
    <x v="0"/>
    <x v="0"/>
    <n v="1"/>
    <n v="1.8083182640144664"/>
    <n v="7.1916817359855334E-2"/>
    <n v="8.7669234915501455E-3"/>
    <n v="3.977E-2"/>
    <n v="2.7923057581091277"/>
    <n v="3.7923057581091277"/>
    <n v="0.27273056057866185"/>
    <s v="45-54"/>
  </r>
  <r>
    <s v="TX0735"/>
    <n v="5600"/>
    <n v="0.13897000000000001"/>
    <x v="3"/>
    <n v="55.932000000000002"/>
    <n v="9.7430000000000003"/>
    <n v="0"/>
    <n v="0"/>
    <x v="0"/>
    <n v="47"/>
    <x v="2"/>
    <x v="0"/>
    <n v="3"/>
    <n v="0"/>
    <n v="1.4263573847890794E-2"/>
    <n v="0.17419366373453479"/>
    <n v="0"/>
    <n v="-1"/>
    <n v="0"/>
    <n v="0"/>
    <s v="45-54"/>
  </r>
  <r>
    <s v="TX0736"/>
    <n v="8141"/>
    <n v="0.17763000000000001"/>
    <x v="4"/>
    <n v="1.8120000000000001"/>
    <n v="2.8260000000000001"/>
    <n v="0.36264000000000002"/>
    <n v="1"/>
    <x v="1"/>
    <n v="64"/>
    <x v="1"/>
    <x v="3"/>
    <n v="2"/>
    <n v="0.35385704175513094"/>
    <n v="6.2855626326963912E-2"/>
    <n v="1.5596026490066226"/>
    <n v="0.17763000000000001"/>
    <n v="1.0415470359736532"/>
    <n v="2.0415470359736529"/>
    <n v="0.1283227176220807"/>
    <s v="55+"/>
  </r>
  <r>
    <s v="TX0737"/>
    <n v="9225"/>
    <n v="0.17676"/>
    <x v="1"/>
    <n v="16.571000000000002"/>
    <n v="3.9670000000000001"/>
    <n v="0"/>
    <n v="0"/>
    <x v="5"/>
    <n v="18"/>
    <x v="3"/>
    <x v="3"/>
    <n v="4"/>
    <n v="0"/>
    <n v="4.4557600201663723E-2"/>
    <n v="0.23939412226178261"/>
    <n v="0"/>
    <n v="-1"/>
    <n v="0"/>
    <n v="0"/>
    <s v="18-24"/>
  </r>
  <r>
    <s v="TX0738"/>
    <n v="1412"/>
    <n v="0.15970000000000001"/>
    <x v="0"/>
    <n v="32.631"/>
    <n v="9.0239999999999991"/>
    <n v="0.31431999999999999"/>
    <n v="1"/>
    <x v="3"/>
    <n v="29"/>
    <x v="1"/>
    <x v="1"/>
    <n v="5"/>
    <n v="0.11081560283687944"/>
    <n v="1.7697251773049649E-2"/>
    <n v="0.27654684196009927"/>
    <n v="0.15970000000000001"/>
    <n v="0.96819035691922339"/>
    <n v="1.9681903569192234"/>
    <n v="3.4831560283687946E-2"/>
    <s v="25-34"/>
  </r>
  <r>
    <s v="TX0739"/>
    <n v="9138"/>
    <n v="4.265E-2"/>
    <x v="2"/>
    <n v="62.4"/>
    <n v="9.2759999999999998"/>
    <n v="1.8679999999999999E-2"/>
    <n v="1"/>
    <x v="0"/>
    <n v="53"/>
    <x v="0"/>
    <x v="3"/>
    <n v="1"/>
    <n v="0.10780508840017249"/>
    <n v="4.5978870202673565E-3"/>
    <n v="0.14865384615384616"/>
    <n v="4.265E-2"/>
    <n v="-0.56201641266119584"/>
    <n v="0.43798358733880416"/>
    <n v="2.0137990513152222E-3"/>
    <s v="45-54"/>
  </r>
  <r>
    <s v="TX0740"/>
    <n v="2497"/>
    <n v="0"/>
    <x v="3"/>
    <n v="15.321999999999999"/>
    <n v="3.456"/>
    <n v="0"/>
    <n v="0"/>
    <x v="3"/>
    <n v="32"/>
    <x v="3"/>
    <x v="3"/>
    <s v="Nil"/>
    <n v="0"/>
    <n v="0"/>
    <n v="0.22555802114606449"/>
    <n v="0"/>
    <n v="0"/>
    <n v="0"/>
    <n v="0"/>
    <s v="25-34"/>
  </r>
  <r>
    <s v="TX0741"/>
    <n v="5273"/>
    <n v="0.12442"/>
    <x v="5"/>
    <n v="33.597000000000001"/>
    <n v="7.274"/>
    <n v="0"/>
    <n v="0"/>
    <x v="1"/>
    <n v="39"/>
    <x v="1"/>
    <x v="0"/>
    <n v="2"/>
    <n v="0"/>
    <n v="1.7104756667583175E-2"/>
    <n v="0.21650742625829686"/>
    <n v="0"/>
    <n v="-1"/>
    <n v="0"/>
    <n v="0"/>
    <s v="35-44"/>
  </r>
  <r>
    <s v="TX0742"/>
    <n v="3949"/>
    <n v="0.16209000000000001"/>
    <x v="2"/>
    <n v="8.74"/>
    <n v="9.9700000000000006"/>
    <n v="0"/>
    <n v="0"/>
    <x v="3"/>
    <n v="33"/>
    <x v="2"/>
    <x v="0"/>
    <n v="5"/>
    <n v="0"/>
    <n v="1.6257773319959881E-2"/>
    <n v="1.1407322654462242"/>
    <n v="0"/>
    <n v="-1"/>
    <n v="0"/>
    <n v="0"/>
    <s v="25-34"/>
  </r>
  <r>
    <s v="TX0743"/>
    <n v="8165"/>
    <n v="0.19086"/>
    <x v="3"/>
    <n v="10.29"/>
    <n v="7.3869999999999996"/>
    <n v="0"/>
    <n v="0"/>
    <x v="0"/>
    <n v="49"/>
    <x v="2"/>
    <x v="0"/>
    <n v="5"/>
    <n v="0"/>
    <n v="2.5837281711114123E-2"/>
    <n v="0.7178814382896016"/>
    <n v="0"/>
    <n v="-1"/>
    <n v="0"/>
    <n v="0"/>
    <s v="45-54"/>
  </r>
  <r>
    <s v="TX0744"/>
    <n v="9379"/>
    <n v="5.8090000000000003E-2"/>
    <x v="3"/>
    <n v="55.506999999999998"/>
    <n v="7.9180000000000001"/>
    <n v="0"/>
    <n v="0"/>
    <x v="4"/>
    <n v="34"/>
    <x v="2"/>
    <x v="2"/>
    <n v="3"/>
    <n v="0"/>
    <n v="7.3364485981308415E-3"/>
    <n v="0.14264867494189923"/>
    <n v="0"/>
    <n v="-1"/>
    <n v="0"/>
    <n v="0"/>
    <s v="25-34"/>
  </r>
  <r>
    <s v="TX0745"/>
    <n v="8587"/>
    <n v="0.14688000000000001"/>
    <x v="3"/>
    <n v="80.503"/>
    <n v="7.2039999999999997"/>
    <n v="0.31563999999999998"/>
    <n v="1"/>
    <x v="0"/>
    <n v="65"/>
    <x v="1"/>
    <x v="0"/>
    <n v="1"/>
    <n v="0.13881177123820101"/>
    <n v="2.0388672959466964E-2"/>
    <n v="8.948734829757897E-2"/>
    <n v="0.14688000000000001"/>
    <n v="1.1489651416122002"/>
    <n v="2.1489651416122002"/>
    <n v="4.3814547473625759E-2"/>
    <s v="55+"/>
  </r>
  <r>
    <s v="TX0746"/>
    <n v="5462"/>
    <n v="0.19073999999999999"/>
    <x v="3"/>
    <n v="38.570999999999998"/>
    <n v="1.19"/>
    <n v="0"/>
    <n v="0"/>
    <x v="1"/>
    <n v="34"/>
    <x v="0"/>
    <x v="3"/>
    <n v="2"/>
    <n v="0"/>
    <n v="0.16028571428571428"/>
    <n v="3.0852194654014675E-2"/>
    <n v="0"/>
    <n v="-1"/>
    <n v="0"/>
    <n v="0"/>
    <s v="25-34"/>
  </r>
  <r>
    <s v="TX0747"/>
    <n v="8876"/>
    <n v="0.17576"/>
    <x v="5"/>
    <n v="68.962000000000003"/>
    <n v="1.0529999999999999"/>
    <n v="0.44724000000000003"/>
    <n v="1"/>
    <x v="3"/>
    <n v="52"/>
    <x v="3"/>
    <x v="3"/>
    <n v="2"/>
    <n v="0.94966761633428309"/>
    <n v="0.16691358024691358"/>
    <n v="1.5269278733215392E-2"/>
    <n v="0.17576"/>
    <n v="1.5446062812926722"/>
    <n v="2.5446062812926722"/>
    <n v="0.42472934472934476"/>
    <s v="45-54"/>
  </r>
  <r>
    <s v="TX0748"/>
    <n v="2962"/>
    <n v="0.10979999999999999"/>
    <x v="2"/>
    <n v="94.616"/>
    <n v="5.8390000000000004"/>
    <n v="0"/>
    <n v="0"/>
    <x v="5"/>
    <n v="23"/>
    <x v="2"/>
    <x v="2"/>
    <n v="1"/>
    <n v="0"/>
    <n v="1.8804589827025174E-2"/>
    <n v="6.1712606747273191E-2"/>
    <n v="0"/>
    <n v="-1"/>
    <n v="0"/>
    <n v="0"/>
    <s v="18-24"/>
  </r>
  <r>
    <s v="TX0749"/>
    <n v="7552"/>
    <n v="7.2169999999999998E-2"/>
    <x v="0"/>
    <n v="43.048000000000002"/>
    <n v="5.6130000000000004"/>
    <n v="0"/>
    <n v="0"/>
    <x v="4"/>
    <n v="23"/>
    <x v="2"/>
    <x v="3"/>
    <n v="3"/>
    <n v="0"/>
    <n v="1.2857651879565293E-2"/>
    <n v="0.13038933283776249"/>
    <n v="0"/>
    <n v="-1"/>
    <n v="0"/>
    <n v="0"/>
    <s v="18-24"/>
  </r>
  <r>
    <s v="TX0750"/>
    <n v="3413"/>
    <n v="0.1081"/>
    <x v="4"/>
    <n v="46.536000000000001"/>
    <n v="9.5210000000000008"/>
    <n v="0"/>
    <n v="0"/>
    <x v="1"/>
    <n v="32"/>
    <x v="3"/>
    <x v="2"/>
    <n v="5"/>
    <n v="0"/>
    <n v="1.1353849385568743E-2"/>
    <n v="0.20459429259068249"/>
    <n v="0"/>
    <n v="-1"/>
    <n v="0"/>
    <n v="0"/>
    <s v="25-34"/>
  </r>
  <r>
    <s v="TX0751"/>
    <n v="7728"/>
    <n v="0.14326"/>
    <x v="1"/>
    <n v="90.521000000000001"/>
    <n v="7.1840000000000002"/>
    <n v="0"/>
    <n v="0"/>
    <x v="0"/>
    <n v="32"/>
    <x v="3"/>
    <x v="2"/>
    <s v="Nil"/>
    <n v="0"/>
    <n v="1.994153674832962E-2"/>
    <n v="7.9362799792313393E-2"/>
    <n v="0"/>
    <n v="-1"/>
    <n v="0"/>
    <n v="0"/>
    <s v="25-34"/>
  </r>
  <r>
    <s v="TX0752"/>
    <n v="7236"/>
    <n v="0.19106000000000001"/>
    <x v="2"/>
    <n v="2.5289999999999999"/>
    <n v="4.8339999999999996"/>
    <n v="0.11555"/>
    <n v="1"/>
    <x v="0"/>
    <n v="64"/>
    <x v="1"/>
    <x v="3"/>
    <n v="3"/>
    <n v="0.20686801820438561"/>
    <n v="3.9524203558129918E-2"/>
    <n v="1.911427441676552"/>
    <n v="0.19106000000000001"/>
    <n v="-0.39521616246205382"/>
    <n v="0.60478383753794618"/>
    <n v="2.3903599503516757E-2"/>
    <s v="55+"/>
  </r>
  <r>
    <s v="TX0753"/>
    <n v="2691"/>
    <n v="6.4390000000000003E-2"/>
    <x v="1"/>
    <n v="97.38"/>
    <n v="4.7670000000000003"/>
    <n v="0"/>
    <n v="0"/>
    <x v="3"/>
    <n v="41"/>
    <x v="0"/>
    <x v="1"/>
    <n v="4"/>
    <n v="0"/>
    <n v="1.3507447031676107E-2"/>
    <n v="4.8952556993222436E-2"/>
    <n v="0"/>
    <n v="-1"/>
    <n v="0"/>
    <n v="0"/>
    <s v="35-44"/>
  </r>
  <r>
    <s v="TX0754"/>
    <n v="8727"/>
    <n v="7.4620000000000006E-2"/>
    <x v="3"/>
    <n v="32.366"/>
    <n v="7.2469999999999999"/>
    <n v="0"/>
    <n v="0"/>
    <x v="0"/>
    <n v="63"/>
    <x v="3"/>
    <x v="3"/>
    <n v="1"/>
    <n v="0"/>
    <n v="1.0296674485994205E-2"/>
    <n v="0.22390780448618922"/>
    <n v="0"/>
    <n v="-1"/>
    <n v="0"/>
    <n v="0"/>
    <s v="55+"/>
  </r>
  <r>
    <s v="TX0755"/>
    <n v="9003"/>
    <n v="7.2279999999999997E-2"/>
    <x v="0"/>
    <n v="60.02"/>
    <n v="6.234"/>
    <n v="0"/>
    <n v="0"/>
    <x v="3"/>
    <n v="43"/>
    <x v="1"/>
    <x v="0"/>
    <n v="5"/>
    <n v="0"/>
    <n v="1.1594481873596406E-2"/>
    <n v="0.10386537820726424"/>
    <n v="0"/>
    <n v="-1"/>
    <n v="0"/>
    <n v="0"/>
    <s v="35-44"/>
  </r>
  <r>
    <s v="TX0756"/>
    <n v="2084"/>
    <n v="0.19289000000000001"/>
    <x v="2"/>
    <n v="72.793000000000006"/>
    <n v="1.5669999999999999"/>
    <n v="0.10294"/>
    <n v="1"/>
    <x v="1"/>
    <n v="21"/>
    <x v="2"/>
    <x v="2"/>
    <s v="Nil"/>
    <n v="0.63816209317166561"/>
    <n v="0.12309508615188258"/>
    <n v="2.1526795158875164E-2"/>
    <n v="0.19289000000000001"/>
    <n v="-0.46632795894032869"/>
    <n v="0.53367204105967136"/>
    <n v="6.5692405871091264E-2"/>
    <s v="18-24"/>
  </r>
  <r>
    <s v="TX0757"/>
    <n v="1518"/>
    <n v="0.13716999999999999"/>
    <x v="5"/>
    <n v="85.441999999999993"/>
    <n v="2.1560000000000001"/>
    <n v="0"/>
    <n v="0"/>
    <x v="1"/>
    <n v="55"/>
    <x v="2"/>
    <x v="2"/>
    <n v="1"/>
    <n v="0"/>
    <n v="6.3622448979591822E-2"/>
    <n v="2.5233491725380964E-2"/>
    <n v="0"/>
    <n v="-1"/>
    <n v="0"/>
    <n v="0"/>
    <s v="55+"/>
  </r>
  <r>
    <s v="TX0758"/>
    <n v="1083"/>
    <n v="8.1900000000000001E-2"/>
    <x v="0"/>
    <n v="96.543000000000006"/>
    <n v="5.0839999999999996"/>
    <n v="0.26402999999999999"/>
    <n v="1"/>
    <x v="3"/>
    <n v="39"/>
    <x v="2"/>
    <x v="4"/>
    <n v="4"/>
    <n v="0.19669551534225022"/>
    <n v="1.6109362706530291E-2"/>
    <n v="5.2660472535554101E-2"/>
    <n v="8.1900000000000001E-2"/>
    <n v="2.2238095238095235"/>
    <n v="3.2238095238095235"/>
    <n v="5.1933516915814319E-2"/>
    <s v="35-44"/>
  </r>
  <r>
    <s v="TX0759"/>
    <n v="6213"/>
    <n v="2.171E-2"/>
    <x v="3"/>
    <n v="82.484999999999999"/>
    <n v="1.3140000000000001"/>
    <n v="0"/>
    <n v="0"/>
    <x v="1"/>
    <n v="56"/>
    <x v="0"/>
    <x v="2"/>
    <n v="2"/>
    <n v="0"/>
    <n v="1.65220700152207E-2"/>
    <n v="1.5930169121658483E-2"/>
    <n v="0"/>
    <n v="-1"/>
    <n v="0"/>
    <n v="0"/>
    <s v="55+"/>
  </r>
  <r>
    <s v="TX0760"/>
    <n v="4376"/>
    <n v="0"/>
    <x v="1"/>
    <n v="14.122"/>
    <n v="5.718"/>
    <n v="0"/>
    <n v="0"/>
    <x v="0"/>
    <n v="19"/>
    <x v="0"/>
    <x v="4"/>
    <n v="4"/>
    <n v="0"/>
    <n v="0"/>
    <n v="0.40490015578529953"/>
    <n v="0"/>
    <n v="0"/>
    <n v="0"/>
    <n v="0"/>
    <s v="18-24"/>
  </r>
  <r>
    <s v="TX0761"/>
    <n v="9931"/>
    <n v="2.9239999999999999E-2"/>
    <x v="2"/>
    <n v="44.651000000000003"/>
    <n v="5.72"/>
    <n v="6.7290000000000003E-2"/>
    <n v="1"/>
    <x v="0"/>
    <n v="36"/>
    <x v="0"/>
    <x v="1"/>
    <n v="1"/>
    <n v="0.17482517482517484"/>
    <n v="5.1118881118881118E-3"/>
    <n v="0.1281046337148104"/>
    <n v="2.9239999999999999E-2"/>
    <n v="1.3012995896032833"/>
    <n v="2.3012995896032833"/>
    <n v="1.1763986013986014E-2"/>
    <s v="35-44"/>
  </r>
  <r>
    <s v="TX0762"/>
    <n v="3949"/>
    <n v="6.2260000000000003E-2"/>
    <x v="0"/>
    <n v="24.59"/>
    <n v="0.52"/>
    <n v="0"/>
    <n v="0"/>
    <x v="4"/>
    <n v="55"/>
    <x v="2"/>
    <x v="1"/>
    <n v="4"/>
    <n v="0"/>
    <n v="0.11973076923076924"/>
    <n v="2.1146807645384305E-2"/>
    <n v="0"/>
    <n v="-1"/>
    <n v="0"/>
    <n v="0"/>
    <s v="55+"/>
  </r>
  <r>
    <s v="TX0763"/>
    <n v="5892"/>
    <n v="0.14066999999999999"/>
    <x v="2"/>
    <n v="65.486000000000004"/>
    <n v="4.3129999999999997"/>
    <n v="0"/>
    <n v="0"/>
    <x v="4"/>
    <n v="32"/>
    <x v="3"/>
    <x v="1"/>
    <n v="3"/>
    <n v="0"/>
    <n v="3.2615348945049846E-2"/>
    <n v="6.5861405491250025E-2"/>
    <n v="0"/>
    <n v="-1"/>
    <n v="0"/>
    <n v="0"/>
    <s v="25-34"/>
  </r>
  <r>
    <s v="TX0764"/>
    <n v="7918"/>
    <n v="0"/>
    <x v="0"/>
    <n v="41.212000000000003"/>
    <n v="6.2169999999999996"/>
    <n v="0"/>
    <n v="0"/>
    <x v="4"/>
    <n v="51"/>
    <x v="0"/>
    <x v="2"/>
    <n v="3"/>
    <n v="0"/>
    <n v="0"/>
    <n v="0.15085412015917693"/>
    <n v="0"/>
    <n v="0"/>
    <n v="0"/>
    <n v="0"/>
    <s v="45-54"/>
  </r>
  <r>
    <s v="TX0765"/>
    <n v="5744"/>
    <n v="7.1330000000000005E-2"/>
    <x v="0"/>
    <n v="59.052999999999997"/>
    <n v="9.0830000000000002"/>
    <n v="0.39977000000000001"/>
    <n v="1"/>
    <x v="4"/>
    <n v="40"/>
    <x v="2"/>
    <x v="3"/>
    <n v="2"/>
    <n v="0.1100957833314984"/>
    <n v="7.8531322250357822E-3"/>
    <n v="0.15381098335393631"/>
    <n v="7.1330000000000005E-2"/>
    <n v="4.6045142296368988"/>
    <n v="5.6045142296368988"/>
    <n v="4.4012991302433115E-2"/>
    <s v="35-44"/>
  </r>
  <r>
    <s v="TX0766"/>
    <n v="5125"/>
    <n v="9.5710000000000003E-2"/>
    <x v="0"/>
    <n v="22.905999999999999"/>
    <n v="2.0470000000000002"/>
    <n v="0"/>
    <n v="0"/>
    <x v="1"/>
    <n v="52"/>
    <x v="2"/>
    <x v="1"/>
    <n v="2"/>
    <n v="0"/>
    <n v="4.6756228627259401E-2"/>
    <n v="8.9365231816991186E-2"/>
    <n v="0"/>
    <n v="-1"/>
    <n v="0"/>
    <n v="0"/>
    <s v="45-54"/>
  </r>
  <r>
    <s v="TX0767"/>
    <n v="1925"/>
    <n v="0"/>
    <x v="2"/>
    <n v="16.454000000000001"/>
    <n v="0.96499999999999997"/>
    <n v="6.4829999999999999E-2"/>
    <n v="1"/>
    <x v="5"/>
    <n v="55"/>
    <x v="2"/>
    <x v="2"/>
    <n v="1"/>
    <n v="1.0362694300518136"/>
    <n v="0"/>
    <n v="5.8648352984076814E-2"/>
    <n v="0"/>
    <n v="0"/>
    <e v="#DIV/0!"/>
    <n v="6.7181347150259071E-2"/>
    <s v="55+"/>
  </r>
  <r>
    <s v="TX0768"/>
    <n v="6107"/>
    <n v="1.653E-2"/>
    <x v="3"/>
    <n v="3.9550000000000001"/>
    <n v="2.6320000000000001"/>
    <n v="0"/>
    <n v="0"/>
    <x v="2"/>
    <n v="38"/>
    <x v="1"/>
    <x v="3"/>
    <n v="4"/>
    <n v="0"/>
    <n v="6.2803951367781151E-3"/>
    <n v="0.6654867256637168"/>
    <n v="0"/>
    <n v="-1"/>
    <n v="0"/>
    <n v="0"/>
    <s v="35-44"/>
  </r>
  <r>
    <s v="TX0769"/>
    <n v="7054"/>
    <n v="0"/>
    <x v="1"/>
    <n v="13.747"/>
    <n v="2.528"/>
    <n v="0"/>
    <n v="0"/>
    <x v="5"/>
    <n v="26"/>
    <x v="0"/>
    <x v="2"/>
    <n v="5"/>
    <n v="0"/>
    <n v="0"/>
    <n v="0.18389466792754783"/>
    <n v="0"/>
    <n v="0"/>
    <n v="0"/>
    <n v="0"/>
    <s v="25-34"/>
  </r>
  <r>
    <s v="TX0770"/>
    <n v="9068"/>
    <n v="0.12391000000000001"/>
    <x v="1"/>
    <n v="65.817999999999998"/>
    <n v="9.5619999999999994"/>
    <n v="0"/>
    <n v="0"/>
    <x v="4"/>
    <n v="64"/>
    <x v="1"/>
    <x v="1"/>
    <n v="1"/>
    <n v="0"/>
    <n v="1.2958586069859864E-2"/>
    <n v="0.14527940684919019"/>
    <n v="0"/>
    <n v="-1"/>
    <n v="0"/>
    <n v="0"/>
    <s v="55+"/>
  </r>
  <r>
    <s v="TX0771"/>
    <n v="6581"/>
    <n v="0.14038"/>
    <x v="3"/>
    <n v="39.869"/>
    <n v="2.8980000000000001"/>
    <n v="0"/>
    <n v="0"/>
    <x v="1"/>
    <n v="19"/>
    <x v="3"/>
    <x v="4"/>
    <n v="3"/>
    <n v="0"/>
    <n v="4.8440303657694958E-2"/>
    <n v="7.2688053374802483E-2"/>
    <n v="0"/>
    <n v="-1"/>
    <n v="0"/>
    <n v="0"/>
    <s v="18-24"/>
  </r>
  <r>
    <s v="TX0772"/>
    <n v="1764"/>
    <n v="5.5079999999999997E-2"/>
    <x v="3"/>
    <n v="53.918999999999997"/>
    <n v="8.1959999999999997"/>
    <n v="0"/>
    <n v="0"/>
    <x v="1"/>
    <n v="22"/>
    <x v="0"/>
    <x v="2"/>
    <n v="2"/>
    <n v="0"/>
    <n v="6.7203513909224006E-3"/>
    <n v="0.15200578645746399"/>
    <n v="0"/>
    <n v="-1"/>
    <n v="0"/>
    <n v="0"/>
    <s v="18-24"/>
  </r>
  <r>
    <s v="TX0773"/>
    <n v="3533"/>
    <n v="0"/>
    <x v="4"/>
    <n v="83.456000000000003"/>
    <n v="1.6779999999999999"/>
    <n v="0"/>
    <n v="1"/>
    <x v="0"/>
    <n v="27"/>
    <x v="0"/>
    <x v="1"/>
    <n v="3"/>
    <n v="0.59594755661501786"/>
    <n v="0"/>
    <n v="2.0106403374233129E-2"/>
    <n v="0"/>
    <n v="0"/>
    <n v="0"/>
    <n v="0"/>
    <s v="25-34"/>
  </r>
  <r>
    <s v="TX0774"/>
    <n v="6827"/>
    <n v="0.13866999999999999"/>
    <x v="0"/>
    <n v="80.769000000000005"/>
    <n v="0"/>
    <n v="0"/>
    <n v="0"/>
    <x v="2"/>
    <n v="49"/>
    <x v="1"/>
    <x v="2"/>
    <n v="4"/>
    <n v="0"/>
    <n v="0"/>
    <n v="0"/>
    <n v="0"/>
    <n v="-1"/>
    <n v="0"/>
    <n v="0"/>
    <s v="45-54"/>
  </r>
  <r>
    <s v="TX0775"/>
    <n v="9083"/>
    <n v="0.18983"/>
    <x v="2"/>
    <n v="90.731999999999999"/>
    <n v="4.0670000000000002"/>
    <n v="0"/>
    <n v="0"/>
    <x v="4"/>
    <n v="38"/>
    <x v="2"/>
    <x v="1"/>
    <n v="2"/>
    <n v="0"/>
    <n v="4.6675682321121216E-2"/>
    <n v="4.4824317771017946E-2"/>
    <n v="0"/>
    <n v="-1"/>
    <n v="0"/>
    <n v="0"/>
    <s v="35-44"/>
  </r>
  <r>
    <s v="TX0776"/>
    <n v="7516"/>
    <n v="0"/>
    <x v="3"/>
    <n v="20.373999999999999"/>
    <n v="3.3069999999999999"/>
    <n v="0"/>
    <n v="0"/>
    <x v="3"/>
    <n v="29"/>
    <x v="0"/>
    <x v="3"/>
    <n v="1"/>
    <n v="0"/>
    <n v="0"/>
    <n v="0.16231471483262983"/>
    <n v="0"/>
    <n v="0"/>
    <n v="0"/>
    <n v="0"/>
    <s v="25-34"/>
  </r>
  <r>
    <s v="TX0777"/>
    <n v="8980"/>
    <n v="0.11405"/>
    <x v="1"/>
    <n v="64.853999999999999"/>
    <n v="6.8819999999999997"/>
    <n v="0"/>
    <n v="0"/>
    <x v="2"/>
    <n v="34"/>
    <x v="2"/>
    <x v="0"/>
    <n v="5"/>
    <n v="0"/>
    <n v="1.6572217378668992E-2"/>
    <n v="0.10611527430844667"/>
    <n v="0"/>
    <n v="-1"/>
    <n v="0"/>
    <n v="0"/>
    <s v="25-34"/>
  </r>
  <r>
    <s v="TX0778"/>
    <n v="2837"/>
    <n v="0.17987"/>
    <x v="1"/>
    <n v="87.203999999999994"/>
    <n v="6.6120000000000001"/>
    <n v="0"/>
    <n v="0"/>
    <x v="4"/>
    <n v="33"/>
    <x v="1"/>
    <x v="1"/>
    <n v="2"/>
    <n v="0"/>
    <n v="2.7203569267997579E-2"/>
    <n v="7.5822209990367415E-2"/>
    <n v="0"/>
    <n v="-1"/>
    <n v="0"/>
    <n v="0"/>
    <s v="25-34"/>
  </r>
  <r>
    <s v="TX0779"/>
    <n v="6636"/>
    <n v="6.3930000000000001E-2"/>
    <x v="4"/>
    <n v="5.202"/>
    <n v="2.7629999999999999"/>
    <n v="0"/>
    <n v="1"/>
    <x v="0"/>
    <n v="41"/>
    <x v="2"/>
    <x v="4"/>
    <n v="1"/>
    <n v="0.36192544335866811"/>
    <n v="2.3137893593919653E-2"/>
    <n v="0.53114186851211076"/>
    <n v="6.3930000000000001E-2"/>
    <n v="-1"/>
    <n v="0"/>
    <n v="0"/>
    <s v="35-44"/>
  </r>
  <r>
    <s v="TX0780"/>
    <n v="6217"/>
    <n v="0.18773000000000001"/>
    <x v="1"/>
    <n v="24.202000000000002"/>
    <n v="6.859"/>
    <n v="0"/>
    <n v="0"/>
    <x v="1"/>
    <n v="26"/>
    <x v="1"/>
    <x v="0"/>
    <n v="4"/>
    <n v="0"/>
    <n v="2.7369878991106576E-2"/>
    <n v="0.28340633005536731"/>
    <n v="0"/>
    <n v="-1"/>
    <n v="0"/>
    <n v="0"/>
    <s v="25-34"/>
  </r>
  <r>
    <s v="TX0781"/>
    <n v="6178"/>
    <n v="0.19313"/>
    <x v="0"/>
    <n v="34.536999999999999"/>
    <n v="4.3339999999999996"/>
    <n v="0"/>
    <n v="0"/>
    <x v="4"/>
    <n v="62"/>
    <x v="1"/>
    <x v="2"/>
    <n v="2"/>
    <n v="0"/>
    <n v="4.4561605906783576E-2"/>
    <n v="0.12548860642209803"/>
    <n v="0"/>
    <n v="-1"/>
    <n v="0"/>
    <n v="0"/>
    <s v="55+"/>
  </r>
  <r>
    <s v="TX0782"/>
    <n v="7086"/>
    <n v="5.6590000000000001E-2"/>
    <x v="4"/>
    <n v="15.442"/>
    <n v="6.2859999999999996"/>
    <n v="0"/>
    <n v="0"/>
    <x v="3"/>
    <n v="56"/>
    <x v="1"/>
    <x v="3"/>
    <n v="1"/>
    <n v="0"/>
    <n v="9.0025453388482349E-3"/>
    <n v="0.4070716228467815"/>
    <n v="0"/>
    <n v="-1"/>
    <n v="0"/>
    <n v="0"/>
    <s v="55+"/>
  </r>
  <r>
    <s v="TX0783"/>
    <n v="3618"/>
    <n v="0.17607"/>
    <x v="5"/>
    <n v="73.23"/>
    <n v="2.1269999999999998"/>
    <n v="0"/>
    <n v="0"/>
    <x v="3"/>
    <n v="34"/>
    <x v="3"/>
    <x v="2"/>
    <n v="3"/>
    <n v="0"/>
    <n v="8.2778561354019758E-2"/>
    <n v="2.9045473166734941E-2"/>
    <n v="0"/>
    <n v="-1"/>
    <n v="0"/>
    <n v="0"/>
    <s v="25-34"/>
  </r>
  <r>
    <s v="TX0784"/>
    <n v="6477"/>
    <n v="0.15326000000000001"/>
    <x v="2"/>
    <n v="46.683"/>
    <n v="2.7280000000000002"/>
    <n v="0"/>
    <n v="0"/>
    <x v="0"/>
    <n v="60"/>
    <x v="1"/>
    <x v="0"/>
    <n v="2"/>
    <n v="0"/>
    <n v="5.6180351906158353E-2"/>
    <n v="5.8436690015637387E-2"/>
    <n v="0"/>
    <n v="-1"/>
    <n v="0"/>
    <n v="0"/>
    <s v="55+"/>
  </r>
  <r>
    <s v="TX0785"/>
    <n v="5530"/>
    <n v="0.15179000000000001"/>
    <x v="1"/>
    <n v="62.523000000000003"/>
    <n v="4.6890000000000001"/>
    <n v="0"/>
    <n v="0"/>
    <x v="0"/>
    <n v="23"/>
    <x v="0"/>
    <x v="2"/>
    <n v="2"/>
    <n v="0"/>
    <n v="3.2371507784175732E-2"/>
    <n v="7.499640132431265E-2"/>
    <n v="0"/>
    <n v="-1"/>
    <n v="0"/>
    <n v="0"/>
    <s v="18-24"/>
  </r>
  <r>
    <s v="TX0786"/>
    <n v="7275"/>
    <n v="3.9849999999999997E-2"/>
    <x v="3"/>
    <n v="53.454999999999998"/>
    <n v="8.2189999999999994"/>
    <n v="0"/>
    <n v="0"/>
    <x v="0"/>
    <n v="65"/>
    <x v="2"/>
    <x v="3"/>
    <n v="3"/>
    <n v="0"/>
    <n v="4.848521717970556E-3"/>
    <n v="0.1537554952764007"/>
    <n v="0"/>
    <n v="-1"/>
    <n v="0"/>
    <n v="0"/>
    <s v="55+"/>
  </r>
  <r>
    <s v="TX0787"/>
    <n v="1088"/>
    <n v="2.5260000000000001E-2"/>
    <x v="2"/>
    <n v="5.0140000000000002"/>
    <n v="0.77"/>
    <n v="0.36286000000000002"/>
    <n v="1"/>
    <x v="1"/>
    <n v="46"/>
    <x v="1"/>
    <x v="2"/>
    <s v="Nil"/>
    <n v="1.2987012987012987"/>
    <n v="3.2805194805194809E-2"/>
    <n v="0.15357000398883128"/>
    <n v="2.5260000000000001E-2"/>
    <n v="13.365003958828186"/>
    <n v="14.365003958828186"/>
    <n v="0.47124675324675325"/>
    <s v="45-54"/>
  </r>
  <r>
    <s v="TX0788"/>
    <n v="6081"/>
    <n v="0.15173"/>
    <x v="3"/>
    <n v="59.167000000000002"/>
    <n v="0.182"/>
    <n v="0.33195000000000002"/>
    <n v="1"/>
    <x v="0"/>
    <n v="20"/>
    <x v="2"/>
    <x v="0"/>
    <n v="2"/>
    <n v="5.4945054945054945"/>
    <n v="0.83368131868131867"/>
    <n v="3.0760390082309394E-3"/>
    <n v="0.15173"/>
    <n v="1.187767745337112"/>
    <n v="2.187767745337112"/>
    <n v="1.8239010989010991"/>
    <s v="18-24"/>
  </r>
  <r>
    <s v="TX0789"/>
    <n v="8177"/>
    <n v="0"/>
    <x v="0"/>
    <n v="68.741"/>
    <n v="6.391"/>
    <n v="4.1509999999999998E-2"/>
    <n v="1"/>
    <x v="1"/>
    <n v="36"/>
    <x v="2"/>
    <x v="0"/>
    <n v="4"/>
    <n v="0.15647003598810827"/>
    <n v="0"/>
    <n v="9.2972170902372669E-2"/>
    <n v="0"/>
    <n v="0"/>
    <e v="#DIV/0!"/>
    <n v="6.4950711938663742E-3"/>
    <s v="35-44"/>
  </r>
  <r>
    <s v="TX0790"/>
    <n v="9276"/>
    <n v="0"/>
    <x v="2"/>
    <n v="5.7519999999999998"/>
    <n v="7.1970000000000001"/>
    <n v="0"/>
    <n v="0"/>
    <x v="2"/>
    <n v="28"/>
    <x v="3"/>
    <x v="3"/>
    <n v="3"/>
    <n v="0"/>
    <n v="0"/>
    <n v="1.2512169680111267"/>
    <n v="0"/>
    <n v="0"/>
    <n v="0"/>
    <n v="0"/>
    <s v="25-34"/>
  </r>
  <r>
    <s v="TX0791"/>
    <n v="7773"/>
    <n v="7.2459999999999997E-2"/>
    <x v="0"/>
    <n v="48.28"/>
    <n v="7.6539999999999999"/>
    <n v="0"/>
    <n v="0"/>
    <x v="0"/>
    <n v="52"/>
    <x v="1"/>
    <x v="2"/>
    <n v="3"/>
    <n v="0"/>
    <n v="9.4669453880324005E-3"/>
    <n v="0.15853355426677712"/>
    <n v="0"/>
    <n v="-1"/>
    <n v="0"/>
    <n v="0"/>
    <s v="45-54"/>
  </r>
  <r>
    <s v="TX0792"/>
    <n v="6821"/>
    <n v="9.1380000000000003E-2"/>
    <x v="1"/>
    <n v="98.28"/>
    <n v="1.929"/>
    <n v="0"/>
    <n v="0"/>
    <x v="1"/>
    <n v="62"/>
    <x v="3"/>
    <x v="1"/>
    <s v="Nil"/>
    <n v="0"/>
    <n v="4.7371695178849142E-2"/>
    <n v="1.9627594627594627E-2"/>
    <n v="0"/>
    <n v="-1"/>
    <n v="0"/>
    <n v="0"/>
    <s v="55+"/>
  </r>
  <r>
    <s v="TX0793"/>
    <n v="7000"/>
    <n v="0.13951"/>
    <x v="0"/>
    <n v="72.411000000000001"/>
    <n v="0.439"/>
    <n v="0.36152000000000001"/>
    <n v="1"/>
    <x v="2"/>
    <n v="62"/>
    <x v="2"/>
    <x v="4"/>
    <n v="4"/>
    <n v="2.2779043280182232"/>
    <n v="0.31779043280182229"/>
    <n v="6.0626147960945159E-3"/>
    <n v="0.13951"/>
    <n v="1.5913554583900797"/>
    <n v="2.5913554583900797"/>
    <n v="0.82350797266514808"/>
    <s v="55+"/>
  </r>
  <r>
    <s v="TX0794"/>
    <n v="5088"/>
    <n v="1.391E-2"/>
    <x v="3"/>
    <n v="41.722999999999999"/>
    <n v="8.4120000000000008"/>
    <n v="0"/>
    <n v="0"/>
    <x v="3"/>
    <n v="28"/>
    <x v="2"/>
    <x v="4"/>
    <n v="2"/>
    <n v="0"/>
    <n v="1.65359010936757E-3"/>
    <n v="0.2016154159576253"/>
    <n v="0"/>
    <n v="-1"/>
    <n v="0"/>
    <n v="0"/>
    <s v="25-34"/>
  </r>
  <r>
    <s v="TX0795"/>
    <n v="9879"/>
    <n v="0.13908000000000001"/>
    <x v="5"/>
    <n v="87.03"/>
    <n v="2.1040000000000001"/>
    <n v="0"/>
    <n v="0"/>
    <x v="3"/>
    <n v="39"/>
    <x v="1"/>
    <x v="4"/>
    <n v="2"/>
    <n v="0"/>
    <n v="6.610266159695817E-2"/>
    <n v="2.4175571641962542E-2"/>
    <n v="0"/>
    <n v="-1"/>
    <n v="0"/>
    <n v="0"/>
    <s v="35-44"/>
  </r>
  <r>
    <s v="TX0796"/>
    <n v="3491"/>
    <n v="4.6120000000000001E-2"/>
    <x v="3"/>
    <n v="65.174999999999997"/>
    <n v="9.4239999999999995"/>
    <n v="0"/>
    <n v="0"/>
    <x v="2"/>
    <n v="46"/>
    <x v="1"/>
    <x v="1"/>
    <n v="3"/>
    <n v="0"/>
    <n v="4.8938879456706282E-3"/>
    <n v="0.14459532029152283"/>
    <n v="0"/>
    <n v="-1"/>
    <n v="0"/>
    <n v="0"/>
    <s v="45-54"/>
  </r>
  <r>
    <s v="TX0797"/>
    <n v="5779"/>
    <n v="6.1330000000000003E-2"/>
    <x v="4"/>
    <n v="68.320999999999998"/>
    <n v="0"/>
    <n v="0"/>
    <n v="0"/>
    <x v="1"/>
    <n v="64"/>
    <x v="0"/>
    <x v="3"/>
    <n v="2"/>
    <n v="0"/>
    <n v="0"/>
    <n v="0"/>
    <n v="0"/>
    <n v="-1"/>
    <n v="0"/>
    <n v="0"/>
    <s v="55+"/>
  </r>
  <r>
    <s v="TX0798"/>
    <n v="2266"/>
    <n v="9.1759999999999994E-2"/>
    <x v="4"/>
    <n v="42.237000000000002"/>
    <n v="1.302"/>
    <n v="0"/>
    <n v="0"/>
    <x v="0"/>
    <n v="36"/>
    <x v="3"/>
    <x v="3"/>
    <n v="3"/>
    <n v="0"/>
    <n v="7.047619047619047E-2"/>
    <n v="3.0826052986717808E-2"/>
    <n v="0"/>
    <n v="-1"/>
    <n v="0"/>
    <n v="0"/>
    <s v="35-44"/>
  </r>
  <r>
    <s v="TX0799"/>
    <n v="7176"/>
    <n v="0.18739"/>
    <x v="5"/>
    <n v="99.793999999999997"/>
    <n v="0.96199999999999997"/>
    <n v="0.12936"/>
    <n v="1"/>
    <x v="1"/>
    <n v="38"/>
    <x v="3"/>
    <x v="3"/>
    <s v="Nil"/>
    <n v="1.0395010395010396"/>
    <n v="0.1947920997920998"/>
    <n v="9.6398581077018659E-3"/>
    <n v="0.18739"/>
    <n v="-0.30967500933881209"/>
    <n v="0.69032499066118791"/>
    <n v="0.13446985446985449"/>
    <s v="35-44"/>
  </r>
  <r>
    <s v="TX0800"/>
    <n v="2555"/>
    <n v="9.8030000000000006E-2"/>
    <x v="0"/>
    <n v="96.105999999999995"/>
    <n v="8.4329999999999998"/>
    <n v="0.33606000000000003"/>
    <n v="1"/>
    <x v="5"/>
    <n v="37"/>
    <x v="2"/>
    <x v="4"/>
    <n v="4"/>
    <n v="0.11858176212498518"/>
    <n v="1.1624570141112298E-2"/>
    <n v="8.7746862838948669E-2"/>
    <n v="9.8030000000000006E-2"/>
    <n v="2.4281342446189944"/>
    <n v="3.4281342446189944"/>
    <n v="3.9850586979722526E-2"/>
    <s v="35-44"/>
  </r>
  <r>
    <s v="TX0801"/>
    <n v="3349"/>
    <n v="0.16350999999999999"/>
    <x v="4"/>
    <n v="45.621000000000002"/>
    <n v="0"/>
    <n v="0"/>
    <n v="0"/>
    <x v="2"/>
    <n v="57"/>
    <x v="1"/>
    <x v="2"/>
    <n v="1"/>
    <n v="0"/>
    <n v="0"/>
    <n v="0"/>
    <n v="0"/>
    <n v="-1"/>
    <n v="0"/>
    <n v="0"/>
    <s v="55+"/>
  </r>
  <r>
    <s v="TX0802"/>
    <n v="2198"/>
    <n v="2.3900000000000001E-2"/>
    <x v="3"/>
    <n v="54.906999999999996"/>
    <n v="1.06"/>
    <n v="0"/>
    <n v="0"/>
    <x v="3"/>
    <n v="42"/>
    <x v="1"/>
    <x v="4"/>
    <n v="4"/>
    <n v="0"/>
    <n v="2.2547169811320756E-2"/>
    <n v="1.9305370899885262E-2"/>
    <n v="0"/>
    <n v="-1"/>
    <n v="0"/>
    <n v="0"/>
    <s v="35-44"/>
  </r>
  <r>
    <s v="TX0803"/>
    <n v="4650"/>
    <n v="0.18006"/>
    <x v="1"/>
    <n v="45.917999999999999"/>
    <n v="0.35799999999999998"/>
    <n v="0"/>
    <n v="0"/>
    <x v="0"/>
    <n v="65"/>
    <x v="3"/>
    <x v="0"/>
    <n v="3"/>
    <n v="0"/>
    <n v="0.50296089385474863"/>
    <n v="7.796506816498976E-3"/>
    <n v="0"/>
    <n v="-1"/>
    <n v="0"/>
    <n v="0"/>
    <s v="55+"/>
  </r>
  <r>
    <s v="TX0804"/>
    <n v="5739"/>
    <n v="8.3479999999999999E-2"/>
    <x v="4"/>
    <n v="92.597999999999999"/>
    <n v="3.3849999999999998"/>
    <n v="0"/>
    <n v="0"/>
    <x v="1"/>
    <n v="39"/>
    <x v="2"/>
    <x v="0"/>
    <n v="2"/>
    <n v="0"/>
    <n v="2.4661742983751848E-2"/>
    <n v="3.6555865137475968E-2"/>
    <n v="0"/>
    <n v="-1"/>
    <n v="0"/>
    <n v="0"/>
    <s v="35-44"/>
  </r>
  <r>
    <s v="TX0805"/>
    <n v="8561"/>
    <n v="0.18795000000000001"/>
    <x v="5"/>
    <n v="79.575000000000003"/>
    <n v="9.609"/>
    <n v="0"/>
    <n v="0"/>
    <x v="3"/>
    <n v="41"/>
    <x v="0"/>
    <x v="0"/>
    <s v="Nil"/>
    <n v="0"/>
    <n v="1.9559787699032157E-2"/>
    <n v="0.12075400565504241"/>
    <n v="0"/>
    <n v="-1"/>
    <n v="0"/>
    <n v="0"/>
    <s v="35-44"/>
  </r>
  <r>
    <s v="TX0806"/>
    <n v="7459"/>
    <n v="0.10390000000000001"/>
    <x v="1"/>
    <n v="75.831999999999994"/>
    <n v="8.1240000000000006"/>
    <n v="0"/>
    <n v="0"/>
    <x v="0"/>
    <n v="35"/>
    <x v="3"/>
    <x v="0"/>
    <n v="3"/>
    <n v="0"/>
    <n v="1.2789266371245691E-2"/>
    <n v="0.10713155396138835"/>
    <n v="0"/>
    <n v="-1"/>
    <n v="0"/>
    <n v="0"/>
    <s v="35-44"/>
  </r>
  <r>
    <s v="TX0807"/>
    <n v="8927"/>
    <n v="0.15429999999999999"/>
    <x v="4"/>
    <n v="66.063999999999993"/>
    <n v="1.0820000000000001"/>
    <n v="0"/>
    <n v="0"/>
    <x v="4"/>
    <n v="56"/>
    <x v="3"/>
    <x v="2"/>
    <n v="5"/>
    <n v="0"/>
    <n v="0.14260628465804065"/>
    <n v="1.6378057641075323E-2"/>
    <n v="0"/>
    <n v="-1"/>
    <n v="0"/>
    <n v="0"/>
    <s v="55+"/>
  </r>
  <r>
    <s v="TX0808"/>
    <n v="2107"/>
    <n v="0.18135000000000001"/>
    <x v="3"/>
    <n v="9.4049999999999994"/>
    <n v="9.4019999999999992"/>
    <n v="0"/>
    <n v="0"/>
    <x v="0"/>
    <n v="51"/>
    <x v="0"/>
    <x v="0"/>
    <n v="2"/>
    <n v="0"/>
    <n v="1.9288449266113596E-2"/>
    <n v="0.99968102073365228"/>
    <n v="0"/>
    <n v="-1"/>
    <n v="0"/>
    <n v="0"/>
    <s v="45-54"/>
  </r>
  <r>
    <s v="TX0809"/>
    <n v="7836"/>
    <n v="0.14147999999999999"/>
    <x v="0"/>
    <n v="35.996000000000002"/>
    <n v="1.105"/>
    <n v="0"/>
    <n v="0"/>
    <x v="0"/>
    <n v="23"/>
    <x v="0"/>
    <x v="4"/>
    <n v="1"/>
    <n v="0"/>
    <n v="0.12803619909502262"/>
    <n v="3.069785531725747E-2"/>
    <n v="0"/>
    <n v="-1"/>
    <n v="0"/>
    <n v="0"/>
    <s v="18-24"/>
  </r>
  <r>
    <s v="TX0810"/>
    <n v="9286"/>
    <n v="7.8060000000000004E-2"/>
    <x v="2"/>
    <n v="32.319000000000003"/>
    <n v="6.4119999999999999"/>
    <n v="0.23227999999999999"/>
    <n v="1"/>
    <x v="1"/>
    <n v="26"/>
    <x v="3"/>
    <x v="0"/>
    <n v="3"/>
    <n v="0.15595757953836556"/>
    <n v="1.2174048658764817E-2"/>
    <n v="0.19839722763699369"/>
    <n v="7.8060000000000004E-2"/>
    <n v="1.9756597489110934"/>
    <n v="2.9756597489110939"/>
    <n v="3.6225826575171552E-2"/>
    <s v="25-34"/>
  </r>
  <r>
    <s v="TX0811"/>
    <n v="8159"/>
    <n v="0.16273000000000001"/>
    <x v="1"/>
    <n v="12.398999999999999"/>
    <n v="2.2170000000000001"/>
    <n v="0"/>
    <n v="0"/>
    <x v="4"/>
    <n v="34"/>
    <x v="3"/>
    <x v="3"/>
    <n v="3"/>
    <n v="0"/>
    <n v="7.340099233198015E-2"/>
    <n v="0.17880474231792889"/>
    <n v="0"/>
    <n v="-1"/>
    <n v="0"/>
    <n v="0"/>
    <s v="25-34"/>
  </r>
  <r>
    <s v="TX0812"/>
    <n v="4631"/>
    <n v="0.19306000000000001"/>
    <x v="0"/>
    <n v="86.754999999999995"/>
    <n v="2.343"/>
    <n v="0"/>
    <n v="0"/>
    <x v="1"/>
    <n v="29"/>
    <x v="1"/>
    <x v="4"/>
    <n v="4"/>
    <n v="0"/>
    <n v="8.2398634229620155E-2"/>
    <n v="2.7007088928592014E-2"/>
    <n v="0"/>
    <n v="-1"/>
    <n v="0"/>
    <n v="0"/>
    <s v="25-34"/>
  </r>
  <r>
    <s v="TX0813"/>
    <n v="5408"/>
    <n v="0.11885"/>
    <x v="3"/>
    <n v="61.564"/>
    <n v="7.4829999999999997"/>
    <n v="0"/>
    <n v="0"/>
    <x v="3"/>
    <n v="37"/>
    <x v="0"/>
    <x v="4"/>
    <n v="5"/>
    <n v="0"/>
    <n v="1.5882667379393291E-2"/>
    <n v="0.12154830745240724"/>
    <n v="0"/>
    <n v="-1"/>
    <n v="0"/>
    <n v="0"/>
    <s v="35-44"/>
  </r>
  <r>
    <s v="TX0814"/>
    <n v="2788"/>
    <n v="4.7969999999999999E-2"/>
    <x v="5"/>
    <n v="16.986999999999998"/>
    <n v="0.42199999999999999"/>
    <n v="0"/>
    <n v="0"/>
    <x v="3"/>
    <n v="24"/>
    <x v="2"/>
    <x v="2"/>
    <n v="5"/>
    <n v="0"/>
    <n v="0.11367298578199052"/>
    <n v="2.4842526638017309E-2"/>
    <n v="0"/>
    <n v="-1"/>
    <n v="0"/>
    <n v="0"/>
    <s v="18-24"/>
  </r>
  <r>
    <s v="TX0815"/>
    <n v="2498"/>
    <n v="0.16167999999999999"/>
    <x v="2"/>
    <n v="60.033999999999999"/>
    <n v="2.5739999999999998"/>
    <n v="0"/>
    <n v="0"/>
    <x v="0"/>
    <n v="54"/>
    <x v="1"/>
    <x v="3"/>
    <n v="5"/>
    <n v="0"/>
    <n v="6.2812742812742808E-2"/>
    <n v="4.2875703767864877E-2"/>
    <n v="0"/>
    <n v="-1"/>
    <n v="0"/>
    <n v="0"/>
    <s v="45-54"/>
  </r>
  <r>
    <s v="TX0816"/>
    <n v="1278"/>
    <n v="0.19041"/>
    <x v="0"/>
    <n v="61.542000000000002"/>
    <n v="8.66"/>
    <n v="0"/>
    <n v="0"/>
    <x v="1"/>
    <n v="64"/>
    <x v="0"/>
    <x v="1"/>
    <s v="Nil"/>
    <n v="0"/>
    <n v="2.198729792147806E-2"/>
    <n v="0.14071690877774529"/>
    <n v="0"/>
    <n v="-1"/>
    <n v="0"/>
    <n v="0"/>
    <s v="55+"/>
  </r>
  <r>
    <s v="TX0817"/>
    <n v="5149"/>
    <n v="0"/>
    <x v="5"/>
    <n v="93.757000000000005"/>
    <n v="7.266"/>
    <n v="0"/>
    <n v="0"/>
    <x v="2"/>
    <n v="63"/>
    <x v="2"/>
    <x v="2"/>
    <n v="1"/>
    <n v="0"/>
    <n v="0"/>
    <n v="7.7498213466727819E-2"/>
    <n v="0"/>
    <n v="0"/>
    <n v="0"/>
    <n v="0"/>
    <s v="55+"/>
  </r>
  <r>
    <s v="TX0818"/>
    <n v="8287"/>
    <n v="0.16175"/>
    <x v="3"/>
    <n v="5.859"/>
    <n v="4.0430000000000001"/>
    <n v="0.37426999999999999"/>
    <n v="1"/>
    <x v="4"/>
    <n v="34"/>
    <x v="2"/>
    <x v="2"/>
    <s v="Nil"/>
    <n v="0.24734108335394508"/>
    <n v="4.0007420232500618E-2"/>
    <n v="0.69004949650110947"/>
    <n v="0.16175"/>
    <n v="1.3138794435857803"/>
    <n v="2.3138794435857806"/>
    <n v="9.2572347266881017E-2"/>
    <s v="25-34"/>
  </r>
  <r>
    <s v="TX0819"/>
    <n v="6200"/>
    <n v="6.5629999999999994E-2"/>
    <x v="2"/>
    <n v="49.915999999999997"/>
    <n v="4.8630000000000004"/>
    <n v="0"/>
    <n v="0"/>
    <x v="0"/>
    <n v="65"/>
    <x v="3"/>
    <x v="2"/>
    <s v="Nil"/>
    <n v="0"/>
    <n v="1.3495784495167589E-2"/>
    <n v="9.742367176857121E-2"/>
    <n v="0"/>
    <n v="-1"/>
    <n v="0"/>
    <n v="0"/>
    <s v="55+"/>
  </r>
  <r>
    <s v="TX0820"/>
    <n v="8728"/>
    <n v="0"/>
    <x v="5"/>
    <n v="44.55"/>
    <n v="6.5730000000000004"/>
    <n v="0"/>
    <n v="0"/>
    <x v="5"/>
    <n v="41"/>
    <x v="2"/>
    <x v="4"/>
    <n v="1"/>
    <n v="0"/>
    <n v="0"/>
    <n v="0.14754208754208756"/>
    <n v="0"/>
    <n v="0"/>
    <n v="0"/>
    <n v="0"/>
    <s v="35-44"/>
  </r>
  <r>
    <s v="TX0821"/>
    <n v="4477"/>
    <n v="0"/>
    <x v="3"/>
    <n v="19.856999999999999"/>
    <n v="1.141"/>
    <n v="0"/>
    <n v="0"/>
    <x v="0"/>
    <n v="62"/>
    <x v="2"/>
    <x v="2"/>
    <s v="Nil"/>
    <n v="0"/>
    <n v="0"/>
    <n v="5.7460845042050665E-2"/>
    <n v="0"/>
    <n v="0"/>
    <n v="0"/>
    <n v="0"/>
    <s v="55+"/>
  </r>
  <r>
    <s v="TX0822"/>
    <n v="7466"/>
    <n v="0.19628999999999999"/>
    <x v="3"/>
    <n v="65.632999999999996"/>
    <n v="1.802"/>
    <n v="0.35765000000000002"/>
    <n v="1"/>
    <x v="2"/>
    <n v="46"/>
    <x v="0"/>
    <x v="0"/>
    <n v="4"/>
    <n v="0.55493895671476134"/>
    <n v="0.1089289678135405"/>
    <n v="2.7455700638398368E-2"/>
    <n v="0.19628999999999999"/>
    <n v="0.82204900911916057"/>
    <n v="1.8220490091191606"/>
    <n v="0.19847391786903443"/>
    <s v="45-54"/>
  </r>
  <r>
    <s v="TX0823"/>
    <n v="1739"/>
    <n v="0.17774999999999999"/>
    <x v="3"/>
    <n v="38.828000000000003"/>
    <n v="3.9790000000000001"/>
    <n v="0"/>
    <n v="0"/>
    <x v="0"/>
    <n v="28"/>
    <x v="2"/>
    <x v="2"/>
    <n v="3"/>
    <n v="0"/>
    <n v="4.4672028147775822E-2"/>
    <n v="0.10247759348923456"/>
    <n v="0"/>
    <n v="-1"/>
    <n v="0"/>
    <n v="0"/>
    <s v="25-34"/>
  </r>
  <r>
    <s v="TX0824"/>
    <n v="3062"/>
    <n v="0"/>
    <x v="3"/>
    <n v="57.497999999999998"/>
    <n v="8.3699999999999992"/>
    <n v="0"/>
    <n v="0"/>
    <x v="4"/>
    <n v="51"/>
    <x v="2"/>
    <x v="1"/>
    <n v="3"/>
    <n v="0"/>
    <n v="0"/>
    <n v="0.14557028070541583"/>
    <n v="0"/>
    <n v="0"/>
    <n v="0"/>
    <n v="0"/>
    <s v="45-54"/>
  </r>
  <r>
    <s v="TX0825"/>
    <n v="3084"/>
    <n v="2.852E-2"/>
    <x v="1"/>
    <n v="66.864999999999995"/>
    <n v="1.869"/>
    <n v="0.17771000000000001"/>
    <n v="1"/>
    <x v="3"/>
    <n v="64"/>
    <x v="3"/>
    <x v="1"/>
    <n v="2"/>
    <n v="0.53504547886570364"/>
    <n v="1.5259497057249867E-2"/>
    <n v="2.7951843266282812E-2"/>
    <n v="2.852E-2"/>
    <n v="5.2310659186535773"/>
    <n v="6.2310659186535764"/>
    <n v="9.5082932049224189E-2"/>
    <s v="55+"/>
  </r>
  <r>
    <s v="TX0826"/>
    <n v="7386"/>
    <n v="5.4539999999999998E-2"/>
    <x v="4"/>
    <n v="72.119"/>
    <n v="8.5679999999999996"/>
    <n v="0"/>
    <n v="0"/>
    <x v="0"/>
    <n v="59"/>
    <x v="0"/>
    <x v="0"/>
    <s v="Nil"/>
    <n v="0"/>
    <n v="6.3655462184873954E-3"/>
    <n v="0.11880364397731527"/>
    <n v="0"/>
    <n v="-1"/>
    <n v="0"/>
    <n v="0"/>
    <s v="55+"/>
  </r>
  <r>
    <s v="TX0827"/>
    <n v="3006"/>
    <n v="0.11064"/>
    <x v="1"/>
    <n v="21.131"/>
    <n v="5.6710000000000003"/>
    <n v="0"/>
    <n v="0"/>
    <x v="3"/>
    <n v="22"/>
    <x v="1"/>
    <x v="3"/>
    <n v="5"/>
    <n v="0"/>
    <n v="1.9509786633750661E-2"/>
    <n v="0.26837347972173586"/>
    <n v="0"/>
    <n v="-1"/>
    <n v="0"/>
    <n v="0"/>
    <s v="18-24"/>
  </r>
  <r>
    <s v="TX0828"/>
    <n v="9409"/>
    <n v="0.13533000000000001"/>
    <x v="4"/>
    <n v="14.435"/>
    <n v="9.0250000000000004"/>
    <n v="0"/>
    <n v="0"/>
    <x v="2"/>
    <n v="50"/>
    <x v="0"/>
    <x v="2"/>
    <n v="2"/>
    <n v="0"/>
    <n v="1.4995013850415512E-2"/>
    <n v="0.62521648770349847"/>
    <n v="0"/>
    <n v="-1"/>
    <n v="0"/>
    <n v="0"/>
    <s v="45-54"/>
  </r>
  <r>
    <s v="TX0829"/>
    <n v="7552"/>
    <n v="9.0010000000000007E-2"/>
    <x v="4"/>
    <n v="99.739000000000004"/>
    <n v="8.5939999999999994"/>
    <n v="0.43348999999999999"/>
    <n v="1"/>
    <x v="0"/>
    <n v="64"/>
    <x v="0"/>
    <x v="2"/>
    <n v="3"/>
    <n v="0.1163602513381429"/>
    <n v="1.0473586222946243E-2"/>
    <n v="8.6164890363849639E-2"/>
    <n v="9.0010000000000007E-2"/>
    <n v="3.8160204421730919"/>
    <n v="4.816020442173091"/>
    <n v="5.0441005352571566E-2"/>
    <s v="55+"/>
  </r>
  <r>
    <s v="TX0830"/>
    <n v="4725"/>
    <n v="0"/>
    <x v="3"/>
    <n v="28.867000000000001"/>
    <n v="5.6920000000000002"/>
    <n v="0"/>
    <n v="0"/>
    <x v="1"/>
    <n v="54"/>
    <x v="1"/>
    <x v="2"/>
    <n v="1"/>
    <n v="0"/>
    <n v="0"/>
    <n v="0.19718017112966363"/>
    <n v="0"/>
    <n v="0"/>
    <n v="0"/>
    <n v="0"/>
    <s v="45-54"/>
  </r>
  <r>
    <s v="TX0831"/>
    <n v="7434"/>
    <n v="0.16983000000000001"/>
    <x v="3"/>
    <n v="17.96"/>
    <n v="8.734"/>
    <n v="0"/>
    <n v="0"/>
    <x v="4"/>
    <n v="53"/>
    <x v="2"/>
    <x v="2"/>
    <s v="Nil"/>
    <n v="0"/>
    <n v="1.9444698877948249E-2"/>
    <n v="0.48630289532293985"/>
    <n v="0"/>
    <n v="-1"/>
    <n v="0"/>
    <n v="0"/>
    <s v="45-54"/>
  </r>
  <r>
    <s v="TX0832"/>
    <n v="9480"/>
    <n v="0.18622"/>
    <x v="3"/>
    <n v="78.034000000000006"/>
    <n v="6.5810000000000004"/>
    <n v="0"/>
    <n v="0"/>
    <x v="2"/>
    <n v="34"/>
    <x v="0"/>
    <x v="2"/>
    <n v="1"/>
    <n v="0"/>
    <n v="2.8296611457225344E-2"/>
    <n v="8.4335033446959015E-2"/>
    <n v="0"/>
    <n v="-1"/>
    <n v="0"/>
    <n v="0"/>
    <s v="25-34"/>
  </r>
  <r>
    <s v="TX0833"/>
    <n v="9083"/>
    <n v="0"/>
    <x v="0"/>
    <n v="54.265999999999998"/>
    <n v="5.6920000000000002"/>
    <n v="0.26439000000000001"/>
    <n v="1"/>
    <x v="1"/>
    <n v="59"/>
    <x v="0"/>
    <x v="4"/>
    <n v="3"/>
    <n v="0.17568517217146873"/>
    <n v="0"/>
    <n v="0.10489072347326135"/>
    <n v="0"/>
    <n v="0"/>
    <e v="#DIV/0!"/>
    <n v="4.644940267041462E-2"/>
    <s v="55+"/>
  </r>
  <r>
    <s v="TX0834"/>
    <n v="1330"/>
    <n v="0.17277999999999999"/>
    <x v="2"/>
    <n v="37.573999999999998"/>
    <n v="9.4420000000000002"/>
    <n v="0"/>
    <n v="0"/>
    <x v="0"/>
    <n v="40"/>
    <x v="0"/>
    <x v="1"/>
    <s v="Nil"/>
    <n v="0"/>
    <n v="1.8299089176022028E-2"/>
    <n v="0.25129078618193434"/>
    <n v="0"/>
    <n v="-1"/>
    <n v="0"/>
    <n v="0"/>
    <s v="35-44"/>
  </r>
  <r>
    <s v="TX0835"/>
    <n v="6392"/>
    <n v="0.11111"/>
    <x v="2"/>
    <n v="53.475000000000001"/>
    <n v="0.95899999999999996"/>
    <n v="0"/>
    <n v="0"/>
    <x v="3"/>
    <n v="49"/>
    <x v="0"/>
    <x v="4"/>
    <n v="5"/>
    <n v="0"/>
    <n v="0.11586027111574557"/>
    <n v="1.7933613838242168E-2"/>
    <n v="0"/>
    <n v="-1"/>
    <n v="0"/>
    <n v="0"/>
    <s v="45-54"/>
  </r>
  <r>
    <s v="TX0836"/>
    <n v="5063"/>
    <n v="0"/>
    <x v="5"/>
    <n v="95.111000000000004"/>
    <n v="1.304"/>
    <n v="0.17549999999999999"/>
    <n v="1"/>
    <x v="3"/>
    <n v="38"/>
    <x v="2"/>
    <x v="1"/>
    <s v="Nil"/>
    <n v="0.76687116564417179"/>
    <n v="0"/>
    <n v="1.3710296390533167E-2"/>
    <n v="0"/>
    <n v="0"/>
    <e v="#DIV/0!"/>
    <n v="0.13458588957055215"/>
    <s v="35-44"/>
  </r>
  <r>
    <s v="TX0837"/>
    <n v="5589"/>
    <n v="0"/>
    <x v="1"/>
    <n v="97.563000000000002"/>
    <n v="2.1259999999999999"/>
    <n v="0"/>
    <n v="0"/>
    <x v="2"/>
    <n v="45"/>
    <x v="3"/>
    <x v="0"/>
    <s v="Nil"/>
    <n v="0"/>
    <n v="0"/>
    <n v="2.1791047835757405E-2"/>
    <n v="0"/>
    <n v="0"/>
    <n v="0"/>
    <n v="0"/>
    <s v="45-54"/>
  </r>
  <r>
    <s v="TX0838"/>
    <n v="7538"/>
    <n v="0.13264999999999999"/>
    <x v="1"/>
    <n v="71.697999999999993"/>
    <n v="9.6850000000000005"/>
    <n v="0.44918999999999998"/>
    <n v="1"/>
    <x v="2"/>
    <n v="20"/>
    <x v="2"/>
    <x v="2"/>
    <s v="Nil"/>
    <n v="0.10325245224574083"/>
    <n v="1.3696437790397521E-2"/>
    <n v="0.13508047644285756"/>
    <n v="0.13264999999999999"/>
    <n v="2.386279683377309"/>
    <n v="3.386279683377309"/>
    <n v="4.637996902426432E-2"/>
    <s v="18-24"/>
  </r>
  <r>
    <s v="TX0839"/>
    <n v="8213"/>
    <n v="0.10507"/>
    <x v="3"/>
    <n v="96.814999999999998"/>
    <n v="9.5269999999999992"/>
    <n v="0"/>
    <n v="0"/>
    <x v="4"/>
    <n v="61"/>
    <x v="1"/>
    <x v="3"/>
    <n v="1"/>
    <n v="0"/>
    <n v="1.1028655400440852E-2"/>
    <n v="9.8404172907090831E-2"/>
    <n v="0"/>
    <n v="-1"/>
    <n v="0"/>
    <n v="0"/>
    <s v="55+"/>
  </r>
  <r>
    <s v="TX0840"/>
    <n v="7552"/>
    <n v="0.13583000000000001"/>
    <x v="5"/>
    <n v="95.686000000000007"/>
    <n v="3.069"/>
    <n v="0"/>
    <n v="0"/>
    <x v="4"/>
    <n v="33"/>
    <x v="1"/>
    <x v="1"/>
    <n v="5"/>
    <n v="0"/>
    <n v="4.4258716194200069E-2"/>
    <n v="3.2073657588361934E-2"/>
    <n v="0"/>
    <n v="-1"/>
    <n v="0"/>
    <n v="0"/>
    <s v="25-34"/>
  </r>
  <r>
    <s v="TX0841"/>
    <n v="1766"/>
    <n v="6.2820000000000001E-2"/>
    <x v="3"/>
    <n v="58.72"/>
    <n v="8.3870000000000005"/>
    <n v="0"/>
    <n v="0"/>
    <x v="4"/>
    <n v="37"/>
    <x v="1"/>
    <x v="2"/>
    <n v="3"/>
    <n v="0"/>
    <n v="7.4901633480386311E-3"/>
    <n v="0.14283038147138966"/>
    <n v="0"/>
    <n v="-1"/>
    <n v="0"/>
    <n v="0"/>
    <s v="35-44"/>
  </r>
  <r>
    <s v="TX0842"/>
    <n v="1617"/>
    <n v="0.13591"/>
    <x v="0"/>
    <n v="61.975999999999999"/>
    <n v="7.8369999999999997"/>
    <n v="0"/>
    <n v="0"/>
    <x v="1"/>
    <n v="61"/>
    <x v="2"/>
    <x v="3"/>
    <n v="5"/>
    <n v="0"/>
    <n v="1.7342095189485773E-2"/>
    <n v="0.1264521750354976"/>
    <n v="0"/>
    <n v="-1"/>
    <n v="0"/>
    <n v="0"/>
    <s v="55+"/>
  </r>
  <r>
    <s v="TX0843"/>
    <n v="1046"/>
    <n v="8.473E-2"/>
    <x v="4"/>
    <n v="26.059000000000001"/>
    <n v="0.48899999999999999"/>
    <n v="0"/>
    <n v="0"/>
    <x v="0"/>
    <n v="24"/>
    <x v="3"/>
    <x v="2"/>
    <n v="2"/>
    <n v="0"/>
    <n v="0.17327198364008181"/>
    <n v="1.8765109942822055E-2"/>
    <n v="0"/>
    <n v="-1"/>
    <n v="0"/>
    <n v="0"/>
    <s v="18-24"/>
  </r>
  <r>
    <s v="TX0844"/>
    <n v="3825"/>
    <n v="5.9229999999999998E-2"/>
    <x v="3"/>
    <n v="42.893000000000001"/>
    <n v="3.6760000000000002"/>
    <n v="0"/>
    <n v="0"/>
    <x v="0"/>
    <n v="28"/>
    <x v="2"/>
    <x v="2"/>
    <n v="4"/>
    <n v="0"/>
    <n v="1.6112622415669204E-2"/>
    <n v="8.5701629636537435E-2"/>
    <n v="0"/>
    <n v="-1"/>
    <n v="0"/>
    <n v="0"/>
    <s v="25-34"/>
  </r>
  <r>
    <s v="TX0845"/>
    <n v="9187"/>
    <n v="0.13311999999999999"/>
    <x v="5"/>
    <n v="3.54"/>
    <n v="3.7930000000000001"/>
    <n v="0"/>
    <n v="0"/>
    <x v="1"/>
    <n v="42"/>
    <x v="2"/>
    <x v="0"/>
    <n v="2"/>
    <n v="0"/>
    <n v="3.5096229897179011E-2"/>
    <n v="1.0714689265536723"/>
    <n v="0"/>
    <n v="-1"/>
    <n v="0"/>
    <n v="0"/>
    <s v="35-44"/>
  </r>
  <r>
    <s v="TX0846"/>
    <n v="4146"/>
    <n v="8.3339999999999997E-2"/>
    <x v="5"/>
    <n v="24.846"/>
    <n v="6.8470000000000004"/>
    <n v="0.13408999999999999"/>
    <n v="1"/>
    <x v="1"/>
    <n v="52"/>
    <x v="0"/>
    <x v="2"/>
    <s v="Nil"/>
    <n v="0.14604936468526361"/>
    <n v="1.2171754052869868E-2"/>
    <n v="0.27557755775577558"/>
    <n v="8.3339999999999997E-2"/>
    <n v="0.60895128389728814"/>
    <n v="1.6089512838972881"/>
    <n v="1.9583759310646997E-2"/>
    <s v="45-54"/>
  </r>
  <r>
    <s v="TX0847"/>
    <n v="2594"/>
    <n v="0.19489999999999999"/>
    <x v="1"/>
    <n v="52.656999999999996"/>
    <n v="1.407"/>
    <n v="0"/>
    <n v="0"/>
    <x v="1"/>
    <n v="41"/>
    <x v="1"/>
    <x v="0"/>
    <n v="5"/>
    <n v="0"/>
    <n v="0.13852167732764747"/>
    <n v="2.6720094194504058E-2"/>
    <n v="0"/>
    <n v="-1"/>
    <n v="0"/>
    <n v="0"/>
    <s v="35-44"/>
  </r>
  <r>
    <s v="TX0848"/>
    <n v="3137"/>
    <n v="2.8150000000000001E-2"/>
    <x v="2"/>
    <n v="96.968000000000004"/>
    <n v="6.492"/>
    <n v="0"/>
    <n v="0"/>
    <x v="3"/>
    <n v="41"/>
    <x v="3"/>
    <x v="0"/>
    <n v="4"/>
    <n v="0"/>
    <n v="4.3361059765865684E-3"/>
    <n v="6.6949921623628408E-2"/>
    <n v="0"/>
    <n v="-1"/>
    <n v="0"/>
    <n v="0"/>
    <s v="35-44"/>
  </r>
  <r>
    <s v="TX0849"/>
    <n v="6371"/>
    <n v="0.13371"/>
    <x v="3"/>
    <n v="83.007999999999996"/>
    <n v="9.2469999999999999"/>
    <n v="0"/>
    <n v="0"/>
    <x v="0"/>
    <n v="40"/>
    <x v="0"/>
    <x v="2"/>
    <n v="5"/>
    <n v="0"/>
    <n v="1.4459824808045852E-2"/>
    <n v="0.11139890131071704"/>
    <n v="0"/>
    <n v="-1"/>
    <n v="0"/>
    <n v="0"/>
    <s v="35-44"/>
  </r>
  <r>
    <s v="TX0850"/>
    <n v="6281"/>
    <n v="8.3949999999999997E-2"/>
    <x v="4"/>
    <n v="80.006"/>
    <n v="9.5830000000000002"/>
    <n v="0"/>
    <n v="1"/>
    <x v="4"/>
    <n v="25"/>
    <x v="1"/>
    <x v="4"/>
    <n v="5"/>
    <n v="0.10435145570280706"/>
    <n v="8.7603047062506517E-3"/>
    <n v="0.11977851661125416"/>
    <n v="8.3949999999999997E-2"/>
    <n v="-1"/>
    <n v="0"/>
    <n v="0"/>
    <s v="25-34"/>
  </r>
  <r>
    <s v="TX0851"/>
    <n v="4557"/>
    <n v="0.10951"/>
    <x v="1"/>
    <n v="98.716999999999999"/>
    <n v="7.468"/>
    <n v="0.48876999999999998"/>
    <n v="1"/>
    <x v="2"/>
    <n v="32"/>
    <x v="1"/>
    <x v="2"/>
    <s v="Nil"/>
    <n v="0.13390465988216391"/>
    <n v="1.4663899303695768E-2"/>
    <n v="7.5650597161583108E-2"/>
    <n v="0.10951"/>
    <n v="3.4632453657200255"/>
    <n v="4.4632453657200255"/>
    <n v="6.5448580610605253E-2"/>
    <s v="25-34"/>
  </r>
  <r>
    <s v="TX0852"/>
    <n v="9603"/>
    <n v="0"/>
    <x v="3"/>
    <n v="19.062000000000001"/>
    <n v="9.8490000000000002"/>
    <n v="0"/>
    <n v="0"/>
    <x v="4"/>
    <n v="39"/>
    <x v="2"/>
    <x v="2"/>
    <n v="2"/>
    <n v="0"/>
    <n v="0"/>
    <n v="0.51668240478438776"/>
    <n v="0"/>
    <n v="0"/>
    <n v="0"/>
    <n v="0"/>
    <s v="35-44"/>
  </r>
  <r>
    <s v="TX0853"/>
    <n v="2194"/>
    <n v="7.4349999999999999E-2"/>
    <x v="1"/>
    <n v="52.676000000000002"/>
    <n v="3.5369999999999999"/>
    <n v="0"/>
    <n v="0"/>
    <x v="3"/>
    <n v="56"/>
    <x v="1"/>
    <x v="2"/>
    <n v="4"/>
    <n v="0"/>
    <n v="2.1020638959570258E-2"/>
    <n v="6.7146328498747049E-2"/>
    <n v="0"/>
    <n v="-1"/>
    <n v="0"/>
    <n v="0"/>
    <s v="55+"/>
  </r>
  <r>
    <s v="TX0854"/>
    <n v="1158"/>
    <n v="0.13142000000000001"/>
    <x v="3"/>
    <n v="14.465999999999999"/>
    <n v="1.6259999999999999"/>
    <n v="0"/>
    <n v="0"/>
    <x v="4"/>
    <n v="41"/>
    <x v="3"/>
    <x v="3"/>
    <n v="1"/>
    <n v="0"/>
    <n v="8.0824108241082424E-2"/>
    <n v="0.11240149315636665"/>
    <n v="0"/>
    <n v="-1"/>
    <n v="0"/>
    <n v="0"/>
    <s v="35-44"/>
  </r>
  <r>
    <s v="TX0855"/>
    <n v="9924"/>
    <n v="0"/>
    <x v="1"/>
    <n v="10.012"/>
    <n v="9.3170000000000002"/>
    <n v="0"/>
    <n v="0"/>
    <x v="5"/>
    <n v="29"/>
    <x v="1"/>
    <x v="1"/>
    <s v="Nil"/>
    <n v="0"/>
    <n v="0"/>
    <n v="0.93058330003995204"/>
    <n v="0"/>
    <n v="0"/>
    <n v="0"/>
    <n v="0"/>
    <s v="25-34"/>
  </r>
  <r>
    <s v="TX0856"/>
    <n v="5215"/>
    <n v="8.5669999999999996E-2"/>
    <x v="3"/>
    <n v="42.905999999999999"/>
    <n v="6.9109999999999996"/>
    <n v="0.23391000000000001"/>
    <n v="1"/>
    <x v="0"/>
    <n v="24"/>
    <x v="1"/>
    <x v="2"/>
    <n v="5"/>
    <n v="0.14469686007813631"/>
    <n v="1.2396180002893937E-2"/>
    <n v="0.16107304339719386"/>
    <n v="8.5669999999999996E-2"/>
    <n v="1.7303606863546168"/>
    <n v="2.7303606863546168"/>
    <n v="3.3846042540876864E-2"/>
    <s v="18-24"/>
  </r>
  <r>
    <s v="TX0857"/>
    <n v="5368"/>
    <n v="0"/>
    <x v="5"/>
    <n v="2.9239999999999999"/>
    <n v="2.5419999999999998"/>
    <n v="0"/>
    <n v="0"/>
    <x v="1"/>
    <n v="64"/>
    <x v="2"/>
    <x v="3"/>
    <n v="5"/>
    <n v="0"/>
    <n v="0"/>
    <n v="0.86935704514363876"/>
    <n v="0"/>
    <n v="0"/>
    <n v="0"/>
    <n v="0"/>
    <s v="55+"/>
  </r>
  <r>
    <s v="TX0858"/>
    <n v="7854"/>
    <n v="0.18379000000000001"/>
    <x v="3"/>
    <n v="58.253999999999998"/>
    <n v="0.79300000000000004"/>
    <n v="0.35513"/>
    <n v="1"/>
    <x v="1"/>
    <n v="51"/>
    <x v="3"/>
    <x v="4"/>
    <n v="2"/>
    <n v="1.2610340479192939"/>
    <n v="0.23176544766708701"/>
    <n v="1.3612799121090398E-2"/>
    <n v="0.18379000000000001"/>
    <n v="0.93225964415909457"/>
    <n v="1.9322596441590945"/>
    <n v="0.4478310214375788"/>
    <s v="45-54"/>
  </r>
  <r>
    <s v="TX0859"/>
    <n v="1533"/>
    <n v="0.19700999999999999"/>
    <x v="5"/>
    <n v="24.878"/>
    <n v="7.6929999999999996"/>
    <n v="0"/>
    <n v="0"/>
    <x v="2"/>
    <n v="22"/>
    <x v="2"/>
    <x v="4"/>
    <s v="Nil"/>
    <n v="0"/>
    <n v="2.5608995190432859E-2"/>
    <n v="0.30922903770399546"/>
    <n v="0"/>
    <n v="-1"/>
    <n v="0"/>
    <n v="0"/>
    <s v="18-24"/>
  </r>
  <r>
    <s v="TX0860"/>
    <n v="1896"/>
    <n v="0.15026999999999999"/>
    <x v="0"/>
    <n v="53.578000000000003"/>
    <n v="7.3209999999999997"/>
    <n v="0"/>
    <n v="0"/>
    <x v="1"/>
    <n v="41"/>
    <x v="3"/>
    <x v="2"/>
    <n v="1"/>
    <n v="0"/>
    <n v="2.0525884442016116E-2"/>
    <n v="0.13664190525962147"/>
    <n v="0"/>
    <n v="-1"/>
    <n v="0"/>
    <n v="0"/>
    <s v="35-44"/>
  </r>
  <r>
    <s v="TX0861"/>
    <n v="2128"/>
    <n v="0.11001"/>
    <x v="2"/>
    <n v="70.926000000000002"/>
    <n v="9.9610000000000003"/>
    <n v="0"/>
    <n v="0"/>
    <x v="4"/>
    <n v="56"/>
    <x v="0"/>
    <x v="2"/>
    <n v="5"/>
    <n v="0"/>
    <n v="1.1044071880333298E-2"/>
    <n v="0.14044215097425486"/>
    <n v="0"/>
    <n v="-1"/>
    <n v="0"/>
    <n v="0"/>
    <s v="55+"/>
  </r>
  <r>
    <s v="TX0862"/>
    <n v="1765"/>
    <n v="8.8469999999999993E-2"/>
    <x v="5"/>
    <n v="78.070999999999998"/>
    <n v="4.6980000000000004"/>
    <n v="0"/>
    <n v="1"/>
    <x v="2"/>
    <n v="31"/>
    <x v="0"/>
    <x v="3"/>
    <n v="1"/>
    <n v="0.21285653469561513"/>
    <n v="1.883141762452107E-2"/>
    <n v="6.017599364680868E-2"/>
    <n v="8.8469999999999993E-2"/>
    <n v="-1"/>
    <n v="0"/>
    <n v="0"/>
    <s v="25-34"/>
  </r>
  <r>
    <s v="TX0863"/>
    <n v="3427"/>
    <n v="0.18248"/>
    <x v="4"/>
    <n v="76.682000000000002"/>
    <n v="0.25900000000000001"/>
    <n v="0"/>
    <n v="0"/>
    <x v="0"/>
    <n v="59"/>
    <x v="3"/>
    <x v="2"/>
    <n v="4"/>
    <n v="0"/>
    <n v="0.70455598455598456"/>
    <n v="3.3775853524947185E-3"/>
    <n v="0"/>
    <n v="-1"/>
    <n v="0"/>
    <n v="0"/>
    <s v="55+"/>
  </r>
  <r>
    <s v="TX0864"/>
    <n v="2123"/>
    <n v="0"/>
    <x v="2"/>
    <n v="4.9450000000000003"/>
    <n v="3.899"/>
    <n v="0"/>
    <n v="0"/>
    <x v="2"/>
    <n v="41"/>
    <x v="3"/>
    <x v="1"/>
    <n v="5"/>
    <n v="0"/>
    <n v="0"/>
    <n v="0.78847320525783615"/>
    <n v="0"/>
    <n v="0"/>
    <n v="0"/>
    <n v="0"/>
    <s v="35-44"/>
  </r>
  <r>
    <s v="TX0865"/>
    <n v="8922"/>
    <n v="0.17111000000000001"/>
    <x v="2"/>
    <n v="23.183"/>
    <n v="3.234"/>
    <n v="0.45027"/>
    <n v="1"/>
    <x v="3"/>
    <n v="26"/>
    <x v="0"/>
    <x v="1"/>
    <n v="3"/>
    <n v="0.30921459492888065"/>
    <n v="5.2909709338280771E-2"/>
    <n v="0.13949877065090799"/>
    <n v="0.17111000000000001"/>
    <n v="1.6314651393840216"/>
    <n v="2.6314651393840216"/>
    <n v="0.13923005565862709"/>
    <s v="25-34"/>
  </r>
  <r>
    <s v="TX0866"/>
    <n v="4843"/>
    <n v="3.4500000000000003E-2"/>
    <x v="0"/>
    <n v="55.069000000000003"/>
    <n v="8.3230000000000004"/>
    <n v="0"/>
    <n v="0"/>
    <x v="3"/>
    <n v="51"/>
    <x v="3"/>
    <x v="0"/>
    <n v="4"/>
    <n v="0"/>
    <n v="4.1451399735672233E-3"/>
    <n v="0.15113766365831957"/>
    <n v="0"/>
    <n v="-1"/>
    <n v="0"/>
    <n v="0"/>
    <s v="45-54"/>
  </r>
  <r>
    <s v="TX0867"/>
    <n v="1490"/>
    <n v="8.8679999999999995E-2"/>
    <x v="4"/>
    <n v="10.215"/>
    <n v="5.2750000000000004"/>
    <n v="0.15257999999999999"/>
    <n v="1"/>
    <x v="3"/>
    <n v="23"/>
    <x v="3"/>
    <x v="0"/>
    <n v="5"/>
    <n v="0.1895734597156398"/>
    <n v="1.6811374407582937E-2"/>
    <n v="0.516397454723446"/>
    <n v="8.8679999999999995E-2"/>
    <n v="0.72056833558863331"/>
    <n v="1.7205683355886332"/>
    <n v="2.892511848341232E-2"/>
    <s v="18-24"/>
  </r>
  <r>
    <s v="TX0868"/>
    <n v="6211"/>
    <n v="3.0859999999999999E-2"/>
    <x v="2"/>
    <n v="22.369"/>
    <n v="0.75"/>
    <n v="0"/>
    <n v="0"/>
    <x v="3"/>
    <n v="33"/>
    <x v="3"/>
    <x v="2"/>
    <n v="4"/>
    <n v="0"/>
    <n v="4.1146666666666665E-2"/>
    <n v="3.352854396709732E-2"/>
    <n v="0"/>
    <n v="-1"/>
    <n v="0"/>
    <n v="0"/>
    <s v="25-34"/>
  </r>
  <r>
    <s v="TX0869"/>
    <n v="6412"/>
    <n v="0.19003"/>
    <x v="3"/>
    <n v="81.611000000000004"/>
    <n v="4.3899999999999997"/>
    <n v="0"/>
    <n v="0"/>
    <x v="2"/>
    <n v="46"/>
    <x v="2"/>
    <x v="3"/>
    <n v="5"/>
    <n v="0"/>
    <n v="4.3287015945330298E-2"/>
    <n v="5.3791768266532689E-2"/>
    <n v="0"/>
    <n v="-1"/>
    <n v="0"/>
    <n v="0"/>
    <s v="45-54"/>
  </r>
  <r>
    <s v="TX0870"/>
    <n v="4815"/>
    <n v="0"/>
    <x v="2"/>
    <n v="12.621"/>
    <n v="9.1270000000000007"/>
    <n v="0.12195"/>
    <n v="1"/>
    <x v="2"/>
    <n v="26"/>
    <x v="2"/>
    <x v="3"/>
    <s v="Nil"/>
    <n v="0.10956502684343157"/>
    <n v="0"/>
    <n v="0.7231598130100626"/>
    <n v="0"/>
    <n v="0"/>
    <e v="#DIV/0!"/>
    <n v="1.3361455023556481E-2"/>
    <s v="25-34"/>
  </r>
  <r>
    <s v="TX0871"/>
    <n v="4060"/>
    <n v="2.4479999999999998E-2"/>
    <x v="0"/>
    <n v="59.344999999999999"/>
    <n v="8.4350000000000005"/>
    <n v="0"/>
    <n v="0"/>
    <x v="2"/>
    <n v="41"/>
    <x v="3"/>
    <x v="3"/>
    <n v="3"/>
    <n v="0"/>
    <n v="2.9021932424422047E-3"/>
    <n v="0.14213497346027468"/>
    <n v="0"/>
    <n v="-1"/>
    <n v="0"/>
    <n v="0"/>
    <s v="35-44"/>
  </r>
  <r>
    <s v="TX0872"/>
    <n v="3073"/>
    <n v="0"/>
    <x v="3"/>
    <n v="71.891000000000005"/>
    <n v="5.657"/>
    <n v="0"/>
    <n v="0"/>
    <x v="0"/>
    <n v="59"/>
    <x v="2"/>
    <x v="1"/>
    <s v="Nil"/>
    <n v="0"/>
    <n v="0"/>
    <n v="7.8688570196547541E-2"/>
    <n v="0"/>
    <n v="0"/>
    <n v="0"/>
    <n v="0"/>
    <s v="55+"/>
  </r>
  <r>
    <s v="TX0873"/>
    <n v="1125"/>
    <n v="0"/>
    <x v="3"/>
    <n v="53.401000000000003"/>
    <n v="6.2779999999999996"/>
    <n v="0"/>
    <n v="0"/>
    <x v="2"/>
    <n v="30"/>
    <x v="3"/>
    <x v="1"/>
    <s v="Nil"/>
    <n v="0"/>
    <n v="0"/>
    <n v="0.11756334151045859"/>
    <n v="0"/>
    <n v="0"/>
    <n v="0"/>
    <n v="0"/>
    <s v="25-34"/>
  </r>
  <r>
    <s v="TX0874"/>
    <n v="7763"/>
    <n v="0.11255"/>
    <x v="5"/>
    <n v="45.637"/>
    <n v="7.1950000000000003"/>
    <n v="0.36381000000000002"/>
    <n v="1"/>
    <x v="4"/>
    <n v="41"/>
    <x v="3"/>
    <x v="4"/>
    <n v="3"/>
    <n v="0.13898540653231412"/>
    <n v="1.564280750521195E-2"/>
    <n v="0.1576571641431295"/>
    <n v="0.11255"/>
    <n v="2.2324300310972904"/>
    <n v="3.2324300310972904"/>
    <n v="5.0564280750521197E-2"/>
    <s v="35-44"/>
  </r>
  <r>
    <s v="TX0875"/>
    <n v="2980"/>
    <n v="9.8119999999999999E-2"/>
    <x v="2"/>
    <n v="1.4410000000000001"/>
    <n v="2.4079999999999999"/>
    <n v="0"/>
    <n v="0"/>
    <x v="4"/>
    <n v="42"/>
    <x v="0"/>
    <x v="2"/>
    <s v="Nil"/>
    <n v="0"/>
    <n v="4.0747508305647842E-2"/>
    <n v="1.6710617626648159"/>
    <n v="0"/>
    <n v="-1"/>
    <n v="0"/>
    <n v="0"/>
    <s v="35-44"/>
  </r>
  <r>
    <s v="TX0876"/>
    <n v="3296"/>
    <n v="0.12745000000000001"/>
    <x v="4"/>
    <n v="38.177"/>
    <n v="5.1689999999999996"/>
    <n v="0"/>
    <n v="0"/>
    <x v="1"/>
    <n v="25"/>
    <x v="1"/>
    <x v="4"/>
    <n v="2"/>
    <n v="0"/>
    <n v="2.4656606693751214E-2"/>
    <n v="0.13539565707101134"/>
    <n v="0"/>
    <n v="-1"/>
    <n v="0"/>
    <n v="0"/>
    <s v="25-34"/>
  </r>
  <r>
    <s v="TX0877"/>
    <n v="9084"/>
    <n v="0.15576999999999999"/>
    <x v="5"/>
    <n v="83.924999999999997"/>
    <n v="9.9079999999999995"/>
    <n v="0"/>
    <n v="0"/>
    <x v="2"/>
    <n v="31"/>
    <x v="2"/>
    <x v="0"/>
    <n v="3"/>
    <n v="0"/>
    <n v="1.5721639079531693E-2"/>
    <n v="0.11805778969317843"/>
    <n v="0"/>
    <n v="-1"/>
    <n v="0"/>
    <n v="0"/>
    <s v="25-34"/>
  </r>
  <r>
    <s v="TX0878"/>
    <n v="3353"/>
    <n v="0"/>
    <x v="4"/>
    <n v="5.7510000000000003"/>
    <n v="8.5760000000000005"/>
    <n v="0"/>
    <n v="0"/>
    <x v="4"/>
    <n v="41"/>
    <x v="1"/>
    <x v="3"/>
    <n v="1"/>
    <n v="0"/>
    <n v="0"/>
    <n v="1.4912189184489655"/>
    <n v="0"/>
    <n v="0"/>
    <n v="0"/>
    <n v="0"/>
    <s v="35-44"/>
  </r>
  <r>
    <s v="TX0879"/>
    <n v="2228"/>
    <n v="0.19794"/>
    <x v="1"/>
    <n v="27.771000000000001"/>
    <n v="9.2409999999999997"/>
    <n v="0"/>
    <n v="0"/>
    <x v="1"/>
    <n v="31"/>
    <x v="2"/>
    <x v="1"/>
    <s v="Nil"/>
    <n v="0"/>
    <n v="2.1419759766259063E-2"/>
    <n v="0.33275719275503218"/>
    <n v="0"/>
    <n v="-1"/>
    <n v="0"/>
    <n v="0"/>
    <s v="25-34"/>
  </r>
  <r>
    <s v="TX0880"/>
    <n v="1920"/>
    <n v="0.17677999999999999"/>
    <x v="2"/>
    <n v="5.1289999999999996"/>
    <n v="4.7889999999999997"/>
    <n v="0"/>
    <n v="0"/>
    <x v="1"/>
    <n v="61"/>
    <x v="1"/>
    <x v="4"/>
    <n v="4"/>
    <n v="0"/>
    <n v="3.6913760701607852E-2"/>
    <n v="0.93371027490738934"/>
    <n v="0"/>
    <n v="-1"/>
    <n v="0"/>
    <n v="0"/>
    <s v="55+"/>
  </r>
  <r>
    <s v="TX0881"/>
    <n v="7785"/>
    <n v="0"/>
    <x v="1"/>
    <n v="71.897000000000006"/>
    <n v="3.524"/>
    <n v="0"/>
    <n v="0"/>
    <x v="3"/>
    <n v="53"/>
    <x v="0"/>
    <x v="1"/>
    <n v="5"/>
    <n v="0"/>
    <n v="0"/>
    <n v="4.90145624991307E-2"/>
    <n v="0"/>
    <n v="0"/>
    <n v="0"/>
    <n v="0"/>
    <s v="45-54"/>
  </r>
  <r>
    <s v="TX0882"/>
    <n v="6889"/>
    <n v="0"/>
    <x v="1"/>
    <n v="63.353000000000002"/>
    <n v="3.9849999999999999"/>
    <n v="0"/>
    <n v="0"/>
    <x v="2"/>
    <n v="43"/>
    <x v="0"/>
    <x v="0"/>
    <n v="2"/>
    <n v="0"/>
    <n v="0"/>
    <n v="6.2901520054298929E-2"/>
    <n v="0"/>
    <n v="0"/>
    <n v="0"/>
    <n v="0"/>
    <s v="35-44"/>
  </r>
  <r>
    <s v="TX0883"/>
    <n v="2845"/>
    <n v="0.15864"/>
    <x v="0"/>
    <n v="48.387999999999998"/>
    <n v="8.593"/>
    <n v="0"/>
    <n v="0"/>
    <x v="2"/>
    <n v="19"/>
    <x v="1"/>
    <x v="0"/>
    <n v="4"/>
    <n v="0"/>
    <n v="1.8461538461538463E-2"/>
    <n v="0.17758535174010084"/>
    <n v="0"/>
    <n v="-1"/>
    <n v="0"/>
    <n v="0"/>
    <s v="18-24"/>
  </r>
  <r>
    <s v="TX0884"/>
    <n v="7602"/>
    <n v="0"/>
    <x v="0"/>
    <n v="48.838999999999999"/>
    <n v="1.139"/>
    <n v="0"/>
    <n v="0"/>
    <x v="0"/>
    <n v="38"/>
    <x v="2"/>
    <x v="0"/>
    <n v="2"/>
    <n v="0"/>
    <n v="0"/>
    <n v="2.3321525829767195E-2"/>
    <n v="0"/>
    <n v="0"/>
    <n v="0"/>
    <n v="0"/>
    <s v="35-44"/>
  </r>
  <r>
    <s v="TX0885"/>
    <n v="3277"/>
    <n v="0"/>
    <x v="1"/>
    <n v="64.676000000000002"/>
    <n v="4.62"/>
    <n v="6.2489999999999997E-2"/>
    <n v="1"/>
    <x v="0"/>
    <n v="42"/>
    <x v="3"/>
    <x v="0"/>
    <n v="4"/>
    <n v="0.21645021645021645"/>
    <n v="0"/>
    <n v="7.1432989053126353E-2"/>
    <n v="0"/>
    <n v="0"/>
    <e v="#DIV/0!"/>
    <n v="1.3525974025974025E-2"/>
    <s v="35-44"/>
  </r>
  <r>
    <s v="TX0886"/>
    <n v="4323"/>
    <n v="0.16314000000000001"/>
    <x v="2"/>
    <n v="5.952"/>
    <n v="7.3849999999999998"/>
    <n v="0"/>
    <n v="0"/>
    <x v="3"/>
    <n v="31"/>
    <x v="3"/>
    <x v="2"/>
    <n v="5"/>
    <n v="0"/>
    <n v="2.2090724441435342E-2"/>
    <n v="1.2407594086021505"/>
    <n v="0"/>
    <n v="-1"/>
    <n v="0"/>
    <n v="0"/>
    <s v="25-34"/>
  </r>
  <r>
    <s v="TX0887"/>
    <n v="3594"/>
    <n v="7.7689999999999995E-2"/>
    <x v="1"/>
    <n v="37.256999999999998"/>
    <n v="3.4"/>
    <n v="0.47527000000000003"/>
    <n v="1"/>
    <x v="0"/>
    <n v="26"/>
    <x v="0"/>
    <x v="2"/>
    <n v="1"/>
    <n v="0.29411764705882354"/>
    <n v="2.2849999999999999E-2"/>
    <n v="9.125801862737204E-2"/>
    <n v="7.7689999999999995E-2"/>
    <n v="5.1175183421289754"/>
    <n v="6.1175183421289745"/>
    <n v="0.13978529411764706"/>
    <s v="25-34"/>
  </r>
  <r>
    <s v="TX0888"/>
    <n v="1627"/>
    <n v="1.2109999999999999E-2"/>
    <x v="0"/>
    <n v="32.924999999999997"/>
    <n v="9.1319999999999997"/>
    <n v="0"/>
    <n v="0"/>
    <x v="0"/>
    <n v="39"/>
    <x v="2"/>
    <x v="4"/>
    <n v="5"/>
    <n v="0"/>
    <n v="1.3261060008760402E-3"/>
    <n v="0.27735763097949889"/>
    <n v="0"/>
    <n v="-1"/>
    <n v="0"/>
    <n v="0"/>
    <s v="35-44"/>
  </r>
  <r>
    <s v="TX0889"/>
    <n v="1000"/>
    <n v="0.10779"/>
    <x v="0"/>
    <n v="4.2290000000000001"/>
    <n v="9.6850000000000005"/>
    <n v="0"/>
    <n v="0"/>
    <x v="2"/>
    <n v="30"/>
    <x v="0"/>
    <x v="0"/>
    <n v="4"/>
    <n v="0"/>
    <n v="1.1129581827568404E-2"/>
    <n v="2.2901395128872073"/>
    <n v="0"/>
    <n v="-1"/>
    <n v="0"/>
    <n v="0"/>
    <s v="25-34"/>
  </r>
  <r>
    <s v="TX0890"/>
    <n v="9263"/>
    <n v="1.8759999999999999E-2"/>
    <x v="1"/>
    <n v="70.311000000000007"/>
    <n v="8.3070000000000004"/>
    <n v="0"/>
    <n v="0"/>
    <x v="0"/>
    <n v="40"/>
    <x v="1"/>
    <x v="1"/>
    <n v="2"/>
    <n v="0"/>
    <n v="2.2583363428433849E-3"/>
    <n v="0.11814652045910312"/>
    <n v="0"/>
    <n v="-1"/>
    <n v="0"/>
    <n v="0"/>
    <s v="35-44"/>
  </r>
  <r>
    <s v="TX0891"/>
    <n v="1879"/>
    <n v="5.706E-2"/>
    <x v="1"/>
    <n v="86.631"/>
    <n v="9.9420000000000002"/>
    <n v="0"/>
    <n v="0"/>
    <x v="2"/>
    <n v="65"/>
    <x v="3"/>
    <x v="3"/>
    <s v="Nil"/>
    <n v="0"/>
    <n v="5.739287869643935E-3"/>
    <n v="0.11476261384492849"/>
    <n v="0"/>
    <n v="-1"/>
    <n v="0"/>
    <n v="0"/>
    <s v="55+"/>
  </r>
  <r>
    <s v="TX0892"/>
    <n v="4779"/>
    <n v="5.1110000000000003E-2"/>
    <x v="0"/>
    <n v="45.811"/>
    <n v="2.0230000000000001"/>
    <n v="0"/>
    <n v="0"/>
    <x v="2"/>
    <n v="46"/>
    <x v="2"/>
    <x v="3"/>
    <n v="5"/>
    <n v="0"/>
    <n v="2.5264458724666337E-2"/>
    <n v="4.4159699635458738E-2"/>
    <n v="0"/>
    <n v="-1"/>
    <n v="0"/>
    <n v="0"/>
    <s v="45-54"/>
  </r>
  <r>
    <s v="TX0893"/>
    <n v="8085"/>
    <n v="0.11309"/>
    <x v="3"/>
    <n v="27.992999999999999"/>
    <n v="3.6560000000000001"/>
    <n v="0.33557999999999999"/>
    <n v="1"/>
    <x v="4"/>
    <n v="49"/>
    <x v="1"/>
    <x v="4"/>
    <n v="3"/>
    <n v="0.2735229759299781"/>
    <n v="3.0932713347921224E-2"/>
    <n v="0.13060407959132642"/>
    <n v="0.11309"/>
    <n v="1.9673711203466266"/>
    <n v="2.9673711203466264"/>
    <n v="9.178884026258205E-2"/>
    <s v="45-54"/>
  </r>
  <r>
    <s v="TX0894"/>
    <n v="6235"/>
    <n v="0.18057999999999999"/>
    <x v="5"/>
    <n v="13.038"/>
    <n v="5.3339999999999996"/>
    <n v="0"/>
    <n v="0"/>
    <x v="4"/>
    <n v="43"/>
    <x v="1"/>
    <x v="2"/>
    <s v="Nil"/>
    <n v="0"/>
    <n v="3.3854518185226848E-2"/>
    <n v="0.40911182696732623"/>
    <n v="0"/>
    <n v="-1"/>
    <n v="0"/>
    <n v="0"/>
    <s v="35-44"/>
  </r>
  <r>
    <s v="TX0895"/>
    <n v="3249"/>
    <n v="0.1142"/>
    <x v="1"/>
    <n v="38.987000000000002"/>
    <n v="5.5439999999999996"/>
    <n v="0"/>
    <n v="0"/>
    <x v="5"/>
    <n v="47"/>
    <x v="0"/>
    <x v="0"/>
    <n v="5"/>
    <n v="0"/>
    <n v="2.0598845598845599E-2"/>
    <n v="0.14220124656936925"/>
    <n v="0"/>
    <n v="-1"/>
    <n v="0"/>
    <n v="0"/>
    <s v="45-54"/>
  </r>
  <r>
    <s v="TX0896"/>
    <n v="8032"/>
    <n v="0.14967"/>
    <x v="4"/>
    <n v="51.758000000000003"/>
    <n v="7.2009999999999996"/>
    <n v="0"/>
    <n v="0"/>
    <x v="4"/>
    <n v="22"/>
    <x v="0"/>
    <x v="3"/>
    <n v="1"/>
    <n v="0"/>
    <n v="2.0784613248159979E-2"/>
    <n v="0.13912825070520499"/>
    <n v="0"/>
    <n v="-1"/>
    <n v="0"/>
    <n v="0"/>
    <s v="18-24"/>
  </r>
  <r>
    <s v="TX0897"/>
    <n v="8737"/>
    <n v="0.16095999999999999"/>
    <x v="5"/>
    <n v="56.2"/>
    <n v="9.3770000000000007"/>
    <n v="0"/>
    <n v="0"/>
    <x v="2"/>
    <n v="19"/>
    <x v="3"/>
    <x v="4"/>
    <s v="Nil"/>
    <n v="0"/>
    <n v="1.7165404713661084E-2"/>
    <n v="0.16685053380782919"/>
    <n v="0"/>
    <n v="-1"/>
    <n v="0"/>
    <n v="0"/>
    <s v="18-24"/>
  </r>
  <r>
    <s v="TX0898"/>
    <n v="9597"/>
    <n v="0.19122"/>
    <x v="5"/>
    <n v="62.642000000000003"/>
    <n v="1.4179999999999999"/>
    <n v="0.38991999999999999"/>
    <n v="1"/>
    <x v="1"/>
    <n v="41"/>
    <x v="1"/>
    <x v="0"/>
    <n v="5"/>
    <n v="0.70521861777150918"/>
    <n v="0.13485190409026798"/>
    <n v="2.2636569713610673E-2"/>
    <n v="0.19122"/>
    <n v="1.0391172471498797"/>
    <n v="2.0391172471498797"/>
    <n v="0.27497884344146684"/>
    <s v="35-44"/>
  </r>
  <r>
    <s v="TX0899"/>
    <n v="3414"/>
    <n v="0"/>
    <x v="3"/>
    <n v="22.95"/>
    <n v="2.7989999999999999"/>
    <n v="0"/>
    <n v="0"/>
    <x v="3"/>
    <n v="22"/>
    <x v="3"/>
    <x v="2"/>
    <s v="Nil"/>
    <n v="0"/>
    <n v="0"/>
    <n v="0.12196078431372549"/>
    <n v="0"/>
    <n v="0"/>
    <n v="0"/>
    <n v="0"/>
    <s v="18-24"/>
  </r>
  <r>
    <s v="TX0900"/>
    <n v="2664"/>
    <n v="4.079E-2"/>
    <x v="1"/>
    <n v="41.045000000000002"/>
    <n v="6.7759999999999998"/>
    <n v="0"/>
    <n v="0"/>
    <x v="2"/>
    <n v="38"/>
    <x v="1"/>
    <x v="3"/>
    <n v="3"/>
    <n v="0"/>
    <n v="6.0197756788665877E-3"/>
    <n v="0.16508709952491166"/>
    <n v="0"/>
    <n v="-1"/>
    <n v="0"/>
    <n v="0"/>
    <s v="35-44"/>
  </r>
  <r>
    <s v="TX0901"/>
    <n v="4208"/>
    <n v="0.11115"/>
    <x v="1"/>
    <n v="95.834999999999994"/>
    <n v="8.4619999999999997"/>
    <n v="0"/>
    <n v="0"/>
    <x v="1"/>
    <n v="21"/>
    <x v="1"/>
    <x v="4"/>
    <s v="Nil"/>
    <n v="0"/>
    <n v="1.3135192625856771E-2"/>
    <n v="8.8297594824437844E-2"/>
    <n v="0"/>
    <n v="-1"/>
    <n v="0"/>
    <n v="0"/>
    <s v="18-24"/>
  </r>
  <r>
    <s v="TX0902"/>
    <n v="7158"/>
    <n v="6.9040000000000004E-2"/>
    <x v="3"/>
    <n v="96.897999999999996"/>
    <n v="9.5839999999999996"/>
    <n v="0.13058"/>
    <n v="1"/>
    <x v="0"/>
    <n v="44"/>
    <x v="3"/>
    <x v="0"/>
    <n v="2"/>
    <n v="0.10434056761268781"/>
    <n v="7.2036727879799672E-3"/>
    <n v="9.8908130198765709E-2"/>
    <n v="6.9040000000000004E-2"/>
    <n v="0.89136732329084578"/>
    <n v="1.8913673232908459"/>
    <n v="1.3624791318864776E-2"/>
    <s v="35-44"/>
  </r>
  <r>
    <s v="TX0903"/>
    <n v="9694"/>
    <n v="6.0319999999999999E-2"/>
    <x v="1"/>
    <n v="38.145000000000003"/>
    <n v="9.7119999999999997"/>
    <n v="0"/>
    <n v="0"/>
    <x v="4"/>
    <n v="18"/>
    <x v="0"/>
    <x v="0"/>
    <n v="4"/>
    <n v="0"/>
    <n v="6.2108731466227344E-3"/>
    <n v="0.25460741905885437"/>
    <n v="0"/>
    <n v="-1"/>
    <n v="0"/>
    <n v="0"/>
    <s v="18-24"/>
  </r>
  <r>
    <s v="TX0904"/>
    <n v="9027"/>
    <n v="6.3479999999999995E-2"/>
    <x v="2"/>
    <n v="33.710999999999999"/>
    <n v="7.468"/>
    <n v="0"/>
    <n v="0"/>
    <x v="4"/>
    <n v="27"/>
    <x v="1"/>
    <x v="1"/>
    <n v="3"/>
    <n v="0"/>
    <n v="8.5002678093197628E-3"/>
    <n v="0.22153006437068021"/>
    <n v="0"/>
    <n v="-1"/>
    <n v="0"/>
    <n v="0"/>
    <s v="25-34"/>
  </r>
  <r>
    <s v="TX0905"/>
    <n v="8815"/>
    <n v="2.877E-2"/>
    <x v="0"/>
    <n v="7.7789999999999999"/>
    <n v="4.6159999999999997"/>
    <n v="0"/>
    <n v="0"/>
    <x v="2"/>
    <n v="43"/>
    <x v="0"/>
    <x v="0"/>
    <n v="1"/>
    <n v="0"/>
    <n v="6.2326689774696714E-3"/>
    <n v="0.5933924668980588"/>
    <n v="0"/>
    <n v="-1"/>
    <n v="0"/>
    <n v="0"/>
    <s v="35-44"/>
  </r>
  <r>
    <s v="TX0906"/>
    <n v="1139"/>
    <n v="0.11143"/>
    <x v="2"/>
    <n v="79.66"/>
    <n v="9.2460000000000004"/>
    <n v="0"/>
    <n v="0"/>
    <x v="0"/>
    <n v="33"/>
    <x v="3"/>
    <x v="1"/>
    <n v="1"/>
    <n v="0"/>
    <n v="1.2051698031581223E-2"/>
    <n v="0.11606829023349235"/>
    <n v="0"/>
    <n v="-1"/>
    <n v="0"/>
    <n v="0"/>
    <s v="25-34"/>
  </r>
  <r>
    <s v="TX0907"/>
    <n v="5771"/>
    <n v="0.15626999999999999"/>
    <x v="0"/>
    <n v="12.997999999999999"/>
    <n v="9.6199999999999992"/>
    <n v="0.20196"/>
    <n v="1"/>
    <x v="0"/>
    <n v="29"/>
    <x v="1"/>
    <x v="2"/>
    <n v="1"/>
    <n v="0.10395010395010396"/>
    <n v="1.6244282744282745E-2"/>
    <n v="0.74011386367133403"/>
    <n v="0.15626999999999999"/>
    <n v="0.29237857554233065"/>
    <n v="1.2923785755423307"/>
    <n v="2.0993762993762995E-2"/>
    <s v="25-34"/>
  </r>
  <r>
    <s v="TX0908"/>
    <n v="4856"/>
    <n v="0.1467"/>
    <x v="1"/>
    <n v="11.090999999999999"/>
    <n v="8.048"/>
    <n v="0"/>
    <n v="1"/>
    <x v="0"/>
    <n v="45"/>
    <x v="2"/>
    <x v="2"/>
    <n v="2"/>
    <n v="0.1242544731610338"/>
    <n v="1.8228131212723656E-2"/>
    <n v="0.72563339644757019"/>
    <n v="0.1467"/>
    <n v="-1"/>
    <n v="0"/>
    <n v="0"/>
    <s v="45-54"/>
  </r>
  <r>
    <s v="TX0909"/>
    <n v="7084"/>
    <n v="8.8900000000000007E-2"/>
    <x v="2"/>
    <n v="76.626000000000005"/>
    <n v="1.157"/>
    <n v="0.10732"/>
    <n v="1"/>
    <x v="0"/>
    <n v="24"/>
    <x v="1"/>
    <x v="2"/>
    <n v="3"/>
    <n v="0.86430423509075194"/>
    <n v="7.6836646499567854E-2"/>
    <n v="1.5099313548925951E-2"/>
    <n v="8.8900000000000007E-2"/>
    <n v="0.20719910011248582"/>
    <n v="1.2071991001124858"/>
    <n v="9.27571305099395E-2"/>
    <s v="18-24"/>
  </r>
  <r>
    <s v="TX0910"/>
    <n v="7686"/>
    <n v="0"/>
    <x v="0"/>
    <n v="61.762"/>
    <n v="0.72199999999999998"/>
    <n v="0.40436"/>
    <n v="1"/>
    <x v="5"/>
    <n v="31"/>
    <x v="2"/>
    <x v="4"/>
    <n v="4"/>
    <n v="1.3850415512465375"/>
    <n v="0"/>
    <n v="1.169003594443185E-2"/>
    <n v="0"/>
    <n v="0"/>
    <e v="#DIV/0!"/>
    <n v="0.56005540166204992"/>
    <s v="25-34"/>
  </r>
  <r>
    <s v="TX0911"/>
    <n v="7904"/>
    <n v="0.19781000000000001"/>
    <x v="1"/>
    <n v="39.003999999999998"/>
    <n v="0.35699999999999998"/>
    <n v="0"/>
    <n v="0"/>
    <x v="3"/>
    <n v="44"/>
    <x v="1"/>
    <x v="1"/>
    <n v="4"/>
    <n v="0"/>
    <n v="0.55408963585434179"/>
    <n v="9.1529073941134242E-3"/>
    <n v="0"/>
    <n v="-1"/>
    <n v="0"/>
    <n v="0"/>
    <s v="35-44"/>
  </r>
  <r>
    <s v="TX0912"/>
    <n v="3154"/>
    <n v="0.13077"/>
    <x v="1"/>
    <n v="58.375999999999998"/>
    <n v="1.464"/>
    <n v="0"/>
    <n v="0"/>
    <x v="2"/>
    <n v="41"/>
    <x v="0"/>
    <x v="1"/>
    <n v="4"/>
    <n v="0"/>
    <n v="8.9323770491803275E-2"/>
    <n v="2.5078799506646567E-2"/>
    <n v="0"/>
    <n v="-1"/>
    <n v="0"/>
    <n v="0"/>
    <s v="35-44"/>
  </r>
  <r>
    <s v="TX0913"/>
    <n v="3622"/>
    <n v="8.6800000000000002E-2"/>
    <x v="5"/>
    <n v="24.402000000000001"/>
    <n v="5.0999999999999996"/>
    <n v="0.27232000000000001"/>
    <n v="1"/>
    <x v="4"/>
    <n v="49"/>
    <x v="1"/>
    <x v="1"/>
    <s v="Nil"/>
    <n v="0.19607843137254904"/>
    <n v="1.7019607843137257E-2"/>
    <n v="0.20899926235554461"/>
    <n v="8.6800000000000002E-2"/>
    <n v="2.1373271889400924"/>
    <n v="3.137327188940092"/>
    <n v="5.3396078431372555E-2"/>
    <s v="45-54"/>
  </r>
  <r>
    <s v="TX0914"/>
    <n v="8238"/>
    <n v="7.9310000000000005E-2"/>
    <x v="3"/>
    <n v="75.248999999999995"/>
    <n v="1.855"/>
    <n v="0"/>
    <n v="0"/>
    <x v="3"/>
    <n v="33"/>
    <x v="1"/>
    <x v="2"/>
    <s v="Nil"/>
    <n v="0"/>
    <n v="4.2754716981132077E-2"/>
    <n v="2.4651490385254292E-2"/>
    <n v="0"/>
    <n v="-1"/>
    <n v="0"/>
    <n v="0"/>
    <s v="25-34"/>
  </r>
  <r>
    <s v="TX0915"/>
    <n v="8515"/>
    <n v="2.9989999999999999E-2"/>
    <x v="3"/>
    <n v="56.094999999999999"/>
    <n v="0.371"/>
    <n v="0"/>
    <n v="0"/>
    <x v="4"/>
    <n v="36"/>
    <x v="3"/>
    <x v="3"/>
    <n v="2"/>
    <n v="0"/>
    <n v="8.0835579514824799E-2"/>
    <n v="6.6137801943132188E-3"/>
    <n v="0"/>
    <n v="-1"/>
    <n v="0"/>
    <n v="0"/>
    <s v="35-44"/>
  </r>
  <r>
    <s v="TX0916"/>
    <n v="8979"/>
    <n v="0.19675999999999999"/>
    <x v="3"/>
    <n v="69.759"/>
    <n v="0.872"/>
    <n v="0"/>
    <n v="0"/>
    <x v="2"/>
    <n v="34"/>
    <x v="2"/>
    <x v="0"/>
    <s v="Nil"/>
    <n v="0"/>
    <n v="0.22564220183486239"/>
    <n v="1.2500179188348457E-2"/>
    <n v="0"/>
    <n v="-1"/>
    <n v="0"/>
    <n v="0"/>
    <s v="25-34"/>
  </r>
  <r>
    <s v="TX0917"/>
    <n v="2739"/>
    <n v="0.10999"/>
    <x v="2"/>
    <n v="86.128"/>
    <n v="8.2059999999999995"/>
    <n v="0.27695999999999998"/>
    <n v="1"/>
    <x v="0"/>
    <n v="35"/>
    <x v="1"/>
    <x v="2"/>
    <s v="Nil"/>
    <n v="0.12186205215695833"/>
    <n v="1.3403607116743847E-2"/>
    <n v="9.5276797324911747E-2"/>
    <n v="0.10999"/>
    <n v="1.5180470951904717"/>
    <n v="2.5180470951904717"/>
    <n v="3.3750913965391177E-2"/>
    <s v="35-44"/>
  </r>
  <r>
    <s v="TX0918"/>
    <n v="4967"/>
    <n v="0"/>
    <x v="2"/>
    <n v="17.542000000000002"/>
    <n v="8.0129999999999999"/>
    <n v="0"/>
    <n v="0"/>
    <x v="0"/>
    <n v="21"/>
    <x v="2"/>
    <x v="1"/>
    <n v="3"/>
    <n v="0"/>
    <n v="0"/>
    <n v="0.45678941967848585"/>
    <n v="0"/>
    <n v="0"/>
    <n v="0"/>
    <n v="0"/>
    <s v="18-24"/>
  </r>
  <r>
    <s v="TX0919"/>
    <n v="3013"/>
    <n v="0.12726000000000001"/>
    <x v="4"/>
    <n v="16.692"/>
    <n v="2.2749999999999999"/>
    <n v="0"/>
    <n v="0"/>
    <x v="4"/>
    <n v="34"/>
    <x v="0"/>
    <x v="1"/>
    <n v="1"/>
    <n v="0"/>
    <n v="5.5938461538461548E-2"/>
    <n v="0.13629283489096572"/>
    <n v="0"/>
    <n v="-1"/>
    <n v="0"/>
    <n v="0"/>
    <s v="25-34"/>
  </r>
  <r>
    <s v="TX0920"/>
    <n v="5436"/>
    <n v="0.10917"/>
    <x v="2"/>
    <n v="32.710999999999999"/>
    <n v="0.98899999999999999"/>
    <n v="0"/>
    <n v="0"/>
    <x v="4"/>
    <n v="44"/>
    <x v="1"/>
    <x v="4"/>
    <n v="2"/>
    <n v="0"/>
    <n v="0.11038422649140546"/>
    <n v="3.0234477698633487E-2"/>
    <n v="0"/>
    <n v="-1"/>
    <n v="0"/>
    <n v="0"/>
    <s v="35-44"/>
  </r>
  <r>
    <s v="TX0921"/>
    <n v="7425"/>
    <n v="4.088E-2"/>
    <x v="5"/>
    <n v="45.427"/>
    <n v="5.758"/>
    <n v="0.40137"/>
    <n v="1"/>
    <x v="3"/>
    <n v="36"/>
    <x v="2"/>
    <x v="2"/>
    <n v="4"/>
    <n v="0.17367141368530739"/>
    <n v="7.0996873914553667E-3"/>
    <n v="0.12675281220419574"/>
    <n v="4.088E-2"/>
    <n v="8.818248532289628"/>
    <n v="9.818248532289628"/>
    <n v="6.9706495310871835E-2"/>
    <s v="35-44"/>
  </r>
  <r>
    <s v="TX0922"/>
    <n v="9920"/>
    <n v="3.6119999999999999E-2"/>
    <x v="2"/>
    <n v="79.953999999999994"/>
    <n v="3.968"/>
    <n v="0"/>
    <n v="0"/>
    <x v="5"/>
    <n v="51"/>
    <x v="3"/>
    <x v="1"/>
    <n v="4"/>
    <n v="0"/>
    <n v="9.1028225806451604E-3"/>
    <n v="4.9628536408434856E-2"/>
    <n v="0"/>
    <n v="-1"/>
    <n v="0"/>
    <n v="0"/>
    <s v="45-54"/>
  </r>
  <r>
    <s v="TX0923"/>
    <n v="9424"/>
    <n v="0.11791"/>
    <x v="4"/>
    <n v="62.853999999999999"/>
    <n v="7.9630000000000001"/>
    <n v="0"/>
    <n v="0"/>
    <x v="0"/>
    <n v="41"/>
    <x v="1"/>
    <x v="4"/>
    <n v="3"/>
    <n v="0"/>
    <n v="1.4807233454728118E-2"/>
    <n v="0.12669042543036244"/>
    <n v="0"/>
    <n v="-1"/>
    <n v="0"/>
    <n v="0"/>
    <s v="35-44"/>
  </r>
  <r>
    <s v="TX0924"/>
    <n v="4021"/>
    <n v="0.17377999999999999"/>
    <x v="5"/>
    <n v="93.1"/>
    <n v="9.0890000000000004"/>
    <n v="0"/>
    <n v="0"/>
    <x v="5"/>
    <n v="41"/>
    <x v="1"/>
    <x v="4"/>
    <n v="2"/>
    <n v="0"/>
    <n v="1.9119815161183846E-2"/>
    <n v="9.7626208378088095E-2"/>
    <n v="0"/>
    <n v="-1"/>
    <n v="0"/>
    <n v="0"/>
    <s v="35-44"/>
  </r>
  <r>
    <s v="TX0925"/>
    <n v="5023"/>
    <n v="0.19606000000000001"/>
    <x v="5"/>
    <n v="73.260000000000005"/>
    <n v="6.5490000000000004"/>
    <n v="0"/>
    <n v="0"/>
    <x v="0"/>
    <n v="23"/>
    <x v="2"/>
    <x v="1"/>
    <n v="2"/>
    <n v="0"/>
    <n v="2.9937395022140784E-2"/>
    <n v="8.9393939393939387E-2"/>
    <n v="0"/>
    <n v="-1"/>
    <n v="0"/>
    <n v="0"/>
    <s v="18-24"/>
  </r>
  <r>
    <s v="TX0926"/>
    <n v="9176"/>
    <n v="1.5520000000000001E-2"/>
    <x v="0"/>
    <n v="50.002000000000002"/>
    <n v="9.6859999999999999"/>
    <n v="0"/>
    <n v="0"/>
    <x v="4"/>
    <n v="55"/>
    <x v="3"/>
    <x v="1"/>
    <n v="3"/>
    <n v="0"/>
    <n v="1.6023126161470165E-3"/>
    <n v="0.19371225150993959"/>
    <n v="0"/>
    <n v="-1"/>
    <n v="0"/>
    <n v="0"/>
    <s v="55+"/>
  </r>
  <r>
    <s v="TX0927"/>
    <n v="7656"/>
    <n v="5.203E-2"/>
    <x v="1"/>
    <n v="41.335999999999999"/>
    <n v="0.73799999999999999"/>
    <n v="0"/>
    <n v="0"/>
    <x v="2"/>
    <n v="41"/>
    <x v="1"/>
    <x v="0"/>
    <n v="4"/>
    <n v="0"/>
    <n v="7.0501355013550135E-2"/>
    <n v="1.7853686858912327E-2"/>
    <n v="0"/>
    <n v="-1"/>
    <n v="0"/>
    <n v="0"/>
    <s v="35-44"/>
  </r>
  <r>
    <s v="TX0928"/>
    <n v="6898"/>
    <n v="7.2440000000000004E-2"/>
    <x v="3"/>
    <n v="44.844000000000001"/>
    <n v="5.2169999999999996"/>
    <n v="0"/>
    <n v="0"/>
    <x v="1"/>
    <n v="20"/>
    <x v="2"/>
    <x v="2"/>
    <n v="4"/>
    <n v="0"/>
    <n v="1.3885374736438569E-2"/>
    <n v="0.11633663366336633"/>
    <n v="0"/>
    <n v="-1"/>
    <n v="0"/>
    <n v="0"/>
    <s v="18-24"/>
  </r>
  <r>
    <s v="TX0929"/>
    <n v="3827"/>
    <n v="8.8679999999999995E-2"/>
    <x v="3"/>
    <n v="54.935000000000002"/>
    <n v="6.39"/>
    <n v="0"/>
    <n v="0"/>
    <x v="5"/>
    <n v="20"/>
    <x v="3"/>
    <x v="1"/>
    <n v="3"/>
    <n v="0"/>
    <n v="1.387793427230047E-2"/>
    <n v="0.11631928642941657"/>
    <n v="0"/>
    <n v="-1"/>
    <n v="0"/>
    <n v="0"/>
    <s v="18-24"/>
  </r>
  <r>
    <s v="TX0930"/>
    <n v="4384"/>
    <n v="7.9960000000000003E-2"/>
    <x v="2"/>
    <n v="81.775000000000006"/>
    <n v="4.2089999999999996"/>
    <n v="0"/>
    <n v="0"/>
    <x v="3"/>
    <n v="41"/>
    <x v="3"/>
    <x v="2"/>
    <n v="3"/>
    <n v="0"/>
    <n v="1.8997386552625329E-2"/>
    <n v="5.1470498318557011E-2"/>
    <n v="0"/>
    <n v="-1"/>
    <n v="0"/>
    <n v="0"/>
    <s v="35-44"/>
  </r>
  <r>
    <s v="TX0931"/>
    <n v="9797"/>
    <n v="0"/>
    <x v="4"/>
    <n v="57.643999999999998"/>
    <n v="3.931"/>
    <n v="0.35594999999999999"/>
    <n v="1"/>
    <x v="0"/>
    <n v="41"/>
    <x v="0"/>
    <x v="1"/>
    <n v="1"/>
    <n v="0.25438819638768762"/>
    <n v="0"/>
    <n v="6.819443480674485E-2"/>
    <n v="0"/>
    <n v="0"/>
    <e v="#DIV/0!"/>
    <n v="9.0549478504197395E-2"/>
    <s v="35-44"/>
  </r>
  <r>
    <s v="TX0932"/>
    <n v="1347"/>
    <n v="2.4379999999999999E-2"/>
    <x v="1"/>
    <n v="93.463999999999999"/>
    <n v="0.88900000000000001"/>
    <n v="0"/>
    <n v="0"/>
    <x v="2"/>
    <n v="52"/>
    <x v="0"/>
    <x v="2"/>
    <n v="3"/>
    <n v="0"/>
    <n v="2.7424071991001123E-2"/>
    <n v="9.5116836428999398E-3"/>
    <n v="0"/>
    <n v="-1"/>
    <n v="0"/>
    <n v="0"/>
    <s v="45-54"/>
  </r>
  <r>
    <s v="TX0933"/>
    <n v="7269"/>
    <n v="0"/>
    <x v="3"/>
    <n v="33.789000000000001"/>
    <n v="2.4020000000000001"/>
    <n v="0"/>
    <n v="1"/>
    <x v="5"/>
    <n v="46"/>
    <x v="2"/>
    <x v="0"/>
    <n v="2"/>
    <n v="0.4163197335553705"/>
    <n v="0"/>
    <n v="7.1088223978217763E-2"/>
    <n v="0"/>
    <n v="0"/>
    <n v="0"/>
    <n v="0"/>
    <s v="45-54"/>
  </r>
  <r>
    <s v="TX0934"/>
    <n v="8307"/>
    <n v="5.3769999999999998E-2"/>
    <x v="5"/>
    <n v="9.1679999999999993"/>
    <n v="8.9149999999999991"/>
    <n v="0"/>
    <n v="0"/>
    <x v="3"/>
    <n v="47"/>
    <x v="3"/>
    <x v="3"/>
    <n v="3"/>
    <n v="0"/>
    <n v="6.0314077397644423E-3"/>
    <n v="0.97240401396160558"/>
    <n v="0"/>
    <n v="-1"/>
    <n v="0"/>
    <n v="0"/>
    <s v="45-54"/>
  </r>
  <r>
    <s v="TX0935"/>
    <n v="7615"/>
    <n v="0.14998"/>
    <x v="1"/>
    <n v="94.903000000000006"/>
    <n v="4.6669999999999998"/>
    <n v="0.46398"/>
    <n v="1"/>
    <x v="2"/>
    <n v="62"/>
    <x v="1"/>
    <x v="1"/>
    <n v="2"/>
    <n v="0.21427040925648169"/>
    <n v="3.2136275980287121E-2"/>
    <n v="4.9176527612404236E-2"/>
    <n v="0.14998"/>
    <n v="2.0936124816642221"/>
    <n v="3.0936124816642221"/>
    <n v="9.941718448682238E-2"/>
    <s v="55+"/>
  </r>
  <r>
    <s v="TX0936"/>
    <n v="9183"/>
    <n v="0"/>
    <x v="3"/>
    <n v="12.555999999999999"/>
    <n v="5.2409999999999997"/>
    <n v="0.17727000000000001"/>
    <n v="1"/>
    <x v="1"/>
    <n v="33"/>
    <x v="0"/>
    <x v="3"/>
    <n v="3"/>
    <n v="0.19080328181644726"/>
    <n v="0"/>
    <n v="0.41741000318572796"/>
    <n v="0"/>
    <n v="0"/>
    <e v="#DIV/0!"/>
    <n v="3.3823697767601607E-2"/>
    <s v="25-34"/>
  </r>
  <r>
    <s v="TX0937"/>
    <n v="6365"/>
    <n v="5.3100000000000001E-2"/>
    <x v="4"/>
    <n v="34.115000000000002"/>
    <n v="0.40200000000000002"/>
    <n v="0"/>
    <n v="0"/>
    <x v="4"/>
    <n v="35"/>
    <x v="0"/>
    <x v="1"/>
    <n v="5"/>
    <n v="0"/>
    <n v="0.13208955223880597"/>
    <n v="1.1783672871171038E-2"/>
    <n v="0"/>
    <n v="-1"/>
    <n v="0"/>
    <n v="0"/>
    <s v="35-44"/>
  </r>
  <r>
    <s v="TX0938"/>
    <n v="3044"/>
    <n v="0"/>
    <x v="0"/>
    <n v="43.271999999999998"/>
    <n v="5.0490000000000004"/>
    <n v="0"/>
    <n v="0"/>
    <x v="1"/>
    <n v="27"/>
    <x v="2"/>
    <x v="0"/>
    <n v="4"/>
    <n v="0"/>
    <n v="0"/>
    <n v="0.11668053244592347"/>
    <n v="0"/>
    <n v="0"/>
    <n v="0"/>
    <n v="0"/>
    <s v="25-34"/>
  </r>
  <r>
    <s v="TX0939"/>
    <n v="1783"/>
    <n v="1.84E-2"/>
    <x v="4"/>
    <n v="92.328000000000003"/>
    <n v="3.673"/>
    <n v="0"/>
    <n v="0"/>
    <x v="0"/>
    <n v="19"/>
    <x v="1"/>
    <x v="1"/>
    <n v="1"/>
    <n v="0"/>
    <n v="5.0095289953716307E-3"/>
    <n v="3.9782081275452734E-2"/>
    <n v="0"/>
    <n v="-1"/>
    <n v="0"/>
    <n v="0"/>
    <s v="18-24"/>
  </r>
  <r>
    <s v="TX0940"/>
    <n v="8460"/>
    <n v="0"/>
    <x v="3"/>
    <n v="32.566000000000003"/>
    <n v="5.3879999999999999"/>
    <n v="0"/>
    <n v="0"/>
    <x v="3"/>
    <n v="59"/>
    <x v="2"/>
    <x v="4"/>
    <n v="4"/>
    <n v="0"/>
    <n v="0"/>
    <n v="0.16544862740281274"/>
    <n v="0"/>
    <n v="0"/>
    <n v="0"/>
    <n v="0"/>
    <s v="55+"/>
  </r>
  <r>
    <s v="TX0941"/>
    <n v="8148"/>
    <n v="2.0119999999999999E-2"/>
    <x v="5"/>
    <n v="64.929000000000002"/>
    <n v="5.1619999999999999"/>
    <n v="0"/>
    <n v="0"/>
    <x v="2"/>
    <n v="50"/>
    <x v="2"/>
    <x v="4"/>
    <s v="Nil"/>
    <n v="0"/>
    <n v="3.8977140643161566E-3"/>
    <n v="7.9502225507862428E-2"/>
    <n v="0"/>
    <n v="-1"/>
    <n v="0"/>
    <n v="0"/>
    <s v="45-54"/>
  </r>
  <r>
    <s v="TX0942"/>
    <n v="5904"/>
    <n v="6.2549999999999994E-2"/>
    <x v="2"/>
    <n v="12.375"/>
    <n v="2.7959999999999998"/>
    <n v="0.11719"/>
    <n v="1"/>
    <x v="2"/>
    <n v="26"/>
    <x v="0"/>
    <x v="1"/>
    <n v="2"/>
    <n v="0.35765379113018603"/>
    <n v="2.2371244635193133E-2"/>
    <n v="0.22593939393939391"/>
    <n v="6.2549999999999994E-2"/>
    <n v="0.8735411670663471"/>
    <n v="1.8735411670663471"/>
    <n v="4.1913447782546499E-2"/>
    <s v="25-34"/>
  </r>
  <r>
    <s v="TX0943"/>
    <n v="4438"/>
    <n v="8.6959999999999996E-2"/>
    <x v="0"/>
    <n v="71.590999999999994"/>
    <n v="2.38"/>
    <n v="0"/>
    <n v="1"/>
    <x v="4"/>
    <n v="46"/>
    <x v="0"/>
    <x v="0"/>
    <n v="3"/>
    <n v="0.42016806722689076"/>
    <n v="3.6537815126050421E-2"/>
    <n v="3.3244402229330505E-2"/>
    <n v="8.6959999999999996E-2"/>
    <n v="-1"/>
    <n v="0"/>
    <n v="0"/>
    <s v="45-54"/>
  </r>
  <r>
    <s v="TX0944"/>
    <n v="8692"/>
    <n v="0"/>
    <x v="0"/>
    <n v="24.463000000000001"/>
    <n v="9.9710000000000001"/>
    <n v="0"/>
    <n v="0"/>
    <x v="1"/>
    <n v="60"/>
    <x v="2"/>
    <x v="0"/>
    <n v="1"/>
    <n v="0"/>
    <n v="0"/>
    <n v="0.4075951436863835"/>
    <n v="0"/>
    <n v="0"/>
    <n v="0"/>
    <n v="0"/>
    <s v="55+"/>
  </r>
  <r>
    <s v="TX0945"/>
    <n v="2502"/>
    <n v="8.2500000000000004E-3"/>
    <x v="3"/>
    <n v="31.501000000000001"/>
    <n v="6.593"/>
    <n v="0"/>
    <n v="0"/>
    <x v="4"/>
    <n v="18"/>
    <x v="2"/>
    <x v="4"/>
    <n v="1"/>
    <n v="0"/>
    <n v="1.2513271651751858E-3"/>
    <n v="0.20929494301768198"/>
    <n v="0"/>
    <n v="-1"/>
    <n v="0"/>
    <n v="0"/>
    <s v="18-24"/>
  </r>
  <r>
    <s v="TX0946"/>
    <n v="4617"/>
    <n v="0.10199999999999999"/>
    <x v="3"/>
    <n v="32.786999999999999"/>
    <n v="0.505"/>
    <n v="0"/>
    <n v="0"/>
    <x v="4"/>
    <n v="41"/>
    <x v="1"/>
    <x v="0"/>
    <n v="4"/>
    <n v="0"/>
    <n v="0.20198019801980197"/>
    <n v="1.540244609143868E-2"/>
    <n v="0"/>
    <n v="-1"/>
    <n v="0"/>
    <n v="0"/>
    <s v="35-44"/>
  </r>
  <r>
    <s v="TX0947"/>
    <n v="9569"/>
    <n v="0"/>
    <x v="1"/>
    <n v="36.451000000000001"/>
    <n v="8.1829999999999998"/>
    <n v="0"/>
    <n v="1"/>
    <x v="0"/>
    <n v="61"/>
    <x v="1"/>
    <x v="0"/>
    <n v="5"/>
    <n v="0.12220457045093487"/>
    <n v="0"/>
    <n v="0.22449315519464486"/>
    <n v="0"/>
    <n v="0"/>
    <n v="0"/>
    <n v="0"/>
    <s v="55+"/>
  </r>
  <r>
    <s v="TX0948"/>
    <n v="6930"/>
    <n v="0.12295"/>
    <x v="4"/>
    <n v="95.480999999999995"/>
    <n v="9.9060000000000006"/>
    <n v="0.35017999999999999"/>
    <n v="1"/>
    <x v="0"/>
    <n v="34"/>
    <x v="2"/>
    <x v="2"/>
    <n v="2"/>
    <n v="0.10094891984655764"/>
    <n v="1.2411669695134261E-2"/>
    <n v="0.10374838973198858"/>
    <n v="0.12295"/>
    <n v="1.8481496543310287"/>
    <n v="2.8481496543310287"/>
    <n v="3.5350292751867553E-2"/>
    <s v="25-34"/>
  </r>
  <r>
    <s v="TX0949"/>
    <n v="4981"/>
    <n v="2.9149999999999999E-2"/>
    <x v="2"/>
    <n v="72.363"/>
    <n v="6.0359999999999996"/>
    <n v="0.46560000000000001"/>
    <n v="1"/>
    <x v="1"/>
    <n v="24"/>
    <x v="0"/>
    <x v="0"/>
    <s v="Nil"/>
    <n v="0.1656726308813784"/>
    <n v="4.82935719019218E-3"/>
    <n v="8.341279383110152E-2"/>
    <n v="2.9149999999999999E-2"/>
    <n v="14.972555746140653"/>
    <n v="15.972555746140653"/>
    <n v="7.7137176938369786E-2"/>
    <s v="18-24"/>
  </r>
  <r>
    <s v="TX0950"/>
    <n v="6141"/>
    <n v="0"/>
    <x v="2"/>
    <n v="6.2510000000000003"/>
    <n v="5.6139999999999999"/>
    <n v="0"/>
    <n v="0"/>
    <x v="4"/>
    <n v="26"/>
    <x v="0"/>
    <x v="4"/>
    <s v="Nil"/>
    <n v="0"/>
    <n v="0"/>
    <n v="0.89809630459126533"/>
    <n v="0"/>
    <n v="0"/>
    <n v="0"/>
    <n v="0"/>
    <s v="25-34"/>
  </r>
  <r>
    <s v="TX0951"/>
    <n v="3818"/>
    <n v="0"/>
    <x v="2"/>
    <n v="48.463000000000001"/>
    <n v="4.2229999999999999"/>
    <n v="0"/>
    <n v="0"/>
    <x v="2"/>
    <n v="56"/>
    <x v="3"/>
    <x v="4"/>
    <n v="3"/>
    <n v="0"/>
    <n v="0"/>
    <n v="8.7138641850483867E-2"/>
    <n v="0"/>
    <n v="0"/>
    <n v="0"/>
    <n v="0"/>
    <s v="55+"/>
  </r>
  <r>
    <s v="TX0952"/>
    <n v="8330"/>
    <n v="0.11913"/>
    <x v="5"/>
    <n v="67.316000000000003"/>
    <n v="2.0310000000000001"/>
    <n v="1.095E-2"/>
    <n v="1"/>
    <x v="3"/>
    <n v="23"/>
    <x v="2"/>
    <x v="4"/>
    <s v="Nil"/>
    <n v="0.49236829148202854"/>
    <n v="5.8655834564254057E-2"/>
    <n v="3.0171133162992456E-2"/>
    <n v="0.11913"/>
    <n v="-0.90808360614454797"/>
    <n v="9.1916393855452028E-2"/>
    <n v="5.3914327917282123E-3"/>
    <s v="18-24"/>
  </r>
  <r>
    <s v="TX0953"/>
    <n v="8026"/>
    <n v="0.12255000000000001"/>
    <x v="2"/>
    <n v="81.912999999999997"/>
    <n v="3.1920000000000002"/>
    <n v="0"/>
    <n v="0"/>
    <x v="4"/>
    <n v="60"/>
    <x v="3"/>
    <x v="3"/>
    <n v="4"/>
    <n v="0"/>
    <n v="3.8392857142857145E-2"/>
    <n v="3.8968173549985961E-2"/>
    <n v="0"/>
    <n v="-1"/>
    <n v="0"/>
    <n v="0"/>
    <s v="55+"/>
  </r>
  <r>
    <s v="TX0954"/>
    <n v="9524"/>
    <n v="5.1490000000000001E-2"/>
    <x v="4"/>
    <n v="41.040999999999997"/>
    <n v="0.42799999999999999"/>
    <n v="0"/>
    <n v="1"/>
    <x v="4"/>
    <n v="49"/>
    <x v="2"/>
    <x v="0"/>
    <s v="Nil"/>
    <n v="2.3364485981308412"/>
    <n v="0.12030373831775701"/>
    <n v="1.0428595794449453E-2"/>
    <n v="5.1490000000000001E-2"/>
    <n v="-1"/>
    <n v="0"/>
    <n v="0"/>
    <s v="45-54"/>
  </r>
  <r>
    <s v="TX0955"/>
    <n v="5726"/>
    <n v="3.1649999999999998E-2"/>
    <x v="4"/>
    <n v="54.164000000000001"/>
    <n v="1.629"/>
    <n v="0"/>
    <n v="0"/>
    <x v="3"/>
    <n v="41"/>
    <x v="2"/>
    <x v="0"/>
    <s v="Nil"/>
    <n v="0"/>
    <n v="1.9429097605893186E-2"/>
    <n v="3.007532678531866E-2"/>
    <n v="0"/>
    <n v="-1"/>
    <n v="0"/>
    <n v="0"/>
    <s v="35-44"/>
  </r>
  <r>
    <s v="TX0956"/>
    <n v="1641"/>
    <n v="0.11879000000000001"/>
    <x v="1"/>
    <n v="22.823"/>
    <n v="8.2010000000000005"/>
    <n v="0"/>
    <n v="0"/>
    <x v="3"/>
    <n v="64"/>
    <x v="0"/>
    <x v="4"/>
    <s v="Nil"/>
    <n v="0"/>
    <n v="1.44848189245214E-2"/>
    <n v="0.35933049993427685"/>
    <n v="0"/>
    <n v="-1"/>
    <n v="0"/>
    <n v="0"/>
    <s v="55+"/>
  </r>
  <r>
    <s v="TX0957"/>
    <n v="1503"/>
    <n v="0"/>
    <x v="0"/>
    <n v="78.768000000000001"/>
    <n v="8.2579999999999991"/>
    <n v="0.27083000000000002"/>
    <n v="1"/>
    <x v="3"/>
    <n v="32"/>
    <x v="1"/>
    <x v="4"/>
    <s v="Nil"/>
    <n v="0.12109469605231292"/>
    <n v="0"/>
    <n v="0.10483952874263659"/>
    <n v="0"/>
    <n v="0"/>
    <e v="#DIV/0!"/>
    <n v="3.2796076531847913E-2"/>
    <s v="25-34"/>
  </r>
  <r>
    <s v="TX0958"/>
    <n v="9289"/>
    <n v="5.7200000000000001E-2"/>
    <x v="0"/>
    <n v="65.625"/>
    <n v="4.2080000000000002"/>
    <n v="0"/>
    <n v="0"/>
    <x v="2"/>
    <n v="29"/>
    <x v="3"/>
    <x v="2"/>
    <s v="Nil"/>
    <n v="0"/>
    <n v="1.3593155893536121E-2"/>
    <n v="6.4121904761904769E-2"/>
    <n v="0"/>
    <n v="-1"/>
    <n v="0"/>
    <n v="0"/>
    <s v="25-34"/>
  </r>
  <r>
    <s v="TX0959"/>
    <n v="9921"/>
    <n v="0.10628"/>
    <x v="0"/>
    <n v="66.954999999999998"/>
    <n v="9.4429999999999996"/>
    <n v="0"/>
    <n v="0"/>
    <x v="4"/>
    <n v="61"/>
    <x v="2"/>
    <x v="1"/>
    <n v="4"/>
    <n v="0"/>
    <n v="1.1254897807900031E-2"/>
    <n v="0.14103502352326189"/>
    <n v="0"/>
    <n v="-1"/>
    <n v="0"/>
    <n v="0"/>
    <s v="55+"/>
  </r>
  <r>
    <s v="TX0960"/>
    <n v="3200"/>
    <n v="0.12381"/>
    <x v="0"/>
    <n v="26.66"/>
    <n v="7.51"/>
    <n v="0"/>
    <n v="1"/>
    <x v="1"/>
    <n v="50"/>
    <x v="0"/>
    <x v="4"/>
    <n v="5"/>
    <n v="0.13315579227696406"/>
    <n v="1.6486018641810919E-2"/>
    <n v="0.28169542385596397"/>
    <n v="0.12381"/>
    <n v="-1"/>
    <n v="0"/>
    <n v="0"/>
    <s v="45-54"/>
  </r>
  <r>
    <s v="TX0961"/>
    <n v="8504"/>
    <n v="0.17476"/>
    <x v="4"/>
    <n v="1.736"/>
    <n v="4.9569999999999999"/>
    <n v="1.702E-2"/>
    <n v="1"/>
    <x v="3"/>
    <n v="52"/>
    <x v="3"/>
    <x v="2"/>
    <n v="2"/>
    <n v="0.2017349203147065"/>
    <n v="3.5255194674198104E-2"/>
    <n v="2.8554147465437789"/>
    <n v="0.17476"/>
    <n v="-0.90260929274433499"/>
    <n v="9.7390707255664913E-2"/>
    <n v="3.4335283437563046E-3"/>
    <s v="45-54"/>
  </r>
  <r>
    <s v="TX0962"/>
    <n v="6837"/>
    <n v="0.17513000000000001"/>
    <x v="4"/>
    <n v="85.623999999999995"/>
    <n v="4.37"/>
    <n v="0"/>
    <n v="0"/>
    <x v="3"/>
    <n v="26"/>
    <x v="1"/>
    <x v="2"/>
    <s v="Nil"/>
    <n v="0"/>
    <n v="4.0075514874141877E-2"/>
    <n v="5.1037092403998882E-2"/>
    <n v="0"/>
    <n v="-1"/>
    <n v="0"/>
    <n v="0"/>
    <s v="25-34"/>
  </r>
  <r>
    <s v="TX0963"/>
    <n v="7656"/>
    <n v="0.19670000000000001"/>
    <x v="2"/>
    <n v="93.069000000000003"/>
    <n v="4.1630000000000003"/>
    <n v="0"/>
    <n v="0"/>
    <x v="0"/>
    <n v="41"/>
    <x v="3"/>
    <x v="1"/>
    <n v="2"/>
    <n v="0"/>
    <n v="4.7249579630074465E-2"/>
    <n v="4.4730253897645837E-2"/>
    <n v="0"/>
    <n v="-1"/>
    <n v="0"/>
    <n v="0"/>
    <s v="35-44"/>
  </r>
  <r>
    <s v="TX0964"/>
    <n v="5403"/>
    <n v="0.13650999999999999"/>
    <x v="1"/>
    <n v="30.039000000000001"/>
    <n v="0.13800000000000001"/>
    <n v="0"/>
    <n v="0"/>
    <x v="5"/>
    <n v="56"/>
    <x v="1"/>
    <x v="4"/>
    <n v="2"/>
    <n v="0"/>
    <n v="0.98920289855072452"/>
    <n v="4.5940277639069209E-3"/>
    <n v="0"/>
    <n v="-1"/>
    <n v="0"/>
    <n v="0"/>
    <s v="55+"/>
  </r>
  <r>
    <s v="TX0965"/>
    <n v="7789"/>
    <n v="8.8900000000000003E-3"/>
    <x v="4"/>
    <n v="60.527999999999999"/>
    <n v="4.1449999999999996"/>
    <n v="0"/>
    <n v="0"/>
    <x v="4"/>
    <n v="32"/>
    <x v="3"/>
    <x v="4"/>
    <s v="Nil"/>
    <n v="0"/>
    <n v="2.1447527141133897E-3"/>
    <n v="6.8480703145651592E-2"/>
    <n v="0"/>
    <n v="-1"/>
    <n v="0"/>
    <n v="0"/>
    <s v="25-34"/>
  </r>
  <r>
    <s v="TX0966"/>
    <n v="6835"/>
    <n v="0.14452000000000001"/>
    <x v="3"/>
    <n v="38.79"/>
    <n v="2.35"/>
    <n v="0"/>
    <n v="0"/>
    <x v="1"/>
    <n v="19"/>
    <x v="3"/>
    <x v="0"/>
    <n v="1"/>
    <n v="0"/>
    <n v="6.1497872340425537E-2"/>
    <n v="6.0582624387728802E-2"/>
    <n v="0"/>
    <n v="-1"/>
    <n v="0"/>
    <n v="0"/>
    <s v="18-24"/>
  </r>
  <r>
    <s v="TX0967"/>
    <n v="4457"/>
    <n v="0.19905999999999999"/>
    <x v="3"/>
    <n v="35.430999999999997"/>
    <n v="6.8120000000000003"/>
    <n v="0"/>
    <n v="0"/>
    <x v="4"/>
    <n v="46"/>
    <x v="0"/>
    <x v="1"/>
    <n v="4"/>
    <n v="0"/>
    <n v="2.9221961244862007E-2"/>
    <n v="0.19226101436595075"/>
    <n v="0"/>
    <n v="-1"/>
    <n v="0"/>
    <n v="0"/>
    <s v="45-54"/>
  </r>
  <r>
    <s v="TX0968"/>
    <n v="8013"/>
    <n v="0.10899"/>
    <x v="2"/>
    <n v="10.050000000000001"/>
    <n v="8.5920000000000005"/>
    <n v="0"/>
    <n v="0"/>
    <x v="3"/>
    <n v="41"/>
    <x v="0"/>
    <x v="4"/>
    <n v="3"/>
    <n v="0"/>
    <n v="1.2685055865921788E-2"/>
    <n v="0.85492537313432837"/>
    <n v="0"/>
    <n v="-1"/>
    <n v="0"/>
    <n v="0"/>
    <s v="35-44"/>
  </r>
  <r>
    <s v="TX0969"/>
    <n v="8595"/>
    <n v="2.4140000000000002E-2"/>
    <x v="4"/>
    <n v="92.159000000000006"/>
    <n v="2.7440000000000002"/>
    <n v="0"/>
    <n v="1"/>
    <x v="4"/>
    <n v="19"/>
    <x v="3"/>
    <x v="4"/>
    <n v="3"/>
    <n v="0.36443148688046645"/>
    <n v="8.7973760932944598E-3"/>
    <n v="2.9774628630953027E-2"/>
    <n v="2.4140000000000002E-2"/>
    <n v="-1"/>
    <n v="0"/>
    <n v="0"/>
    <s v="18-24"/>
  </r>
  <r>
    <s v="TX0970"/>
    <n v="5681"/>
    <n v="0.14437"/>
    <x v="2"/>
    <n v="3.8570000000000002"/>
    <n v="7.12"/>
    <n v="0"/>
    <n v="0"/>
    <x v="3"/>
    <n v="58"/>
    <x v="2"/>
    <x v="4"/>
    <n v="3"/>
    <n v="0"/>
    <n v="2.0276685393258425E-2"/>
    <n v="1.8459942960850402"/>
    <n v="0"/>
    <n v="-1"/>
    <n v="0"/>
    <n v="0"/>
    <s v="55+"/>
  </r>
  <r>
    <s v="TX0971"/>
    <n v="9670"/>
    <n v="0.15987000000000001"/>
    <x v="0"/>
    <n v="25.869"/>
    <n v="1.3340000000000001"/>
    <n v="0"/>
    <n v="0"/>
    <x v="3"/>
    <n v="24"/>
    <x v="1"/>
    <x v="1"/>
    <n v="3"/>
    <n v="0"/>
    <n v="0.11984257871064467"/>
    <n v="5.1567513239785076E-2"/>
    <n v="0"/>
    <n v="-1"/>
    <n v="0"/>
    <n v="0"/>
    <s v="18-24"/>
  </r>
  <r>
    <s v="TX0972"/>
    <n v="8684"/>
    <n v="6.1260000000000002E-2"/>
    <x v="0"/>
    <n v="86.731999999999999"/>
    <n v="7.5960000000000001"/>
    <n v="0"/>
    <n v="0"/>
    <x v="3"/>
    <n v="56"/>
    <x v="1"/>
    <x v="2"/>
    <n v="2"/>
    <n v="0"/>
    <n v="8.0647709320695107E-3"/>
    <n v="8.7580131900567265E-2"/>
    <n v="0"/>
    <n v="-1"/>
    <n v="0"/>
    <n v="0"/>
    <s v="55+"/>
  </r>
  <r>
    <s v="TX0973"/>
    <n v="7657"/>
    <n v="3.04E-2"/>
    <x v="0"/>
    <n v="78.346000000000004"/>
    <n v="1.401"/>
    <n v="0"/>
    <n v="0"/>
    <x v="2"/>
    <n v="37"/>
    <x v="2"/>
    <x v="3"/>
    <n v="3"/>
    <n v="0"/>
    <n v="2.1698786581013561E-2"/>
    <n v="1.7882214790799784E-2"/>
    <n v="0"/>
    <n v="-1"/>
    <n v="0"/>
    <n v="0"/>
    <s v="35-44"/>
  </r>
  <r>
    <s v="TX0974"/>
    <n v="6495"/>
    <n v="3.6339999999999997E-2"/>
    <x v="2"/>
    <n v="47.345999999999997"/>
    <n v="1.5029999999999999"/>
    <n v="0"/>
    <n v="0"/>
    <x v="0"/>
    <n v="18"/>
    <x v="0"/>
    <x v="1"/>
    <n v="1"/>
    <n v="0"/>
    <n v="2.4178310046573521E-2"/>
    <n v="3.1745025978963379E-2"/>
    <n v="0"/>
    <n v="-1"/>
    <n v="0"/>
    <n v="0"/>
    <s v="18-24"/>
  </r>
  <r>
    <s v="TX0975"/>
    <n v="1900"/>
    <n v="6.6460000000000005E-2"/>
    <x v="2"/>
    <n v="62.408999999999999"/>
    <n v="3.5289999999999999"/>
    <n v="0"/>
    <n v="0"/>
    <x v="4"/>
    <n v="31"/>
    <x v="2"/>
    <x v="4"/>
    <n v="1"/>
    <n v="0"/>
    <n v="1.8832530461887223E-2"/>
    <n v="5.654633145860373E-2"/>
    <n v="0"/>
    <n v="-1"/>
    <n v="0"/>
    <n v="0"/>
    <s v="25-34"/>
  </r>
  <r>
    <s v="TX0976"/>
    <n v="6623"/>
    <n v="7.492E-2"/>
    <x v="0"/>
    <n v="54.704999999999998"/>
    <n v="9.3109999999999999"/>
    <n v="0"/>
    <n v="0"/>
    <x v="3"/>
    <n v="50"/>
    <x v="1"/>
    <x v="2"/>
    <n v="5"/>
    <n v="0"/>
    <n v="8.0463967350445711E-3"/>
    <n v="0.17020382049172836"/>
    <n v="0"/>
    <n v="-1"/>
    <n v="0"/>
    <n v="0"/>
    <s v="45-54"/>
  </r>
  <r>
    <s v="TX0977"/>
    <n v="6137"/>
    <n v="0"/>
    <x v="2"/>
    <n v="18.434999999999999"/>
    <n v="1.0649999999999999"/>
    <n v="0"/>
    <n v="0"/>
    <x v="0"/>
    <n v="54"/>
    <x v="2"/>
    <x v="2"/>
    <n v="4"/>
    <n v="0"/>
    <n v="0"/>
    <n v="5.777054515866558E-2"/>
    <n v="0"/>
    <n v="0"/>
    <n v="0"/>
    <n v="0"/>
    <s v="45-54"/>
  </r>
  <r>
    <s v="TX0978"/>
    <n v="4519"/>
    <n v="0.18984999999999999"/>
    <x v="3"/>
    <n v="85.507000000000005"/>
    <n v="0.64500000000000002"/>
    <n v="0"/>
    <n v="0"/>
    <x v="5"/>
    <n v="39"/>
    <x v="1"/>
    <x v="2"/>
    <n v="4"/>
    <n v="0"/>
    <n v="0.2943410852713178"/>
    <n v="7.5432420737483481E-3"/>
    <n v="0"/>
    <n v="-1"/>
    <n v="0"/>
    <n v="0"/>
    <s v="35-44"/>
  </r>
  <r>
    <s v="TX0979"/>
    <n v="4124"/>
    <n v="0.13427"/>
    <x v="0"/>
    <n v="75.766000000000005"/>
    <n v="7.4"/>
    <n v="0"/>
    <n v="0"/>
    <x v="2"/>
    <n v="56"/>
    <x v="1"/>
    <x v="4"/>
    <s v="Nil"/>
    <n v="0"/>
    <n v="1.8144594594594592E-2"/>
    <n v="9.7669139191721877E-2"/>
    <n v="0"/>
    <n v="-1"/>
    <n v="0"/>
    <n v="0"/>
    <s v="55+"/>
  </r>
  <r>
    <s v="TX0980"/>
    <n v="1175"/>
    <n v="6.182E-2"/>
    <x v="1"/>
    <n v="40.718000000000004"/>
    <n v="2.8919999999999999"/>
    <n v="0"/>
    <n v="0"/>
    <x v="0"/>
    <n v="26"/>
    <x v="2"/>
    <x v="2"/>
    <n v="2"/>
    <n v="0"/>
    <n v="2.1376210235131397E-2"/>
    <n v="7.1025099464610233E-2"/>
    <n v="0"/>
    <n v="-1"/>
    <n v="0"/>
    <n v="0"/>
    <s v="25-34"/>
  </r>
  <r>
    <s v="TX0981"/>
    <n v="3890"/>
    <n v="0.10942"/>
    <x v="2"/>
    <n v="35.765999999999998"/>
    <n v="2.8340000000000001"/>
    <n v="0"/>
    <n v="0"/>
    <x v="1"/>
    <n v="25"/>
    <x v="0"/>
    <x v="4"/>
    <n v="1"/>
    <n v="0"/>
    <n v="3.8609738884968242E-2"/>
    <n v="7.9237264441089306E-2"/>
    <n v="0"/>
    <n v="-1"/>
    <n v="0"/>
    <n v="0"/>
    <s v="25-34"/>
  </r>
  <r>
    <s v="TX0982"/>
    <n v="4581"/>
    <n v="0.17385"/>
    <x v="4"/>
    <n v="34.878"/>
    <n v="9.8409999999999993"/>
    <n v="0"/>
    <n v="0"/>
    <x v="0"/>
    <n v="34"/>
    <x v="0"/>
    <x v="2"/>
    <n v="1"/>
    <n v="0"/>
    <n v="1.7665887613047455E-2"/>
    <n v="0.28215494007683922"/>
    <n v="0"/>
    <n v="-1"/>
    <n v="0"/>
    <n v="0"/>
    <s v="25-34"/>
  </r>
  <r>
    <s v="TX0983"/>
    <n v="8728"/>
    <n v="7.8640000000000002E-2"/>
    <x v="4"/>
    <n v="70.539000000000001"/>
    <n v="5.3620000000000001"/>
    <n v="0"/>
    <n v="0"/>
    <x v="0"/>
    <n v="41"/>
    <x v="3"/>
    <x v="2"/>
    <n v="5"/>
    <n v="0"/>
    <n v="1.4666169339798583E-2"/>
    <n v="7.6014686910786944E-2"/>
    <n v="0"/>
    <n v="-1"/>
    <n v="0"/>
    <n v="0"/>
    <s v="35-44"/>
  </r>
  <r>
    <s v="TX0984"/>
    <n v="3493"/>
    <n v="0"/>
    <x v="0"/>
    <n v="39.246000000000002"/>
    <n v="2.5760000000000001"/>
    <n v="0"/>
    <n v="0"/>
    <x v="2"/>
    <n v="50"/>
    <x v="2"/>
    <x v="3"/>
    <n v="2"/>
    <n v="0"/>
    <n v="0"/>
    <n v="6.5637262396167767E-2"/>
    <n v="0"/>
    <n v="0"/>
    <n v="0"/>
    <n v="0"/>
    <s v="45-54"/>
  </r>
  <r>
    <s v="TX0985"/>
    <n v="7530"/>
    <n v="0.13650000000000001"/>
    <x v="5"/>
    <n v="84.025999999999996"/>
    <n v="0.66500000000000004"/>
    <n v="0"/>
    <n v="0"/>
    <x v="1"/>
    <n v="39"/>
    <x v="3"/>
    <x v="2"/>
    <n v="5"/>
    <n v="0"/>
    <n v="0.20526315789473684"/>
    <n v="7.9142170280627425E-3"/>
    <n v="0"/>
    <n v="-1"/>
    <n v="0"/>
    <n v="0"/>
    <s v="35-44"/>
  </r>
  <r>
    <s v="TX0986"/>
    <n v="8375"/>
    <n v="0.13109000000000001"/>
    <x v="2"/>
    <n v="86.866"/>
    <n v="4.524"/>
    <n v="0"/>
    <n v="1"/>
    <x v="3"/>
    <n v="31"/>
    <x v="3"/>
    <x v="2"/>
    <n v="1"/>
    <n v="0.22104332449160036"/>
    <n v="2.8976569407603892E-2"/>
    <n v="5.208021550434002E-2"/>
    <n v="0.13109000000000001"/>
    <n v="-1"/>
    <n v="0"/>
    <n v="0"/>
    <s v="25-34"/>
  </r>
  <r>
    <s v="TX0987"/>
    <n v="5661"/>
    <n v="1.223E-2"/>
    <x v="0"/>
    <n v="6.58"/>
    <n v="2.4020000000000001"/>
    <n v="0"/>
    <n v="1"/>
    <x v="2"/>
    <n v="49"/>
    <x v="2"/>
    <x v="3"/>
    <n v="2"/>
    <n v="0.4163197335553705"/>
    <n v="5.0915903413821812E-3"/>
    <n v="0.36504559270516718"/>
    <n v="1.223E-2"/>
    <n v="-1"/>
    <n v="0"/>
    <n v="0"/>
    <s v="45-54"/>
  </r>
  <r>
    <s v="TX0988"/>
    <n v="9620"/>
    <n v="0.12669"/>
    <x v="5"/>
    <n v="56.533999999999999"/>
    <n v="3.7349999999999999"/>
    <n v="0"/>
    <n v="0"/>
    <x v="0"/>
    <n v="40"/>
    <x v="1"/>
    <x v="2"/>
    <n v="3"/>
    <n v="0"/>
    <n v="3.3919678714859437E-2"/>
    <n v="6.6066437895779526E-2"/>
    <n v="0"/>
    <n v="-1"/>
    <n v="0"/>
    <n v="0"/>
    <s v="35-44"/>
  </r>
  <r>
    <s v="TX0989"/>
    <n v="5895"/>
    <n v="0"/>
    <x v="3"/>
    <n v="5.3129999999999997"/>
    <n v="4.0229999999999997"/>
    <n v="0"/>
    <n v="0"/>
    <x v="4"/>
    <n v="48"/>
    <x v="1"/>
    <x v="3"/>
    <n v="2"/>
    <n v="0"/>
    <n v="0"/>
    <n v="0.75719932241671373"/>
    <n v="0"/>
    <n v="0"/>
    <n v="0"/>
    <n v="0"/>
    <s v="45-54"/>
  </r>
  <r>
    <s v="TX0990"/>
    <n v="2533"/>
    <n v="0.12883"/>
    <x v="0"/>
    <n v="40.283999999999999"/>
    <n v="3.0720000000000001"/>
    <n v="0"/>
    <n v="0"/>
    <x v="5"/>
    <n v="47"/>
    <x v="2"/>
    <x v="0"/>
    <n v="3"/>
    <n v="0"/>
    <n v="4.1936848958333335E-2"/>
    <n v="7.6258564194221029E-2"/>
    <n v="0"/>
    <n v="-1"/>
    <n v="0"/>
    <n v="0"/>
    <s v="45-54"/>
  </r>
  <r>
    <s v="TX0991"/>
    <n v="1587"/>
    <n v="0.17135"/>
    <x v="4"/>
    <n v="68.986999999999995"/>
    <n v="4.9450000000000003"/>
    <n v="0.38075999999999999"/>
    <n v="1"/>
    <x v="3"/>
    <n v="51"/>
    <x v="2"/>
    <x v="4"/>
    <s v="Nil"/>
    <n v="0.20222446916076844"/>
    <n v="3.4651162790697673E-2"/>
    <n v="7.1680171626538336E-2"/>
    <n v="0.17135"/>
    <n v="1.2221184709658592"/>
    <n v="2.2221184709658592"/>
    <n v="7.699898887765419E-2"/>
    <s v="45-54"/>
  </r>
  <r>
    <s v="TX0992"/>
    <n v="8725"/>
    <n v="0.19076000000000001"/>
    <x v="2"/>
    <n v="67.501000000000005"/>
    <n v="9.33"/>
    <n v="0"/>
    <n v="0"/>
    <x v="0"/>
    <n v="31"/>
    <x v="3"/>
    <x v="0"/>
    <n v="5"/>
    <n v="0"/>
    <n v="2.044587352625938E-2"/>
    <n v="0.13822017451593308"/>
    <n v="0"/>
    <n v="-1"/>
    <n v="0"/>
    <n v="0"/>
    <s v="25-34"/>
  </r>
  <r>
    <s v="TX0993"/>
    <n v="7923"/>
    <n v="0"/>
    <x v="3"/>
    <n v="5.0110000000000001"/>
    <n v="8.0150000000000006"/>
    <n v="0"/>
    <n v="0"/>
    <x v="2"/>
    <n v="61"/>
    <x v="0"/>
    <x v="0"/>
    <n v="1"/>
    <n v="0"/>
    <n v="0"/>
    <n v="1.5994811414887249"/>
    <n v="0"/>
    <n v="0"/>
    <n v="0"/>
    <n v="0"/>
    <s v="55+"/>
  </r>
  <r>
    <s v="TX0994"/>
    <n v="8365"/>
    <n v="0.11221"/>
    <x v="3"/>
    <n v="83.634"/>
    <n v="5.4509999999999996"/>
    <n v="0"/>
    <n v="0"/>
    <x v="0"/>
    <n v="43"/>
    <x v="2"/>
    <x v="1"/>
    <n v="1"/>
    <n v="0"/>
    <n v="2.0585213722252801E-2"/>
    <n v="6.5176841954229139E-2"/>
    <n v="0"/>
    <n v="-1"/>
    <n v="0"/>
    <n v="0"/>
    <s v="35-44"/>
  </r>
  <r>
    <s v="TX0995"/>
    <n v="4167"/>
    <n v="0.16846"/>
    <x v="2"/>
    <n v="22.452000000000002"/>
    <n v="8.4909999999999997"/>
    <n v="0"/>
    <n v="0"/>
    <x v="2"/>
    <n v="33"/>
    <x v="3"/>
    <x v="0"/>
    <n v="5"/>
    <n v="0"/>
    <n v="1.9839830408668001E-2"/>
    <n v="0.37818457153037588"/>
    <n v="0"/>
    <n v="-1"/>
    <n v="0"/>
    <n v="0"/>
    <s v="25-34"/>
  </r>
  <r>
    <s v="TX0996"/>
    <n v="4460"/>
    <n v="0"/>
    <x v="5"/>
    <n v="52.524000000000001"/>
    <n v="5.2030000000000003"/>
    <n v="0"/>
    <n v="0"/>
    <x v="3"/>
    <n v="44"/>
    <x v="2"/>
    <x v="2"/>
    <n v="2"/>
    <n v="0"/>
    <n v="0"/>
    <n v="9.9059477572157495E-2"/>
    <n v="0"/>
    <n v="0"/>
    <n v="0"/>
    <n v="0"/>
    <s v="35-44"/>
  </r>
  <r>
    <s v="TX0997"/>
    <n v="7771"/>
    <n v="1.7610000000000001E-2"/>
    <x v="1"/>
    <n v="48.524000000000001"/>
    <n v="8.8680000000000003"/>
    <n v="0"/>
    <n v="0"/>
    <x v="4"/>
    <n v="46"/>
    <x v="3"/>
    <x v="0"/>
    <n v="3"/>
    <n v="0"/>
    <n v="1.9857916102841676E-3"/>
    <n v="0.18275492539774132"/>
    <n v="0"/>
    <n v="-1"/>
    <n v="0"/>
    <n v="0"/>
    <s v="45-54"/>
  </r>
  <r>
    <s v="TX0998"/>
    <n v="9714"/>
    <n v="0"/>
    <x v="2"/>
    <n v="80.733999999999995"/>
    <n v="5.0970000000000004"/>
    <n v="0"/>
    <n v="0"/>
    <x v="5"/>
    <n v="59"/>
    <x v="3"/>
    <x v="3"/>
    <n v="1"/>
    <n v="0"/>
    <n v="0"/>
    <n v="6.3133252409146093E-2"/>
    <n v="0"/>
    <n v="0"/>
    <n v="0"/>
    <n v="0"/>
    <s v="55+"/>
  </r>
  <r>
    <s v="TX0999"/>
    <n v="4699"/>
    <n v="7.8950000000000006E-2"/>
    <x v="3"/>
    <n v="20.132999999999999"/>
    <n v="6.218"/>
    <n v="0"/>
    <n v="0"/>
    <x v="0"/>
    <n v="33"/>
    <x v="0"/>
    <x v="2"/>
    <s v="Nil"/>
    <n v="0"/>
    <n v="1.2697008684464458E-2"/>
    <n v="0.30884617294988331"/>
    <n v="0"/>
    <n v="-1"/>
    <n v="0"/>
    <n v="0"/>
    <s v="25-34"/>
  </r>
  <r>
    <s v="TX1000"/>
    <n v="8888"/>
    <n v="0.14899000000000001"/>
    <x v="3"/>
    <n v="62.926000000000002"/>
    <n v="1.7569999999999999"/>
    <n v="0"/>
    <n v="1"/>
    <x v="1"/>
    <n v="24"/>
    <x v="2"/>
    <x v="3"/>
    <n v="5"/>
    <n v="0.56915196357427433"/>
    <n v="8.4797951052931142E-2"/>
    <n v="2.7921685789657692E-2"/>
    <n v="0.14899000000000001"/>
    <n v="-1"/>
    <n v="0"/>
    <n v="0"/>
    <s v="18-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37:D44" firstHeaderRow="0" firstDataRow="1" firstDataCol="1"/>
  <pivotFields count="21">
    <pivotField showAll="0"/>
    <pivotField showAll="0"/>
    <pivotField numFmtId="44" showAll="0"/>
    <pivotField axis="axisRow" showAll="0" sortType="ascending">
      <items count="7">
        <item x="1"/>
        <item x="4"/>
        <item x="2"/>
        <item x="0"/>
        <item x="3"/>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numFmtId="10" showAll="0"/>
    <pivotField dataField="1" numFmtId="44" showAll="0"/>
    <pivotField dataField="1" numFmtId="10" showAll="0"/>
    <pivotField numFmtId="2" showAll="0"/>
    <pivotField numFmtId="2" showAll="0"/>
    <pivotField showAll="0"/>
    <pivotField numFmtId="2" showAll="0"/>
    <pivotField showAll="0"/>
  </pivotFields>
  <rowFields count="1">
    <field x="3"/>
  </rowFields>
  <rowItems count="7">
    <i>
      <x v="4"/>
    </i>
    <i>
      <x v="3"/>
    </i>
    <i>
      <x v="5"/>
    </i>
    <i>
      <x/>
    </i>
    <i>
      <x v="1"/>
    </i>
    <i>
      <x v="2"/>
    </i>
    <i t="grand">
      <x/>
    </i>
  </rowItems>
  <colFields count="1">
    <field x="-2"/>
  </colFields>
  <colItems count="2">
    <i>
      <x/>
    </i>
    <i i="1">
      <x v="1"/>
    </i>
  </colItems>
  <dataFields count="2">
    <dataField name="Average of CPC" fld="14" subtotal="average" baseField="0" baseItem="0" numFmtId="164"/>
    <dataField name="Average of CTR" fld="15" subtotal="average" baseField="0" baseItem="0" numFmtId="2"/>
  </dataFields>
  <formats count="32">
    <format dxfId="72">
      <pivotArea outline="0" collapsedLevelsAreSubtotals="1" fieldPosition="0">
        <references count="1">
          <reference field="4294967294" count="1" selected="0">
            <x v="1"/>
          </reference>
        </references>
      </pivotArea>
    </format>
    <format dxfId="71">
      <pivotArea outline="0" collapsedLevelsAreSubtotals="1" fieldPosition="0">
        <references count="1">
          <reference field="4294967294" count="1" selected="0">
            <x v="1"/>
          </reference>
        </references>
      </pivotArea>
    </format>
    <format dxfId="70">
      <pivotArea outline="0" collapsedLevelsAreSubtotals="1" fieldPosition="0">
        <references count="1">
          <reference field="4294967294" count="1" selected="0">
            <x v="1"/>
          </reference>
        </references>
      </pivotArea>
    </format>
    <format dxfId="69">
      <pivotArea outline="0" collapsedLevelsAreSubtotals="1" fieldPosition="0">
        <references count="1">
          <reference field="4294967294" count="1" selected="0">
            <x v="1"/>
          </reference>
        </references>
      </pivotArea>
    </format>
    <format dxfId="68">
      <pivotArea outline="0" collapsedLevelsAreSubtotals="1" fieldPosition="0">
        <references count="1">
          <reference field="4294967294" count="1" selected="0">
            <x v="1"/>
          </reference>
        </references>
      </pivotArea>
    </format>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0"/>
          </reference>
        </references>
      </pivotArea>
    </format>
    <format dxfId="63">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0"/>
          </reference>
        </references>
      </pivotArea>
    </format>
    <format dxfId="60">
      <pivotArea outline="0" collapsedLevelsAreSubtotals="1" fieldPosition="0">
        <references count="1">
          <reference field="4294967294" count="1" selected="0">
            <x v="0"/>
          </reference>
        </references>
      </pivotArea>
    </format>
    <format dxfId="59">
      <pivotArea outline="0" collapsedLevelsAreSubtotals="1" fieldPosition="0">
        <references count="1">
          <reference field="4294967294" count="1" selected="0">
            <x v="0"/>
          </reference>
        </references>
      </pivotArea>
    </format>
    <format dxfId="58">
      <pivotArea outline="0" collapsedLevelsAreSubtotals="1" fieldPosition="0">
        <references count="1">
          <reference field="4294967294" count="1" selected="0">
            <x v="0"/>
          </reference>
        </references>
      </pivotArea>
    </format>
    <format dxfId="57">
      <pivotArea outline="0" collapsedLevelsAreSubtotals="1" fieldPosition="0">
        <references count="1">
          <reference field="4294967294" count="1" selected="0">
            <x v="0"/>
          </reference>
        </references>
      </pivotArea>
    </format>
    <format dxfId="56">
      <pivotArea outline="0" collapsedLevelsAreSubtotals="1" fieldPosition="0">
        <references count="1">
          <reference field="4294967294" count="1" selected="0">
            <x v="0"/>
          </reference>
        </references>
      </pivotArea>
    </format>
    <format dxfId="55">
      <pivotArea outline="0" collapsedLevelsAreSubtotals="1" fieldPosition="0">
        <references count="1">
          <reference field="4294967294" count="1" selected="0">
            <x v="0"/>
          </reference>
        </references>
      </pivotArea>
    </format>
    <format dxfId="54">
      <pivotArea collapsedLevelsAreSubtotals="1" fieldPosition="0">
        <references count="2">
          <reference field="4294967294" count="1" selected="0">
            <x v="1"/>
          </reference>
          <reference field="3" count="0"/>
        </references>
      </pivotArea>
    </format>
    <format dxfId="53">
      <pivotArea collapsedLevelsAreSubtotals="1" fieldPosition="0">
        <references count="2">
          <reference field="4294967294" count="1" selected="0">
            <x v="1"/>
          </reference>
          <reference field="3" count="0"/>
        </references>
      </pivotArea>
    </format>
    <format dxfId="52">
      <pivotArea collapsedLevelsAreSubtotals="1" fieldPosition="0">
        <references count="2">
          <reference field="4294967294" count="1" selected="0">
            <x v="1"/>
          </reference>
          <reference field="3" count="0"/>
        </references>
      </pivotArea>
    </format>
    <format dxfId="51">
      <pivotArea collapsedLevelsAreSubtotals="1" fieldPosition="0">
        <references count="2">
          <reference field="4294967294" count="1" selected="0">
            <x v="1"/>
          </reference>
          <reference field="3" count="0"/>
        </references>
      </pivotArea>
    </format>
    <format dxfId="50">
      <pivotArea collapsedLevelsAreSubtotals="1" fieldPosition="0">
        <references count="2">
          <reference field="4294967294" count="1" selected="0">
            <x v="1"/>
          </reference>
          <reference field="3" count="0"/>
        </references>
      </pivotArea>
    </format>
    <format dxfId="49">
      <pivotArea collapsedLevelsAreSubtotals="1" fieldPosition="0">
        <references count="2">
          <reference field="4294967294" count="1" selected="0">
            <x v="1"/>
          </reference>
          <reference field="3" count="0"/>
        </references>
      </pivotArea>
    </format>
    <format dxfId="48">
      <pivotArea collapsedLevelsAreSubtotals="1" fieldPosition="0">
        <references count="2">
          <reference field="4294967294" count="1" selected="0">
            <x v="1"/>
          </reference>
          <reference field="3" count="0"/>
        </references>
      </pivotArea>
    </format>
    <format dxfId="47">
      <pivotArea collapsedLevelsAreSubtotals="1" fieldPosition="0">
        <references count="2">
          <reference field="4294967294" count="1" selected="0">
            <x v="1"/>
          </reference>
          <reference field="3" count="0"/>
        </references>
      </pivotArea>
    </format>
    <format dxfId="46">
      <pivotArea collapsedLevelsAreSubtotals="1" fieldPosition="0">
        <references count="2">
          <reference field="4294967294" count="1" selected="0">
            <x v="1"/>
          </reference>
          <reference field="3" count="0"/>
        </references>
      </pivotArea>
    </format>
    <format dxfId="45">
      <pivotArea collapsedLevelsAreSubtotals="1" fieldPosition="0">
        <references count="2">
          <reference field="4294967294" count="1" selected="0">
            <x v="1"/>
          </reference>
          <reference field="3" count="0"/>
        </references>
      </pivotArea>
    </format>
    <format dxfId="44">
      <pivotArea collapsedLevelsAreSubtotals="1" fieldPosition="0">
        <references count="2">
          <reference field="4294967294" count="1" selected="0">
            <x v="1"/>
          </reference>
          <reference field="3" count="0"/>
        </references>
      </pivotArea>
    </format>
    <format dxfId="43">
      <pivotArea collapsedLevelsAreSubtotals="1" fieldPosition="0">
        <references count="2">
          <reference field="4294967294" count="1" selected="0">
            <x v="1"/>
          </reference>
          <reference field="3" count="0"/>
        </references>
      </pivotArea>
    </format>
    <format dxfId="42">
      <pivotArea outline="0" collapsedLevelsAreSubtotals="1" fieldPosition="0">
        <references count="1">
          <reference field="4294967294" count="1" selected="0">
            <x v="1"/>
          </reference>
        </references>
      </pivotArea>
    </format>
    <format dxfId="41">
      <pivotArea outline="0" collapsedLevelsAreSubtotals="1" fieldPosition="0">
        <references count="1">
          <reference field="4294967294" count="1" selected="0">
            <x v="1"/>
          </reference>
        </references>
      </pivotArea>
    </format>
  </formats>
  <chartFormats count="4">
    <chartFormat chart="6" format="8"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74:C81" firstHeaderRow="1" firstDataRow="1" firstDataCol="1"/>
  <pivotFields count="21">
    <pivotField showAll="0"/>
    <pivotField showAll="0"/>
    <pivotField numFmtId="44" showAll="0"/>
    <pivotField axis="axisRow" showAll="0">
      <items count="7">
        <item x="1"/>
        <item x="4"/>
        <item x="2"/>
        <item x="0"/>
        <item x="3"/>
        <item x="5"/>
        <item t="default"/>
      </items>
    </pivotField>
    <pivotField showAll="0"/>
    <pivotField showAll="0"/>
    <pivotField showAll="0"/>
    <pivotField showAll="0"/>
    <pivotField showAll="0">
      <items count="7">
        <item x="2"/>
        <item x="0"/>
        <item x="3"/>
        <item x="4"/>
        <item x="5"/>
        <item x="1"/>
        <item t="default"/>
      </items>
    </pivotField>
    <pivotField showAll="0"/>
    <pivotField showAll="0">
      <items count="5">
        <item x="2"/>
        <item x="1"/>
        <item x="3"/>
        <item x="0"/>
        <item t="default"/>
      </items>
    </pivotField>
    <pivotField showAll="0"/>
    <pivotField showAll="0"/>
    <pivotField numFmtId="10" showAll="0"/>
    <pivotField numFmtId="44" showAll="0"/>
    <pivotField numFmtId="10" showAll="0"/>
    <pivotField numFmtId="2" showAll="0"/>
    <pivotField dataField="1" numFmtId="2" showAll="0"/>
    <pivotField showAll="0"/>
    <pivotField numFmtId="2" showAll="0"/>
    <pivotField showAll="0"/>
  </pivotFields>
  <rowFields count="1">
    <field x="3"/>
  </rowFields>
  <rowItems count="7">
    <i>
      <x/>
    </i>
    <i>
      <x v="1"/>
    </i>
    <i>
      <x v="2"/>
    </i>
    <i>
      <x v="3"/>
    </i>
    <i>
      <x v="4"/>
    </i>
    <i>
      <x v="5"/>
    </i>
    <i t="grand">
      <x/>
    </i>
  </rowItems>
  <colItems count="1">
    <i/>
  </colItems>
  <dataFields count="1">
    <dataField name="Sum of ROI"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15:C22" firstHeaderRow="1" firstDataRow="1" firstDataCol="1"/>
  <pivotFields count="21">
    <pivotField showAll="0"/>
    <pivotField showAll="0"/>
    <pivotField numFmtId="44" showAll="0"/>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0" showAll="0"/>
    <pivotField numFmtId="44" showAll="0"/>
    <pivotField numFmtId="10" showAll="0"/>
    <pivotField dataField="1" numFmtId="2" showAll="0"/>
    <pivotField numFmtId="2" showAll="0"/>
    <pivotField showAll="0"/>
    <pivotField numFmtId="2" showAll="0"/>
    <pivotField showAll="0"/>
  </pivotFields>
  <rowFields count="1">
    <field x="3"/>
  </rowFields>
  <rowItems count="7">
    <i>
      <x v="5"/>
    </i>
    <i>
      <x/>
    </i>
    <i>
      <x v="3"/>
    </i>
    <i>
      <x v="1"/>
    </i>
    <i>
      <x v="4"/>
    </i>
    <i>
      <x v="2"/>
    </i>
    <i t="grand">
      <x/>
    </i>
  </rowItems>
  <colItems count="1">
    <i/>
  </colItems>
  <dataFields count="1">
    <dataField name="Sum of CPA" fld="16" baseField="0" baseItem="0" numFmtId="167"/>
  </dataFields>
  <formats count="6">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s>
  <chartFormats count="2">
    <chartFormat chart="0" format="12"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27:C34" firstHeaderRow="1" firstDataRow="1" firstDataCol="1"/>
  <pivotFields count="21">
    <pivotField showAll="0"/>
    <pivotField showAll="0"/>
    <pivotField numFmtId="44" showAll="0"/>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numFmtId="10" showAll="0"/>
    <pivotField numFmtId="44" showAll="0"/>
    <pivotField numFmtId="10" showAll="0"/>
    <pivotField numFmtId="2" showAll="0"/>
    <pivotField numFmtId="2" showAll="0"/>
    <pivotField showAll="0"/>
    <pivotField numFmtId="2" showAll="0"/>
    <pivotField showAll="0"/>
  </pivotFields>
  <rowFields count="1">
    <field x="3"/>
  </rowFields>
  <rowItems count="7">
    <i>
      <x v="5"/>
    </i>
    <i>
      <x/>
    </i>
    <i>
      <x v="4"/>
    </i>
    <i>
      <x v="1"/>
    </i>
    <i>
      <x v="3"/>
    </i>
    <i>
      <x v="2"/>
    </i>
    <i t="grand">
      <x/>
    </i>
  </rowItems>
  <colItems count="1">
    <i/>
  </colItems>
  <dataFields count="1">
    <dataField name="Sum of Clicks" fld="5" baseField="0" baseItem="0" numFmtId="165"/>
  </dataFields>
  <formats count="1">
    <format dxfId="79">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4:C11" firstHeaderRow="1" firstDataRow="1" firstDataCol="1"/>
  <pivotFields count="21">
    <pivotField showAll="0"/>
    <pivotField showAll="0"/>
    <pivotField dataField="1" numFmtId="44" showAll="0"/>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1"/>
        <item x="0"/>
        <item x="4"/>
        <item x="3"/>
        <item x="2"/>
        <item t="default"/>
      </items>
    </pivotField>
    <pivotField showAll="0"/>
    <pivotField numFmtId="10" showAll="0"/>
    <pivotField numFmtId="44" showAll="0"/>
    <pivotField numFmtId="10" showAll="0"/>
    <pivotField numFmtId="2" showAll="0"/>
    <pivotField numFmtId="2" showAll="0"/>
    <pivotField showAll="0"/>
    <pivotField numFmtId="2" showAll="0"/>
    <pivotField showAll="0"/>
  </pivotFields>
  <rowFields count="1">
    <field x="3"/>
  </rowFields>
  <rowItems count="7">
    <i>
      <x v="5"/>
    </i>
    <i>
      <x/>
    </i>
    <i>
      <x v="3"/>
    </i>
    <i>
      <x v="1"/>
    </i>
    <i>
      <x v="4"/>
    </i>
    <i>
      <x v="2"/>
    </i>
    <i t="grand">
      <x/>
    </i>
  </rowItems>
  <colItems count="1">
    <i/>
  </colItems>
  <dataFields count="1">
    <dataField name="Sum of MarketingSpend" fld="2" baseField="0" baseItem="0" numFmtId="167"/>
  </dataFields>
  <formats count="7">
    <format dxfId="86">
      <pivotArea collapsedLevelsAreSubtotals="1" fieldPosition="0">
        <references count="1">
          <reference field="3" count="0"/>
        </references>
      </pivotArea>
    </format>
    <format dxfId="85">
      <pivotArea collapsedLevelsAreSubtotals="1" fieldPosition="0">
        <references count="1">
          <reference field="3" count="0"/>
        </references>
      </pivotArea>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49:C56" firstHeaderRow="1" firstDataRow="1" firstDataCol="1"/>
  <pivotFields count="21">
    <pivotField showAll="0"/>
    <pivotField showAll="0"/>
    <pivotField numFmtId="44" showAll="0"/>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numFmtId="10" showAll="0"/>
    <pivotField numFmtId="44" showAll="0"/>
    <pivotField numFmtId="10" showAll="0"/>
    <pivotField numFmtId="2" showAll="0"/>
    <pivotField numFmtId="2" showAll="0"/>
    <pivotField showAll="0"/>
    <pivotField numFmtId="2" showAll="0"/>
    <pivotField showAll="0"/>
  </pivotFields>
  <rowFields count="1">
    <field x="3"/>
  </rowFields>
  <rowItems count="7">
    <i>
      <x/>
    </i>
    <i>
      <x v="5"/>
    </i>
    <i>
      <x v="4"/>
    </i>
    <i>
      <x v="1"/>
    </i>
    <i>
      <x v="3"/>
    </i>
    <i>
      <x v="2"/>
    </i>
    <i t="grand">
      <x/>
    </i>
  </rowItems>
  <colItems count="1">
    <i/>
  </colItems>
  <dataFields count="1">
    <dataField name="Sum of PaidCustomer" fld="7" baseField="0" baseItem="0"/>
  </dataFields>
  <chartFormats count="2">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7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63:C70" firstHeaderRow="1" firstDataRow="1" firstDataCol="1"/>
  <pivotFields count="21">
    <pivotField showAll="0"/>
    <pivotField showAll="0"/>
    <pivotField numFmtId="44" showAll="0"/>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7">
        <item x="2"/>
        <item x="0"/>
        <item x="3"/>
        <item x="4"/>
        <item x="5"/>
        <item x="1"/>
        <item t="default"/>
      </items>
    </pivotField>
    <pivotField showAll="0"/>
    <pivotField showAll="0">
      <items count="5">
        <item x="2"/>
        <item x="1"/>
        <item x="3"/>
        <item x="0"/>
        <item t="default"/>
      </items>
    </pivotField>
    <pivotField showAll="0"/>
    <pivotField showAll="0"/>
    <pivotField numFmtId="10" showAll="0"/>
    <pivotField numFmtId="44" showAll="0"/>
    <pivotField numFmtId="10" showAll="0"/>
    <pivotField numFmtId="2" showAll="0"/>
    <pivotField numFmtId="2" showAll="0"/>
    <pivotField showAll="0"/>
    <pivotField numFmtId="2" showAll="0"/>
    <pivotField showAll="0"/>
  </pivotFields>
  <rowFields count="1">
    <field x="3"/>
  </rowFields>
  <rowItems count="7">
    <i>
      <x v="5"/>
    </i>
    <i>
      <x v="4"/>
    </i>
    <i>
      <x v="1"/>
    </i>
    <i>
      <x/>
    </i>
    <i>
      <x v="2"/>
    </i>
    <i>
      <x v="3"/>
    </i>
    <i t="grand">
      <x/>
    </i>
  </rowItems>
  <colItems count="1">
    <i/>
  </colItems>
  <dataFields count="1">
    <dataField name="Sum of Revenue" fld="6" baseField="0" baseItem="0" numFmtId="167"/>
  </dataFields>
  <formats count="3">
    <format dxfId="89">
      <pivotArea outline="0" collapsedLevelsAreSubtotals="1" fieldPosition="0"/>
    </format>
    <format dxfId="88">
      <pivotArea outline="0" collapsedLevelsAreSubtotals="1" fieldPosition="0"/>
    </format>
    <format dxfId="87">
      <pivotArea outline="0" fieldPosition="0">
        <references count="1">
          <reference field="4294967294" count="1">
            <x v="0"/>
          </reference>
        </references>
      </pivotArea>
    </format>
  </formats>
  <chartFormats count="2">
    <chartFormat chart="6" format="6"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5" name="PivotTable2"/>
    <pivotTable tabId="5" name="PivotTable4"/>
  </pivotTables>
  <data>
    <tabular pivotCacheId="1">
      <items count="6">
        <i x="2" s="1"/>
        <i x="0" s="1"/>
        <i x="3"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Location" sourceName="CustomerLocation">
  <pivotTables>
    <pivotTable tabId="5" name="PivotTable2"/>
    <pivotTable tabId="5" name="PivotTable4"/>
  </pivotTables>
  <data>
    <tabular pivotCacheId="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ferralSource" sourceName="ReferralSource">
  <pivotTables>
    <pivotTable tabId="5" name="PivotTable1"/>
  </pivotTables>
  <data>
    <tabular pivotCacheId="1">
      <items count="5">
        <i x="1" s="1"/>
        <i x="0" s="1"/>
        <i x="4"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style="SlicerStyleLight4 2" rowHeight="241300"/>
  <slicer name="CustomerLocation" cache="Slicer_CustomerLocation" caption="CustomerLocation" style="SlicerStyleLight4 2" rowHeight="241300"/>
  <slicer name="ReferralSource" cache="Slicer_ReferralSource" caption="ReferralSource" columnCount="2" style="SlicerStyleLight4 2" rowHeight="241300"/>
</slicers>
</file>

<file path=xl/tables/table1.xml><?xml version="1.0" encoding="utf-8"?>
<table xmlns="http://schemas.openxmlformats.org/spreadsheetml/2006/main" id="1" name="Table1" displayName="Table1" ref="A1:U1002" totalsRowCount="1">
  <autoFilter ref="A1:U1001"/>
  <tableColumns count="21">
    <tableColumn id="1" name="TransactionID" totalsRowDxfId="40"/>
    <tableColumn id="2" name="CustomerID" dataDxfId="39" totalsRowDxfId="38"/>
    <tableColumn id="3" name="MarketingSpend" totalsRowFunction="sum" dataDxfId="37" totalsRowDxfId="36" dataCellStyle="Currency"/>
    <tableColumn id="4" name="CampaignType" dataDxfId="35" totalsRowDxfId="34"/>
    <tableColumn id="5" name="Impressions" totalsRowLabel="50,672K" dataDxfId="33" totalsRowDxfId="32"/>
    <tableColumn id="6" name="Clicks" totalsRowFunction="sum" dataDxfId="31" totalsRowDxfId="30"/>
    <tableColumn id="21" name="Revenue" totalsRowFunction="sum" dataDxfId="29" totalsRowDxfId="28" dataCellStyle="Currency"/>
    <tableColumn id="8" name="PaidCustomer" totalsRowFunction="sum" dataDxfId="27" totalsRowDxfId="26"/>
    <tableColumn id="9" name="ProductCategory" dataDxfId="25" totalsRowDxfId="24"/>
    <tableColumn id="11" name="CustomerAge" dataDxfId="23" totalsRowDxfId="22"/>
    <tableColumn id="12" name="CustomerLocation" dataDxfId="21" totalsRowDxfId="20"/>
    <tableColumn id="13" name="ReferralSource" dataDxfId="19" totalsRowDxfId="18"/>
    <tableColumn id="14" name="CustomerSatisfaction" dataDxfId="17" totalsRowDxfId="16"/>
    <tableColumn id="10" name="ConvRate" totalsRowFunction="average" dataDxfId="15" totalsRowDxfId="14" dataCellStyle="Percent">
      <calculatedColumnFormula>IF(F2=0,0,H2/F2)</calculatedColumnFormula>
    </tableColumn>
    <tableColumn id="16" name="CPC" totalsRowFunction="sum" dataDxfId="13" totalsRowDxfId="12" dataCellStyle="Currency">
      <calculatedColumnFormula>IF(F2=0,0,C2/F2)</calculatedColumnFormula>
    </tableColumn>
    <tableColumn id="17" name="CTR" totalsRowFunction="sum" dataDxfId="11" totalsRowDxfId="10" dataCellStyle="Percent">
      <calculatedColumnFormula>IF(E2=0,0,F2/E2)</calculatedColumnFormula>
    </tableColumn>
    <tableColumn id="18" name="CPA" totalsRowFunction="sum" dataDxfId="9" totalsRowDxfId="8">
      <calculatedColumnFormula>IF(H2=0,0,C2/H2)</calculatedColumnFormula>
    </tableColumn>
    <tableColumn id="19" name="ROI" totalsRowFunction="sum" dataDxfId="7" totalsRowDxfId="6">
      <calculatedColumnFormula>IF(C2=0,0,(G2-C2)/C2)</calculatedColumnFormula>
    </tableColumn>
    <tableColumn id="7" name="ROAS" dataDxfId="5" totalsRowDxfId="4">
      <calculatedColumnFormula>IF(G2=0,0,G2/C2)</calculatedColumnFormula>
    </tableColumn>
    <tableColumn id="20" name="RPC" totalsRowFunction="sum" dataDxfId="3" totalsRowDxfId="2">
      <calculatedColumnFormula>IF(F2=0,0,G2/F2)</calculatedColumnFormula>
    </tableColumn>
    <tableColumn id="22" name="AgeGroup" totalsRowFunction="sum" dataDxfId="1" totalsRowDxfId="0">
      <calculatedColumnFormula>IF(J2&lt;25,"18-24",IF(J2&lt;35,"25-34",IF(J2&lt;45,"35-44",IF(J2&lt;55,"45-54","55+"))))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selection activeCell="I75" sqref="I75"/>
    </sheetView>
  </sheetViews>
  <sheetFormatPr defaultRowHeight="15"/>
  <cols>
    <col min="3" max="3" width="15.7109375" bestFit="1" customWidth="1"/>
    <col min="6" max="6" width="11" bestFit="1" customWidth="1"/>
    <col min="7" max="7" width="15.140625" bestFit="1" customWidth="1"/>
    <col min="10" max="10" width="15" style="11" bestFit="1" customWidth="1"/>
    <col min="11" max="11" width="13.140625" bestFit="1" customWidth="1"/>
  </cols>
  <sheetData>
    <row r="1" spans="1:16">
      <c r="A1" t="s">
        <v>0</v>
      </c>
      <c r="B1" t="s">
        <v>1</v>
      </c>
      <c r="C1" t="s">
        <v>2</v>
      </c>
      <c r="D1" t="s">
        <v>3</v>
      </c>
      <c r="E1" t="s">
        <v>4</v>
      </c>
      <c r="F1" t="s">
        <v>5</v>
      </c>
      <c r="G1" t="s">
        <v>6</v>
      </c>
      <c r="H1" t="s">
        <v>7</v>
      </c>
      <c r="I1" t="s">
        <v>8</v>
      </c>
      <c r="J1" s="11" t="s">
        <v>9</v>
      </c>
      <c r="K1" t="s">
        <v>10</v>
      </c>
      <c r="L1" t="s">
        <v>11</v>
      </c>
      <c r="M1" t="s">
        <v>12</v>
      </c>
      <c r="N1" t="s">
        <v>13</v>
      </c>
    </row>
    <row r="2" spans="1:16">
      <c r="A2" t="s">
        <v>14</v>
      </c>
      <c r="B2">
        <v>1260</v>
      </c>
      <c r="C2">
        <v>101.89</v>
      </c>
      <c r="D2" t="s">
        <v>15</v>
      </c>
      <c r="E2">
        <v>7584</v>
      </c>
      <c r="F2" t="s">
        <v>16</v>
      </c>
      <c r="G2">
        <v>0.16950000000000001</v>
      </c>
      <c r="I2" t="s">
        <v>17</v>
      </c>
      <c r="J2" s="11">
        <v>0</v>
      </c>
      <c r="K2">
        <v>20</v>
      </c>
      <c r="L2" t="s">
        <v>18</v>
      </c>
      <c r="M2" t="s">
        <v>19</v>
      </c>
      <c r="N2">
        <v>3</v>
      </c>
    </row>
    <row r="3" spans="1:16">
      <c r="A3" t="s">
        <v>20</v>
      </c>
      <c r="B3">
        <v>3474</v>
      </c>
      <c r="C3">
        <v>88.91</v>
      </c>
      <c r="D3" t="s">
        <v>15</v>
      </c>
      <c r="E3">
        <v>61263</v>
      </c>
      <c r="F3">
        <v>561</v>
      </c>
      <c r="G3">
        <v>6.9900000000000004E-2</v>
      </c>
      <c r="H3">
        <v>286.89</v>
      </c>
      <c r="I3" t="s">
        <v>21</v>
      </c>
      <c r="L3" t="s">
        <v>22</v>
      </c>
      <c r="M3" t="s">
        <v>23</v>
      </c>
      <c r="N3">
        <v>2</v>
      </c>
    </row>
    <row r="4" spans="1:16">
      <c r="A4" t="s">
        <v>24</v>
      </c>
      <c r="B4">
        <v>5223</v>
      </c>
      <c r="C4">
        <v>160.41999999999999</v>
      </c>
      <c r="D4" t="s">
        <v>25</v>
      </c>
      <c r="E4">
        <v>89887</v>
      </c>
      <c r="F4">
        <v>777</v>
      </c>
      <c r="G4">
        <v>5.7000000000000002E-2</v>
      </c>
      <c r="H4">
        <v>43.55</v>
      </c>
      <c r="I4" t="s">
        <v>26</v>
      </c>
      <c r="K4">
        <v>65</v>
      </c>
      <c r="L4" t="s">
        <v>18</v>
      </c>
      <c r="N4">
        <v>5</v>
      </c>
      <c r="P4" t="s">
        <v>32</v>
      </c>
    </row>
    <row r="5" spans="1:16">
      <c r="A5" t="s">
        <v>27</v>
      </c>
      <c r="B5">
        <v>3090</v>
      </c>
      <c r="C5">
        <v>106.52</v>
      </c>
      <c r="D5" t="s">
        <v>28</v>
      </c>
      <c r="E5">
        <v>67189</v>
      </c>
      <c r="F5">
        <v>3352</v>
      </c>
      <c r="G5">
        <v>0.1542</v>
      </c>
      <c r="H5">
        <v>482.72</v>
      </c>
      <c r="I5" t="s">
        <v>29</v>
      </c>
      <c r="K5">
        <v>54</v>
      </c>
      <c r="L5" t="s">
        <v>18</v>
      </c>
      <c r="M5" t="s">
        <v>23</v>
      </c>
      <c r="N5">
        <v>1</v>
      </c>
    </row>
    <row r="6" spans="1:16">
      <c r="A6" t="s">
        <v>30</v>
      </c>
      <c r="B6">
        <v>1009</v>
      </c>
      <c r="C6">
        <v>47.65</v>
      </c>
      <c r="D6" t="s">
        <v>28</v>
      </c>
      <c r="E6">
        <v>87618</v>
      </c>
      <c r="F6">
        <v>7667</v>
      </c>
      <c r="G6">
        <v>0.17219999999999999</v>
      </c>
      <c r="H6">
        <v>494.89</v>
      </c>
      <c r="I6" t="s">
        <v>21</v>
      </c>
      <c r="J6" s="11">
        <v>0</v>
      </c>
      <c r="L6" t="s">
        <v>31</v>
      </c>
      <c r="M6" t="s">
        <v>32</v>
      </c>
      <c r="N6">
        <v>5</v>
      </c>
    </row>
    <row r="7" spans="1:16">
      <c r="A7" t="s">
        <v>33</v>
      </c>
      <c r="B7">
        <v>3297</v>
      </c>
      <c r="C7">
        <v>138.72</v>
      </c>
      <c r="D7" t="s">
        <v>32</v>
      </c>
      <c r="E7">
        <v>52258</v>
      </c>
      <c r="F7">
        <v>434</v>
      </c>
      <c r="G7">
        <v>1.95E-2</v>
      </c>
      <c r="H7">
        <v>282.20999999999998</v>
      </c>
      <c r="I7" t="s">
        <v>34</v>
      </c>
      <c r="L7" t="s">
        <v>22</v>
      </c>
      <c r="M7" t="s">
        <v>23</v>
      </c>
      <c r="N7">
        <v>3</v>
      </c>
    </row>
    <row r="8" spans="1:16">
      <c r="A8" t="s">
        <v>35</v>
      </c>
      <c r="B8">
        <v>2218</v>
      </c>
      <c r="C8">
        <v>116.33</v>
      </c>
      <c r="D8" t="s">
        <v>32</v>
      </c>
      <c r="E8">
        <v>36042</v>
      </c>
      <c r="F8">
        <v>930</v>
      </c>
      <c r="G8">
        <v>5.8000000000000003E-2</v>
      </c>
      <c r="I8" t="s">
        <v>34</v>
      </c>
      <c r="J8" s="11">
        <v>1</v>
      </c>
      <c r="K8">
        <v>23</v>
      </c>
      <c r="L8" t="s">
        <v>18</v>
      </c>
      <c r="N8">
        <v>5</v>
      </c>
    </row>
    <row r="9" spans="1:16">
      <c r="A9" t="s">
        <v>36</v>
      </c>
      <c r="B9">
        <v>8907</v>
      </c>
      <c r="C9">
        <v>185.91</v>
      </c>
      <c r="D9" t="s">
        <v>28</v>
      </c>
      <c r="E9">
        <v>43184</v>
      </c>
      <c r="F9">
        <v>1823</v>
      </c>
      <c r="G9">
        <v>0.1183</v>
      </c>
      <c r="I9" t="s">
        <v>26</v>
      </c>
      <c r="J9" s="11">
        <v>1</v>
      </c>
      <c r="L9" t="s">
        <v>37</v>
      </c>
      <c r="M9" t="s">
        <v>38</v>
      </c>
      <c r="N9">
        <v>1</v>
      </c>
    </row>
    <row r="10" spans="1:16">
      <c r="A10" t="s">
        <v>39</v>
      </c>
      <c r="B10">
        <v>6506</v>
      </c>
      <c r="C10">
        <v>87.4</v>
      </c>
      <c r="D10" t="s">
        <v>40</v>
      </c>
      <c r="E10">
        <v>84951</v>
      </c>
      <c r="F10">
        <v>6322</v>
      </c>
      <c r="G10">
        <v>0.1767</v>
      </c>
      <c r="H10">
        <v>390.3</v>
      </c>
      <c r="I10" t="s">
        <v>21</v>
      </c>
      <c r="J10" s="11">
        <v>0</v>
      </c>
      <c r="K10">
        <v>43</v>
      </c>
      <c r="L10" t="s">
        <v>37</v>
      </c>
      <c r="M10" t="s">
        <v>19</v>
      </c>
      <c r="N10">
        <v>5</v>
      </c>
    </row>
    <row r="11" spans="1:16">
      <c r="A11" t="s">
        <v>41</v>
      </c>
      <c r="B11">
        <v>6726</v>
      </c>
      <c r="C11">
        <v>21.63</v>
      </c>
      <c r="D11" t="s">
        <v>15</v>
      </c>
      <c r="E11">
        <v>9217</v>
      </c>
      <c r="F11">
        <v>3826</v>
      </c>
      <c r="G11">
        <v>0.14860000000000001</v>
      </c>
      <c r="H11">
        <v>271.39</v>
      </c>
      <c r="I11" t="s">
        <v>21</v>
      </c>
      <c r="J11" s="11">
        <v>0</v>
      </c>
      <c r="K11">
        <v>62</v>
      </c>
      <c r="L11" t="s">
        <v>18</v>
      </c>
      <c r="M11" t="s">
        <v>32</v>
      </c>
    </row>
    <row r="12" spans="1:16">
      <c r="A12" t="s">
        <v>42</v>
      </c>
      <c r="B12">
        <v>5273</v>
      </c>
      <c r="C12">
        <v>40.409999999999997</v>
      </c>
      <c r="D12" t="s">
        <v>15</v>
      </c>
      <c r="E12">
        <v>23359</v>
      </c>
      <c r="F12" t="s">
        <v>16</v>
      </c>
      <c r="G12">
        <v>6.7100000000000007E-2</v>
      </c>
      <c r="H12">
        <v>35.03</v>
      </c>
      <c r="I12" t="s">
        <v>17</v>
      </c>
      <c r="J12" s="11">
        <v>1</v>
      </c>
      <c r="K12">
        <v>61</v>
      </c>
      <c r="L12" t="s">
        <v>37</v>
      </c>
      <c r="M12" t="s">
        <v>23</v>
      </c>
      <c r="N12">
        <v>4</v>
      </c>
    </row>
    <row r="13" spans="1:16">
      <c r="A13" t="s">
        <v>43</v>
      </c>
      <c r="B13">
        <v>6848</v>
      </c>
      <c r="C13">
        <v>30.9</v>
      </c>
      <c r="D13" t="s">
        <v>28</v>
      </c>
      <c r="E13">
        <v>25023</v>
      </c>
      <c r="F13">
        <v>3041</v>
      </c>
      <c r="G13">
        <v>0.17860000000000001</v>
      </c>
      <c r="H13">
        <v>477.4</v>
      </c>
      <c r="I13" t="s">
        <v>21</v>
      </c>
      <c r="K13">
        <v>46</v>
      </c>
      <c r="L13" t="s">
        <v>31</v>
      </c>
      <c r="N13">
        <v>3</v>
      </c>
    </row>
    <row r="14" spans="1:16">
      <c r="A14" t="s">
        <v>44</v>
      </c>
      <c r="B14">
        <v>7025</v>
      </c>
      <c r="C14">
        <v>51.77</v>
      </c>
      <c r="D14" t="s">
        <v>45</v>
      </c>
      <c r="E14">
        <v>61399</v>
      </c>
      <c r="F14">
        <v>4001</v>
      </c>
      <c r="G14">
        <v>7.9399999999999998E-2</v>
      </c>
      <c r="H14">
        <v>334.39</v>
      </c>
      <c r="I14" t="s">
        <v>26</v>
      </c>
      <c r="J14" s="11">
        <v>0</v>
      </c>
      <c r="K14">
        <v>33</v>
      </c>
      <c r="L14" t="s">
        <v>22</v>
      </c>
      <c r="N14">
        <v>4</v>
      </c>
    </row>
    <row r="15" spans="1:16">
      <c r="A15" t="s">
        <v>46</v>
      </c>
      <c r="B15">
        <v>7472</v>
      </c>
      <c r="D15" t="s">
        <v>15</v>
      </c>
      <c r="E15">
        <v>77253</v>
      </c>
      <c r="F15">
        <v>3526</v>
      </c>
      <c r="G15">
        <v>6.1100000000000002E-2</v>
      </c>
      <c r="H15">
        <v>335.65</v>
      </c>
      <c r="I15" t="s">
        <v>29</v>
      </c>
      <c r="J15" s="11">
        <v>1</v>
      </c>
      <c r="K15">
        <v>63</v>
      </c>
      <c r="L15" t="s">
        <v>18</v>
      </c>
      <c r="M15" t="s">
        <v>23</v>
      </c>
      <c r="N15">
        <v>3</v>
      </c>
    </row>
    <row r="16" spans="1:16">
      <c r="A16" t="s">
        <v>47</v>
      </c>
      <c r="B16">
        <v>8998</v>
      </c>
      <c r="C16">
        <v>69.94</v>
      </c>
      <c r="D16" t="s">
        <v>15</v>
      </c>
      <c r="E16">
        <v>42873</v>
      </c>
      <c r="F16">
        <v>1775</v>
      </c>
      <c r="G16">
        <v>7.7299999999999994E-2</v>
      </c>
      <c r="H16">
        <v>153.69999999999999</v>
      </c>
      <c r="I16" t="s">
        <v>26</v>
      </c>
      <c r="K16">
        <v>35</v>
      </c>
      <c r="L16" t="s">
        <v>31</v>
      </c>
      <c r="M16" t="s">
        <v>23</v>
      </c>
      <c r="N16">
        <v>2</v>
      </c>
    </row>
    <row r="17" spans="1:14">
      <c r="A17" t="s">
        <v>48</v>
      </c>
      <c r="B17">
        <v>8281</v>
      </c>
      <c r="C17">
        <v>189.41</v>
      </c>
      <c r="D17" t="s">
        <v>32</v>
      </c>
      <c r="E17">
        <v>26435</v>
      </c>
      <c r="F17">
        <v>4519</v>
      </c>
      <c r="G17">
        <v>0.18790000000000001</v>
      </c>
      <c r="I17" t="s">
        <v>49</v>
      </c>
      <c r="K17">
        <v>20</v>
      </c>
      <c r="L17" t="s">
        <v>18</v>
      </c>
      <c r="M17" t="s">
        <v>32</v>
      </c>
      <c r="N17">
        <v>4</v>
      </c>
    </row>
    <row r="18" spans="1:14">
      <c r="A18" t="s">
        <v>50</v>
      </c>
      <c r="B18">
        <v>5355</v>
      </c>
      <c r="C18">
        <v>136</v>
      </c>
      <c r="D18" t="s">
        <v>40</v>
      </c>
      <c r="E18">
        <v>4767</v>
      </c>
      <c r="F18">
        <v>1011</v>
      </c>
      <c r="G18">
        <v>2.58E-2</v>
      </c>
      <c r="H18">
        <v>167.17</v>
      </c>
      <c r="I18" t="s">
        <v>26</v>
      </c>
      <c r="K18">
        <v>21</v>
      </c>
      <c r="L18" t="s">
        <v>37</v>
      </c>
      <c r="M18" t="s">
        <v>23</v>
      </c>
      <c r="N18">
        <v>4</v>
      </c>
    </row>
    <row r="19" spans="1:14">
      <c r="A19" t="s">
        <v>51</v>
      </c>
      <c r="B19">
        <v>4295</v>
      </c>
      <c r="C19">
        <v>146.86000000000001</v>
      </c>
      <c r="D19" t="s">
        <v>28</v>
      </c>
      <c r="E19">
        <v>14866</v>
      </c>
      <c r="F19">
        <v>6365</v>
      </c>
      <c r="G19">
        <v>0.18579999999999999</v>
      </c>
      <c r="H19">
        <v>270.08999999999997</v>
      </c>
      <c r="I19" t="s">
        <v>17</v>
      </c>
      <c r="J19" s="11">
        <v>1</v>
      </c>
      <c r="K19">
        <v>34</v>
      </c>
      <c r="L19" t="s">
        <v>18</v>
      </c>
      <c r="M19" t="s">
        <v>23</v>
      </c>
      <c r="N19">
        <v>2</v>
      </c>
    </row>
    <row r="20" spans="1:14">
      <c r="A20" t="s">
        <v>52</v>
      </c>
      <c r="B20">
        <v>5340</v>
      </c>
      <c r="C20">
        <v>60.4</v>
      </c>
      <c r="D20" t="s">
        <v>15</v>
      </c>
      <c r="E20">
        <v>51800</v>
      </c>
      <c r="F20">
        <v>6689</v>
      </c>
      <c r="G20">
        <v>0.13170000000000001</v>
      </c>
      <c r="H20">
        <v>239.32</v>
      </c>
      <c r="I20" t="s">
        <v>49</v>
      </c>
      <c r="K20">
        <v>51</v>
      </c>
      <c r="L20" t="s">
        <v>22</v>
      </c>
      <c r="M20" t="s">
        <v>32</v>
      </c>
    </row>
    <row r="21" spans="1:14">
      <c r="A21" t="s">
        <v>53</v>
      </c>
      <c r="B21">
        <v>8803</v>
      </c>
      <c r="C21">
        <v>66.569999999999993</v>
      </c>
      <c r="D21" t="s">
        <v>25</v>
      </c>
      <c r="E21">
        <v>37012</v>
      </c>
      <c r="F21">
        <v>9644</v>
      </c>
      <c r="G21">
        <v>0.1855</v>
      </c>
      <c r="H21">
        <v>421.41</v>
      </c>
      <c r="I21" t="s">
        <v>26</v>
      </c>
      <c r="K21">
        <v>35</v>
      </c>
      <c r="L21" t="s">
        <v>18</v>
      </c>
      <c r="M21" t="s">
        <v>23</v>
      </c>
      <c r="N21">
        <v>5</v>
      </c>
    </row>
    <row r="22" spans="1:14">
      <c r="A22" t="s">
        <v>54</v>
      </c>
      <c r="B22">
        <v>7055</v>
      </c>
      <c r="D22" t="s">
        <v>32</v>
      </c>
      <c r="E22">
        <v>64527</v>
      </c>
      <c r="F22">
        <v>581</v>
      </c>
      <c r="G22">
        <v>0.1179</v>
      </c>
      <c r="H22">
        <v>11.64</v>
      </c>
      <c r="I22" t="s">
        <v>21</v>
      </c>
      <c r="J22" s="11">
        <v>1</v>
      </c>
      <c r="K22">
        <v>22</v>
      </c>
      <c r="L22" t="s">
        <v>22</v>
      </c>
      <c r="M22" t="s">
        <v>23</v>
      </c>
      <c r="N22">
        <v>4</v>
      </c>
    </row>
    <row r="23" spans="1:14">
      <c r="A23" t="s">
        <v>55</v>
      </c>
      <c r="B23">
        <v>1098</v>
      </c>
      <c r="C23">
        <v>194.61</v>
      </c>
      <c r="D23" t="s">
        <v>32</v>
      </c>
      <c r="E23">
        <v>39222</v>
      </c>
      <c r="F23">
        <v>2940</v>
      </c>
      <c r="G23">
        <v>0.1973</v>
      </c>
      <c r="H23">
        <v>258.12</v>
      </c>
      <c r="I23" t="s">
        <v>21</v>
      </c>
      <c r="J23" s="11">
        <v>1</v>
      </c>
      <c r="K23">
        <v>18</v>
      </c>
      <c r="L23" t="s">
        <v>31</v>
      </c>
      <c r="N23">
        <v>1</v>
      </c>
    </row>
    <row r="24" spans="1:14">
      <c r="A24" t="s">
        <v>56</v>
      </c>
      <c r="B24">
        <v>3124</v>
      </c>
      <c r="C24">
        <v>88.64</v>
      </c>
      <c r="D24" t="s">
        <v>40</v>
      </c>
      <c r="E24">
        <v>91587</v>
      </c>
      <c r="F24">
        <v>8544</v>
      </c>
      <c r="G24">
        <v>0.13800000000000001</v>
      </c>
      <c r="H24">
        <v>425.63</v>
      </c>
      <c r="I24" t="s">
        <v>17</v>
      </c>
      <c r="K24">
        <v>39</v>
      </c>
      <c r="L24" t="s">
        <v>31</v>
      </c>
      <c r="M24" t="s">
        <v>32</v>
      </c>
      <c r="N24">
        <v>3</v>
      </c>
    </row>
    <row r="25" spans="1:14">
      <c r="A25" t="s">
        <v>57</v>
      </c>
      <c r="B25">
        <v>4550</v>
      </c>
      <c r="C25">
        <v>176.55</v>
      </c>
      <c r="D25" t="s">
        <v>25</v>
      </c>
      <c r="E25">
        <v>57799</v>
      </c>
      <c r="F25">
        <v>1670</v>
      </c>
      <c r="G25">
        <v>0.14449999999999999</v>
      </c>
      <c r="H25">
        <v>10.83</v>
      </c>
      <c r="I25" t="s">
        <v>34</v>
      </c>
      <c r="K25">
        <v>51</v>
      </c>
      <c r="L25" t="s">
        <v>37</v>
      </c>
      <c r="M25" t="s">
        <v>32</v>
      </c>
      <c r="N25">
        <v>5</v>
      </c>
    </row>
    <row r="26" spans="1:14">
      <c r="A26" t="s">
        <v>58</v>
      </c>
      <c r="B26">
        <v>3989</v>
      </c>
      <c r="C26">
        <v>52.93</v>
      </c>
      <c r="D26" t="s">
        <v>40</v>
      </c>
      <c r="E26">
        <v>92821</v>
      </c>
      <c r="F26">
        <v>7537</v>
      </c>
      <c r="G26">
        <v>0.12089999999999999</v>
      </c>
      <c r="H26">
        <v>405.55</v>
      </c>
      <c r="I26" t="s">
        <v>29</v>
      </c>
      <c r="K26">
        <v>52</v>
      </c>
      <c r="L26" t="s">
        <v>37</v>
      </c>
      <c r="M26" t="s">
        <v>32</v>
      </c>
    </row>
    <row r="27" spans="1:14">
      <c r="A27" t="s">
        <v>59</v>
      </c>
      <c r="B27">
        <v>6539</v>
      </c>
      <c r="C27">
        <v>184.7</v>
      </c>
      <c r="D27" t="s">
        <v>15</v>
      </c>
      <c r="E27">
        <v>90872</v>
      </c>
      <c r="F27">
        <v>2593</v>
      </c>
      <c r="G27">
        <v>0.15129999999999999</v>
      </c>
      <c r="H27">
        <v>189.83</v>
      </c>
      <c r="I27" t="s">
        <v>29</v>
      </c>
      <c r="K27">
        <v>58</v>
      </c>
      <c r="L27" t="s">
        <v>22</v>
      </c>
      <c r="N27">
        <v>2</v>
      </c>
    </row>
    <row r="28" spans="1:14">
      <c r="A28" t="s">
        <v>60</v>
      </c>
      <c r="B28">
        <v>8272</v>
      </c>
      <c r="C28">
        <v>29.14</v>
      </c>
      <c r="D28" t="s">
        <v>40</v>
      </c>
      <c r="E28">
        <v>73736</v>
      </c>
      <c r="F28">
        <v>6572</v>
      </c>
      <c r="G28">
        <v>1.43E-2</v>
      </c>
      <c r="H28">
        <v>105.55</v>
      </c>
      <c r="I28" t="s">
        <v>29</v>
      </c>
      <c r="J28" s="11">
        <v>1</v>
      </c>
      <c r="K28">
        <v>30</v>
      </c>
      <c r="L28" t="s">
        <v>22</v>
      </c>
      <c r="M28" t="s">
        <v>19</v>
      </c>
      <c r="N28">
        <v>3</v>
      </c>
    </row>
    <row r="29" spans="1:14">
      <c r="A29" t="s">
        <v>61</v>
      </c>
      <c r="B29">
        <v>1987</v>
      </c>
      <c r="C29">
        <v>49.91</v>
      </c>
      <c r="D29" t="s">
        <v>32</v>
      </c>
      <c r="E29">
        <v>71283</v>
      </c>
      <c r="F29">
        <v>4483</v>
      </c>
      <c r="G29">
        <v>0.1113</v>
      </c>
      <c r="H29">
        <v>488.25</v>
      </c>
      <c r="I29" t="s">
        <v>21</v>
      </c>
      <c r="K29">
        <v>31</v>
      </c>
      <c r="L29" t="s">
        <v>18</v>
      </c>
      <c r="N29">
        <v>3</v>
      </c>
    </row>
    <row r="30" spans="1:14">
      <c r="A30" t="s">
        <v>62</v>
      </c>
      <c r="B30">
        <v>1555</v>
      </c>
      <c r="D30" t="s">
        <v>40</v>
      </c>
      <c r="E30">
        <v>29654</v>
      </c>
      <c r="F30">
        <v>982</v>
      </c>
      <c r="G30">
        <v>0.152</v>
      </c>
      <c r="H30">
        <v>161.72999999999999</v>
      </c>
      <c r="I30" t="s">
        <v>34</v>
      </c>
      <c r="K30">
        <v>34</v>
      </c>
      <c r="L30" t="s">
        <v>18</v>
      </c>
      <c r="M30" t="s">
        <v>32</v>
      </c>
    </row>
    <row r="31" spans="1:14">
      <c r="A31" t="s">
        <v>63</v>
      </c>
      <c r="B31">
        <v>2240</v>
      </c>
      <c r="C31">
        <v>40.75</v>
      </c>
      <c r="D31" t="s">
        <v>32</v>
      </c>
      <c r="E31">
        <v>4421</v>
      </c>
      <c r="F31">
        <v>4546</v>
      </c>
      <c r="G31">
        <v>0.1668</v>
      </c>
      <c r="H31">
        <v>495.51</v>
      </c>
      <c r="I31" t="s">
        <v>29</v>
      </c>
      <c r="K31">
        <v>21</v>
      </c>
      <c r="L31" t="s">
        <v>22</v>
      </c>
      <c r="N31">
        <v>3</v>
      </c>
    </row>
    <row r="32" spans="1:14">
      <c r="A32" t="s">
        <v>64</v>
      </c>
      <c r="B32">
        <v>2898</v>
      </c>
      <c r="C32">
        <v>125.26</v>
      </c>
      <c r="D32" t="s">
        <v>15</v>
      </c>
      <c r="E32">
        <v>61623</v>
      </c>
      <c r="F32">
        <v>1851</v>
      </c>
      <c r="G32">
        <v>9.6600000000000005E-2</v>
      </c>
      <c r="H32">
        <v>458.75</v>
      </c>
      <c r="I32" t="s">
        <v>17</v>
      </c>
      <c r="J32" s="11">
        <v>0</v>
      </c>
      <c r="K32">
        <v>50</v>
      </c>
      <c r="L32" t="s">
        <v>18</v>
      </c>
      <c r="M32" t="s">
        <v>23</v>
      </c>
      <c r="N32">
        <v>2</v>
      </c>
    </row>
    <row r="33" spans="1:14">
      <c r="A33" t="s">
        <v>65</v>
      </c>
      <c r="B33">
        <v>4045</v>
      </c>
      <c r="C33">
        <v>16.18</v>
      </c>
      <c r="D33" t="s">
        <v>45</v>
      </c>
      <c r="E33">
        <v>36664</v>
      </c>
      <c r="F33">
        <v>9904</v>
      </c>
      <c r="G33">
        <v>1.11E-2</v>
      </c>
      <c r="H33">
        <v>139.97</v>
      </c>
      <c r="I33" t="s">
        <v>26</v>
      </c>
      <c r="J33" s="11">
        <v>0</v>
      </c>
      <c r="L33" t="s">
        <v>31</v>
      </c>
      <c r="M33" t="s">
        <v>23</v>
      </c>
    </row>
    <row r="34" spans="1:14">
      <c r="A34" t="s">
        <v>66</v>
      </c>
      <c r="B34">
        <v>8663</v>
      </c>
      <c r="C34">
        <v>197.75</v>
      </c>
      <c r="D34" t="s">
        <v>15</v>
      </c>
      <c r="E34">
        <v>19421</v>
      </c>
      <c r="F34">
        <v>3154</v>
      </c>
      <c r="G34">
        <v>8.3900000000000002E-2</v>
      </c>
      <c r="H34">
        <v>444.88</v>
      </c>
      <c r="I34" t="s">
        <v>34</v>
      </c>
      <c r="J34" s="11">
        <v>0</v>
      </c>
      <c r="K34">
        <v>39</v>
      </c>
      <c r="L34" t="s">
        <v>22</v>
      </c>
      <c r="M34" t="s">
        <v>23</v>
      </c>
      <c r="N34">
        <v>4</v>
      </c>
    </row>
    <row r="35" spans="1:14">
      <c r="A35" t="s">
        <v>67</v>
      </c>
      <c r="B35">
        <v>2766</v>
      </c>
      <c r="C35">
        <v>146.07</v>
      </c>
      <c r="D35" t="s">
        <v>45</v>
      </c>
      <c r="E35">
        <v>65275</v>
      </c>
      <c r="F35">
        <v>1391</v>
      </c>
      <c r="G35">
        <v>4.7699999999999999E-2</v>
      </c>
      <c r="H35">
        <v>100.43</v>
      </c>
      <c r="I35" t="s">
        <v>26</v>
      </c>
      <c r="K35">
        <v>25</v>
      </c>
      <c r="L35" t="s">
        <v>22</v>
      </c>
      <c r="M35" t="s">
        <v>32</v>
      </c>
      <c r="N35">
        <v>3</v>
      </c>
    </row>
    <row r="36" spans="1:14">
      <c r="A36" t="s">
        <v>68</v>
      </c>
      <c r="B36">
        <v>2484</v>
      </c>
      <c r="C36">
        <v>84.73</v>
      </c>
      <c r="D36" t="s">
        <v>32</v>
      </c>
      <c r="E36">
        <v>37718</v>
      </c>
      <c r="F36">
        <v>2086</v>
      </c>
      <c r="G36">
        <v>0.1394</v>
      </c>
      <c r="I36" t="s">
        <v>21</v>
      </c>
      <c r="J36" s="11">
        <v>0</v>
      </c>
      <c r="K36">
        <v>31</v>
      </c>
      <c r="L36" t="s">
        <v>22</v>
      </c>
      <c r="M36" t="s">
        <v>23</v>
      </c>
    </row>
    <row r="37" spans="1:14">
      <c r="A37" t="s">
        <v>69</v>
      </c>
      <c r="B37">
        <v>6139</v>
      </c>
      <c r="C37">
        <v>67.180000000000007</v>
      </c>
      <c r="D37" t="s">
        <v>45</v>
      </c>
      <c r="E37">
        <v>62164</v>
      </c>
      <c r="F37">
        <v>5967</v>
      </c>
      <c r="G37">
        <v>0.1983</v>
      </c>
      <c r="H37">
        <v>107.79</v>
      </c>
      <c r="I37" t="s">
        <v>34</v>
      </c>
      <c r="K37">
        <v>49</v>
      </c>
      <c r="L37" t="s">
        <v>18</v>
      </c>
      <c r="M37" t="s">
        <v>23</v>
      </c>
      <c r="N37">
        <v>4</v>
      </c>
    </row>
    <row r="38" spans="1:14">
      <c r="A38" t="s">
        <v>70</v>
      </c>
      <c r="B38">
        <v>7197</v>
      </c>
      <c r="D38" t="s">
        <v>25</v>
      </c>
      <c r="E38">
        <v>2372</v>
      </c>
      <c r="F38">
        <v>4526</v>
      </c>
      <c r="G38">
        <v>2.5600000000000001E-2</v>
      </c>
      <c r="H38">
        <v>260.7</v>
      </c>
      <c r="I38" t="s">
        <v>49</v>
      </c>
      <c r="K38">
        <v>61</v>
      </c>
      <c r="L38" t="s">
        <v>18</v>
      </c>
      <c r="M38" t="s">
        <v>38</v>
      </c>
      <c r="N38">
        <v>4</v>
      </c>
    </row>
    <row r="39" spans="1:14">
      <c r="A39" t="s">
        <v>71</v>
      </c>
      <c r="B39">
        <v>5180</v>
      </c>
      <c r="D39" t="s">
        <v>28</v>
      </c>
      <c r="E39">
        <v>3601</v>
      </c>
      <c r="F39">
        <v>4679</v>
      </c>
      <c r="G39">
        <v>3.61E-2</v>
      </c>
      <c r="H39">
        <v>373.14</v>
      </c>
      <c r="I39" t="s">
        <v>26</v>
      </c>
      <c r="K39">
        <v>29</v>
      </c>
      <c r="L39" t="s">
        <v>31</v>
      </c>
      <c r="M39" t="s">
        <v>32</v>
      </c>
    </row>
    <row r="40" spans="1:14">
      <c r="A40" t="s">
        <v>72</v>
      </c>
      <c r="B40">
        <v>1825</v>
      </c>
      <c r="C40">
        <v>66.64</v>
      </c>
      <c r="D40" t="s">
        <v>45</v>
      </c>
      <c r="E40">
        <v>19967</v>
      </c>
      <c r="F40">
        <v>9838</v>
      </c>
      <c r="G40">
        <v>9.6699999999999994E-2</v>
      </c>
      <c r="H40">
        <v>464.69</v>
      </c>
      <c r="I40" t="s">
        <v>29</v>
      </c>
      <c r="J40" s="11">
        <v>0</v>
      </c>
      <c r="K40">
        <v>43</v>
      </c>
      <c r="L40" t="s">
        <v>37</v>
      </c>
    </row>
    <row r="41" spans="1:14">
      <c r="A41" t="s">
        <v>73</v>
      </c>
      <c r="B41">
        <v>5349</v>
      </c>
      <c r="C41">
        <v>51.58</v>
      </c>
      <c r="D41" t="s">
        <v>32</v>
      </c>
      <c r="E41">
        <v>65639</v>
      </c>
      <c r="F41">
        <v>8335</v>
      </c>
      <c r="G41">
        <v>7.9500000000000001E-2</v>
      </c>
      <c r="H41">
        <v>58.86</v>
      </c>
      <c r="I41" t="s">
        <v>29</v>
      </c>
      <c r="K41">
        <v>28</v>
      </c>
      <c r="L41" t="s">
        <v>31</v>
      </c>
      <c r="M41" t="s">
        <v>38</v>
      </c>
    </row>
    <row r="42" spans="1:14">
      <c r="A42" t="s">
        <v>74</v>
      </c>
      <c r="B42">
        <v>8656</v>
      </c>
      <c r="C42">
        <v>131.87</v>
      </c>
      <c r="D42" t="s">
        <v>25</v>
      </c>
      <c r="E42">
        <v>6088</v>
      </c>
      <c r="F42">
        <v>7477</v>
      </c>
      <c r="G42">
        <v>0.16120000000000001</v>
      </c>
      <c r="I42" t="s">
        <v>29</v>
      </c>
      <c r="J42" s="11">
        <v>1</v>
      </c>
      <c r="K42">
        <v>26</v>
      </c>
      <c r="L42" t="s">
        <v>18</v>
      </c>
      <c r="M42" t="s">
        <v>32</v>
      </c>
      <c r="N42">
        <v>4</v>
      </c>
    </row>
    <row r="43" spans="1:14">
      <c r="A43" t="s">
        <v>75</v>
      </c>
      <c r="B43">
        <v>9373</v>
      </c>
      <c r="C43">
        <v>83.3</v>
      </c>
      <c r="D43" t="s">
        <v>40</v>
      </c>
      <c r="E43">
        <v>47791</v>
      </c>
      <c r="F43">
        <v>9286</v>
      </c>
      <c r="G43">
        <v>0.1232</v>
      </c>
      <c r="I43" t="s">
        <v>34</v>
      </c>
      <c r="K43">
        <v>19</v>
      </c>
      <c r="L43" t="s">
        <v>37</v>
      </c>
      <c r="N43">
        <v>1</v>
      </c>
    </row>
    <row r="44" spans="1:14">
      <c r="A44" t="s">
        <v>76</v>
      </c>
      <c r="B44">
        <v>9866</v>
      </c>
      <c r="C44">
        <v>112.65</v>
      </c>
      <c r="D44" t="s">
        <v>28</v>
      </c>
      <c r="E44">
        <v>21719</v>
      </c>
      <c r="F44" t="s">
        <v>16</v>
      </c>
      <c r="G44">
        <v>0.15840000000000001</v>
      </c>
      <c r="H44">
        <v>154.44</v>
      </c>
      <c r="I44" t="s">
        <v>26</v>
      </c>
      <c r="J44" s="11">
        <v>0</v>
      </c>
      <c r="L44" t="s">
        <v>22</v>
      </c>
      <c r="M44" t="s">
        <v>19</v>
      </c>
    </row>
    <row r="45" spans="1:14">
      <c r="A45" t="s">
        <v>77</v>
      </c>
      <c r="B45">
        <v>4760</v>
      </c>
      <c r="C45">
        <v>46.71</v>
      </c>
      <c r="D45" t="s">
        <v>40</v>
      </c>
      <c r="E45">
        <v>72322</v>
      </c>
      <c r="F45">
        <v>4690</v>
      </c>
      <c r="G45">
        <v>0.1174</v>
      </c>
      <c r="H45">
        <v>200.44</v>
      </c>
      <c r="I45" t="s">
        <v>34</v>
      </c>
      <c r="K45">
        <v>64</v>
      </c>
      <c r="L45" t="s">
        <v>37</v>
      </c>
      <c r="M45" t="s">
        <v>19</v>
      </c>
      <c r="N45">
        <v>5</v>
      </c>
    </row>
    <row r="46" spans="1:14">
      <c r="A46" t="s">
        <v>78</v>
      </c>
      <c r="B46">
        <v>4935</v>
      </c>
      <c r="C46">
        <v>25.26</v>
      </c>
      <c r="D46" t="s">
        <v>25</v>
      </c>
      <c r="E46">
        <v>51757</v>
      </c>
      <c r="F46">
        <v>6377</v>
      </c>
      <c r="G46">
        <v>0.19420000000000001</v>
      </c>
      <c r="H46">
        <v>321.85000000000002</v>
      </c>
      <c r="I46" t="s">
        <v>21</v>
      </c>
      <c r="K46">
        <v>41</v>
      </c>
      <c r="L46" t="s">
        <v>37</v>
      </c>
      <c r="M46" t="s">
        <v>38</v>
      </c>
      <c r="N46">
        <v>1</v>
      </c>
    </row>
    <row r="47" spans="1:14">
      <c r="A47" t="s">
        <v>79</v>
      </c>
      <c r="B47">
        <v>5760</v>
      </c>
      <c r="C47">
        <v>33.89</v>
      </c>
      <c r="D47" t="s">
        <v>28</v>
      </c>
      <c r="E47">
        <v>88676</v>
      </c>
      <c r="F47">
        <v>7410</v>
      </c>
      <c r="G47">
        <v>8.5300000000000001E-2</v>
      </c>
      <c r="I47" t="s">
        <v>21</v>
      </c>
      <c r="J47" s="11">
        <v>0</v>
      </c>
      <c r="K47">
        <v>34</v>
      </c>
      <c r="L47" t="s">
        <v>22</v>
      </c>
      <c r="M47" t="s">
        <v>19</v>
      </c>
      <c r="N47">
        <v>1</v>
      </c>
    </row>
    <row r="48" spans="1:14">
      <c r="A48" t="s">
        <v>80</v>
      </c>
      <c r="B48">
        <v>7017</v>
      </c>
      <c r="C48">
        <v>194.94</v>
      </c>
      <c r="D48" t="s">
        <v>45</v>
      </c>
      <c r="E48">
        <v>7174</v>
      </c>
      <c r="F48">
        <v>7349</v>
      </c>
      <c r="G48">
        <v>0.18659999999999999</v>
      </c>
      <c r="H48">
        <v>225.66</v>
      </c>
      <c r="I48" t="s">
        <v>29</v>
      </c>
      <c r="K48">
        <v>38</v>
      </c>
      <c r="L48" t="s">
        <v>31</v>
      </c>
      <c r="M48" t="s">
        <v>38</v>
      </c>
    </row>
    <row r="49" spans="1:14">
      <c r="A49" t="s">
        <v>81</v>
      </c>
      <c r="B49">
        <v>7721</v>
      </c>
      <c r="C49">
        <v>17.87</v>
      </c>
      <c r="D49" t="s">
        <v>25</v>
      </c>
      <c r="E49">
        <v>23449</v>
      </c>
      <c r="F49">
        <v>1070</v>
      </c>
      <c r="G49">
        <v>5.67E-2</v>
      </c>
      <c r="H49">
        <v>355.24</v>
      </c>
      <c r="I49" t="s">
        <v>34</v>
      </c>
      <c r="J49" s="11">
        <v>0</v>
      </c>
      <c r="K49">
        <v>26</v>
      </c>
      <c r="L49" t="s">
        <v>22</v>
      </c>
      <c r="M49" t="s">
        <v>38</v>
      </c>
      <c r="N49">
        <v>4</v>
      </c>
    </row>
    <row r="50" spans="1:14">
      <c r="A50" t="s">
        <v>82</v>
      </c>
      <c r="B50">
        <v>6293</v>
      </c>
      <c r="C50">
        <v>34.01</v>
      </c>
      <c r="D50" t="s">
        <v>25</v>
      </c>
      <c r="E50">
        <v>38023</v>
      </c>
      <c r="F50">
        <v>9718</v>
      </c>
      <c r="H50">
        <v>190.1</v>
      </c>
      <c r="I50" t="s">
        <v>26</v>
      </c>
      <c r="K50">
        <v>55</v>
      </c>
      <c r="L50" t="s">
        <v>31</v>
      </c>
      <c r="M50" t="s">
        <v>19</v>
      </c>
      <c r="N50">
        <v>2</v>
      </c>
    </row>
    <row r="51" spans="1:14">
      <c r="A51" t="s">
        <v>83</v>
      </c>
      <c r="B51">
        <v>9203</v>
      </c>
      <c r="C51">
        <v>169.78</v>
      </c>
      <c r="D51" t="s">
        <v>15</v>
      </c>
      <c r="E51">
        <v>96391</v>
      </c>
      <c r="F51">
        <v>2475</v>
      </c>
      <c r="H51">
        <v>222.88</v>
      </c>
      <c r="I51" t="s">
        <v>29</v>
      </c>
      <c r="J51" s="11">
        <v>0</v>
      </c>
      <c r="K51">
        <v>21</v>
      </c>
      <c r="L51" t="s">
        <v>22</v>
      </c>
      <c r="M51" t="s">
        <v>38</v>
      </c>
      <c r="N51">
        <v>3</v>
      </c>
    </row>
    <row r="52" spans="1:14">
      <c r="A52" t="s">
        <v>84</v>
      </c>
      <c r="B52">
        <v>6968</v>
      </c>
      <c r="C52">
        <v>85.5</v>
      </c>
      <c r="D52" t="s">
        <v>25</v>
      </c>
      <c r="E52">
        <v>12607</v>
      </c>
      <c r="F52">
        <v>3168</v>
      </c>
      <c r="G52">
        <v>5.7200000000000001E-2</v>
      </c>
      <c r="H52">
        <v>399.06</v>
      </c>
      <c r="I52" t="s">
        <v>21</v>
      </c>
      <c r="J52" s="11">
        <v>0</v>
      </c>
      <c r="K52">
        <v>40</v>
      </c>
      <c r="L52" t="s">
        <v>31</v>
      </c>
      <c r="M52" t="s">
        <v>32</v>
      </c>
    </row>
    <row r="53" spans="1:14">
      <c r="A53" t="s">
        <v>85</v>
      </c>
      <c r="B53">
        <v>8460</v>
      </c>
      <c r="C53">
        <v>63.74</v>
      </c>
      <c r="D53" t="s">
        <v>40</v>
      </c>
      <c r="E53">
        <v>65145</v>
      </c>
      <c r="F53">
        <v>4242</v>
      </c>
      <c r="G53">
        <v>0.13619999999999999</v>
      </c>
      <c r="I53" t="s">
        <v>17</v>
      </c>
      <c r="J53" s="11">
        <v>0</v>
      </c>
      <c r="K53">
        <v>49</v>
      </c>
      <c r="L53" t="s">
        <v>18</v>
      </c>
      <c r="M53" t="s">
        <v>38</v>
      </c>
      <c r="N53">
        <v>5</v>
      </c>
    </row>
    <row r="54" spans="1:14">
      <c r="A54" t="s">
        <v>86</v>
      </c>
      <c r="B54">
        <v>5049</v>
      </c>
      <c r="C54">
        <v>20.059999999999999</v>
      </c>
      <c r="D54" t="s">
        <v>28</v>
      </c>
      <c r="E54">
        <v>84660</v>
      </c>
      <c r="F54">
        <v>1090</v>
      </c>
      <c r="G54">
        <v>5.0099999999999999E-2</v>
      </c>
      <c r="H54">
        <v>310.82</v>
      </c>
      <c r="I54" t="s">
        <v>26</v>
      </c>
      <c r="K54">
        <v>41</v>
      </c>
      <c r="L54" t="s">
        <v>22</v>
      </c>
    </row>
    <row r="55" spans="1:14">
      <c r="A55" t="s">
        <v>87</v>
      </c>
      <c r="B55">
        <v>5747</v>
      </c>
      <c r="C55">
        <v>119.9</v>
      </c>
      <c r="D55" t="s">
        <v>32</v>
      </c>
      <c r="E55">
        <v>25177</v>
      </c>
      <c r="F55">
        <v>424</v>
      </c>
      <c r="G55">
        <v>0.1973</v>
      </c>
      <c r="H55">
        <v>56.73</v>
      </c>
      <c r="I55" t="s">
        <v>26</v>
      </c>
      <c r="K55">
        <v>28</v>
      </c>
      <c r="L55" t="s">
        <v>31</v>
      </c>
      <c r="M55" t="s">
        <v>23</v>
      </c>
    </row>
    <row r="56" spans="1:14">
      <c r="A56" t="s">
        <v>88</v>
      </c>
      <c r="B56">
        <v>5425</v>
      </c>
      <c r="C56">
        <v>83.33</v>
      </c>
      <c r="D56" t="s">
        <v>15</v>
      </c>
      <c r="E56">
        <v>7328</v>
      </c>
      <c r="F56">
        <v>956</v>
      </c>
      <c r="G56">
        <v>0.13769999999999999</v>
      </c>
      <c r="H56">
        <v>306.55</v>
      </c>
      <c r="I56" t="s">
        <v>29</v>
      </c>
      <c r="K56">
        <v>60</v>
      </c>
      <c r="L56" t="s">
        <v>22</v>
      </c>
      <c r="M56" t="s">
        <v>23</v>
      </c>
      <c r="N56">
        <v>4</v>
      </c>
    </row>
    <row r="57" spans="1:14">
      <c r="A57" t="s">
        <v>89</v>
      </c>
      <c r="B57">
        <v>8611</v>
      </c>
      <c r="C57">
        <v>96.75</v>
      </c>
      <c r="D57" t="s">
        <v>40</v>
      </c>
      <c r="E57">
        <v>59537</v>
      </c>
      <c r="F57">
        <v>996</v>
      </c>
      <c r="G57">
        <v>0.1537</v>
      </c>
      <c r="H57">
        <v>38.200000000000003</v>
      </c>
      <c r="I57" t="s">
        <v>21</v>
      </c>
      <c r="K57">
        <v>62</v>
      </c>
      <c r="L57" t="s">
        <v>18</v>
      </c>
      <c r="M57" t="s">
        <v>19</v>
      </c>
      <c r="N57">
        <v>2</v>
      </c>
    </row>
    <row r="58" spans="1:14">
      <c r="A58" t="s">
        <v>90</v>
      </c>
      <c r="B58">
        <v>4920</v>
      </c>
      <c r="D58" t="s">
        <v>28</v>
      </c>
      <c r="E58">
        <v>70153</v>
      </c>
      <c r="F58">
        <v>3474</v>
      </c>
      <c r="G58">
        <v>0.17469999999999999</v>
      </c>
      <c r="H58">
        <v>61.94</v>
      </c>
      <c r="I58" t="s">
        <v>21</v>
      </c>
      <c r="K58">
        <v>58</v>
      </c>
      <c r="L58" t="s">
        <v>37</v>
      </c>
      <c r="M58" t="s">
        <v>32</v>
      </c>
      <c r="N58">
        <v>2</v>
      </c>
    </row>
    <row r="59" spans="1:14">
      <c r="A59" t="s">
        <v>91</v>
      </c>
      <c r="B59">
        <v>6267</v>
      </c>
      <c r="C59">
        <v>165.19</v>
      </c>
      <c r="D59" t="s">
        <v>15</v>
      </c>
      <c r="E59">
        <v>80229</v>
      </c>
      <c r="F59">
        <v>7414</v>
      </c>
      <c r="G59">
        <v>0.10879999999999999</v>
      </c>
      <c r="H59">
        <v>413.79</v>
      </c>
      <c r="I59" t="s">
        <v>21</v>
      </c>
      <c r="K59">
        <v>34</v>
      </c>
      <c r="L59" t="s">
        <v>37</v>
      </c>
      <c r="M59" t="s">
        <v>45</v>
      </c>
    </row>
    <row r="60" spans="1:14">
      <c r="A60" t="s">
        <v>92</v>
      </c>
      <c r="B60">
        <v>4147</v>
      </c>
      <c r="C60">
        <v>118.7</v>
      </c>
      <c r="D60" t="s">
        <v>28</v>
      </c>
      <c r="E60">
        <v>95580</v>
      </c>
      <c r="F60">
        <v>7133</v>
      </c>
      <c r="G60">
        <v>0.10879999999999999</v>
      </c>
      <c r="I60" t="s">
        <v>21</v>
      </c>
      <c r="K60">
        <v>49</v>
      </c>
      <c r="L60" t="s">
        <v>18</v>
      </c>
      <c r="M60" t="s">
        <v>38</v>
      </c>
      <c r="N60">
        <v>5</v>
      </c>
    </row>
    <row r="61" spans="1:14">
      <c r="A61" t="s">
        <v>93</v>
      </c>
      <c r="B61">
        <v>3195</v>
      </c>
      <c r="D61" t="s">
        <v>15</v>
      </c>
      <c r="E61">
        <v>85887</v>
      </c>
      <c r="F61">
        <v>1982</v>
      </c>
      <c r="G61">
        <v>7.5200000000000003E-2</v>
      </c>
      <c r="H61">
        <v>174.05</v>
      </c>
      <c r="I61" t="s">
        <v>34</v>
      </c>
      <c r="J61" s="11">
        <v>0</v>
      </c>
      <c r="K61">
        <v>41</v>
      </c>
      <c r="L61" t="s">
        <v>37</v>
      </c>
      <c r="M61" t="s">
        <v>38</v>
      </c>
      <c r="N61">
        <v>3</v>
      </c>
    </row>
    <row r="62" spans="1:14">
      <c r="A62" t="s">
        <v>94</v>
      </c>
      <c r="B62">
        <v>2104</v>
      </c>
      <c r="C62">
        <v>23.23</v>
      </c>
      <c r="D62" t="s">
        <v>45</v>
      </c>
      <c r="E62">
        <v>54152</v>
      </c>
      <c r="F62">
        <v>2848</v>
      </c>
      <c r="G62">
        <v>0.1842</v>
      </c>
      <c r="H62">
        <v>321.48</v>
      </c>
      <c r="I62" t="s">
        <v>17</v>
      </c>
      <c r="J62" s="11">
        <v>1</v>
      </c>
      <c r="K62">
        <v>55</v>
      </c>
      <c r="L62" t="s">
        <v>22</v>
      </c>
      <c r="M62" t="s">
        <v>19</v>
      </c>
      <c r="N62">
        <v>2</v>
      </c>
    </row>
    <row r="63" spans="1:14">
      <c r="A63" t="s">
        <v>95</v>
      </c>
      <c r="B63">
        <v>4634</v>
      </c>
      <c r="C63">
        <v>52.83</v>
      </c>
      <c r="D63" t="s">
        <v>45</v>
      </c>
      <c r="E63">
        <v>44151</v>
      </c>
      <c r="F63">
        <v>7248</v>
      </c>
      <c r="G63">
        <v>0.1714</v>
      </c>
      <c r="H63">
        <v>185.24</v>
      </c>
      <c r="I63" t="s">
        <v>29</v>
      </c>
      <c r="J63" s="11">
        <v>1</v>
      </c>
      <c r="L63" t="s">
        <v>31</v>
      </c>
      <c r="M63" t="s">
        <v>45</v>
      </c>
      <c r="N63">
        <v>5</v>
      </c>
    </row>
    <row r="64" spans="1:14">
      <c r="A64" t="s">
        <v>96</v>
      </c>
      <c r="B64">
        <v>6905</v>
      </c>
      <c r="C64">
        <v>8.7100000000000009</v>
      </c>
      <c r="D64" t="s">
        <v>28</v>
      </c>
      <c r="E64">
        <v>67747</v>
      </c>
      <c r="F64">
        <v>8888</v>
      </c>
      <c r="G64">
        <v>0.1943</v>
      </c>
      <c r="I64" t="s">
        <v>26</v>
      </c>
      <c r="K64">
        <v>53</v>
      </c>
      <c r="L64" t="s">
        <v>31</v>
      </c>
      <c r="M64" t="s">
        <v>19</v>
      </c>
      <c r="N64">
        <v>4</v>
      </c>
    </row>
    <row r="65" spans="1:14">
      <c r="A65" t="s">
        <v>97</v>
      </c>
      <c r="B65">
        <v>1279</v>
      </c>
      <c r="C65">
        <v>17.239999999999998</v>
      </c>
      <c r="D65" t="s">
        <v>28</v>
      </c>
      <c r="E65">
        <v>67456</v>
      </c>
      <c r="F65">
        <v>3601</v>
      </c>
      <c r="G65">
        <v>0.13719999999999999</v>
      </c>
      <c r="H65">
        <v>181.41</v>
      </c>
      <c r="I65" t="s">
        <v>29</v>
      </c>
      <c r="J65" s="11">
        <v>1</v>
      </c>
      <c r="K65">
        <v>61</v>
      </c>
      <c r="L65" t="s">
        <v>31</v>
      </c>
      <c r="N65">
        <v>3</v>
      </c>
    </row>
    <row r="66" spans="1:14">
      <c r="A66" t="s">
        <v>98</v>
      </c>
      <c r="B66">
        <v>6923</v>
      </c>
      <c r="C66">
        <v>6.34</v>
      </c>
      <c r="D66" t="s">
        <v>40</v>
      </c>
      <c r="E66">
        <v>62708</v>
      </c>
      <c r="F66">
        <v>3530</v>
      </c>
      <c r="G66">
        <v>5.1200000000000002E-2</v>
      </c>
      <c r="I66" t="s">
        <v>21</v>
      </c>
      <c r="K66">
        <v>28</v>
      </c>
      <c r="L66" t="s">
        <v>31</v>
      </c>
      <c r="M66" t="s">
        <v>23</v>
      </c>
      <c r="N66">
        <v>5</v>
      </c>
    </row>
    <row r="67" spans="1:14">
      <c r="A67" t="s">
        <v>99</v>
      </c>
      <c r="B67">
        <v>3212</v>
      </c>
      <c r="C67">
        <v>190.64</v>
      </c>
      <c r="D67" t="s">
        <v>32</v>
      </c>
      <c r="E67">
        <v>84177</v>
      </c>
      <c r="F67">
        <v>7227</v>
      </c>
      <c r="G67">
        <v>5.28E-2</v>
      </c>
      <c r="I67" t="s">
        <v>34</v>
      </c>
      <c r="K67">
        <v>19</v>
      </c>
      <c r="L67" t="s">
        <v>22</v>
      </c>
      <c r="N67">
        <v>1</v>
      </c>
    </row>
    <row r="68" spans="1:14">
      <c r="A68" t="s">
        <v>100</v>
      </c>
      <c r="B68">
        <v>2262</v>
      </c>
      <c r="C68">
        <v>33.659999999999997</v>
      </c>
      <c r="D68" t="s">
        <v>32</v>
      </c>
      <c r="E68">
        <v>94828</v>
      </c>
      <c r="F68">
        <v>5203</v>
      </c>
      <c r="G68">
        <v>4.0800000000000003E-2</v>
      </c>
      <c r="H68">
        <v>493.08</v>
      </c>
      <c r="I68" t="s">
        <v>17</v>
      </c>
      <c r="K68">
        <v>23</v>
      </c>
      <c r="L68" t="s">
        <v>18</v>
      </c>
      <c r="M68" t="s">
        <v>19</v>
      </c>
      <c r="N68">
        <v>2</v>
      </c>
    </row>
    <row r="69" spans="1:14">
      <c r="A69" t="s">
        <v>101</v>
      </c>
      <c r="B69">
        <v>1661</v>
      </c>
      <c r="C69">
        <v>39.880000000000003</v>
      </c>
      <c r="D69" t="s">
        <v>25</v>
      </c>
      <c r="E69">
        <v>14389</v>
      </c>
      <c r="F69">
        <v>7492</v>
      </c>
      <c r="G69">
        <v>2.5100000000000001E-2</v>
      </c>
      <c r="H69">
        <v>153.01</v>
      </c>
      <c r="I69" t="s">
        <v>26</v>
      </c>
      <c r="K69">
        <v>35</v>
      </c>
      <c r="L69" t="s">
        <v>37</v>
      </c>
      <c r="M69" t="s">
        <v>23</v>
      </c>
      <c r="N69">
        <v>4</v>
      </c>
    </row>
    <row r="70" spans="1:14">
      <c r="A70" t="s">
        <v>102</v>
      </c>
      <c r="B70">
        <v>7913</v>
      </c>
      <c r="C70">
        <v>16.62</v>
      </c>
      <c r="D70" t="s">
        <v>32</v>
      </c>
      <c r="E70">
        <v>44219</v>
      </c>
      <c r="F70">
        <v>8278</v>
      </c>
      <c r="H70">
        <v>220.68</v>
      </c>
      <c r="I70" t="s">
        <v>34</v>
      </c>
      <c r="K70">
        <v>59</v>
      </c>
      <c r="L70" t="s">
        <v>37</v>
      </c>
      <c r="M70" t="s">
        <v>19</v>
      </c>
    </row>
    <row r="71" spans="1:14">
      <c r="A71" t="s">
        <v>103</v>
      </c>
      <c r="B71">
        <v>8841</v>
      </c>
      <c r="C71">
        <v>13.46</v>
      </c>
      <c r="D71" t="s">
        <v>40</v>
      </c>
      <c r="E71">
        <v>16953</v>
      </c>
      <c r="F71">
        <v>7215</v>
      </c>
      <c r="G71">
        <v>0.1431</v>
      </c>
      <c r="I71" t="s">
        <v>17</v>
      </c>
      <c r="K71">
        <v>44</v>
      </c>
      <c r="L71" t="s">
        <v>37</v>
      </c>
      <c r="M71" t="s">
        <v>32</v>
      </c>
      <c r="N71">
        <v>4</v>
      </c>
    </row>
    <row r="72" spans="1:14">
      <c r="A72" t="s">
        <v>104</v>
      </c>
      <c r="B72">
        <v>6353</v>
      </c>
      <c r="D72" t="s">
        <v>45</v>
      </c>
      <c r="E72">
        <v>48883</v>
      </c>
      <c r="F72">
        <v>9463</v>
      </c>
      <c r="G72">
        <v>0.1905</v>
      </c>
      <c r="H72">
        <v>200.38</v>
      </c>
      <c r="I72" t="s">
        <v>21</v>
      </c>
      <c r="J72" s="11">
        <v>1</v>
      </c>
      <c r="K72">
        <v>33</v>
      </c>
      <c r="L72" t="s">
        <v>22</v>
      </c>
      <c r="M72" t="s">
        <v>38</v>
      </c>
      <c r="N72">
        <v>4</v>
      </c>
    </row>
    <row r="73" spans="1:14">
      <c r="A73" t="s">
        <v>105</v>
      </c>
      <c r="B73">
        <v>7772</v>
      </c>
      <c r="C73">
        <v>27.06</v>
      </c>
      <c r="D73" t="s">
        <v>15</v>
      </c>
      <c r="E73">
        <v>41050</v>
      </c>
      <c r="F73">
        <v>9758</v>
      </c>
      <c r="G73">
        <v>0.19139999999999999</v>
      </c>
      <c r="H73">
        <v>222.68</v>
      </c>
      <c r="I73" t="s">
        <v>21</v>
      </c>
      <c r="J73" s="11">
        <v>1</v>
      </c>
      <c r="K73">
        <v>46</v>
      </c>
      <c r="L73" t="s">
        <v>37</v>
      </c>
      <c r="M73" t="s">
        <v>45</v>
      </c>
      <c r="N73">
        <v>5</v>
      </c>
    </row>
    <row r="74" spans="1:14">
      <c r="A74" t="s">
        <v>106</v>
      </c>
      <c r="B74">
        <v>8643</v>
      </c>
      <c r="C74">
        <v>16.11</v>
      </c>
      <c r="D74" t="s">
        <v>15</v>
      </c>
      <c r="E74">
        <v>65012</v>
      </c>
      <c r="F74">
        <v>8587</v>
      </c>
      <c r="G74">
        <v>0.121</v>
      </c>
      <c r="H74">
        <v>446.66</v>
      </c>
      <c r="I74" t="s">
        <v>26</v>
      </c>
      <c r="J74" s="11">
        <v>0</v>
      </c>
      <c r="K74">
        <v>50</v>
      </c>
      <c r="L74" t="s">
        <v>22</v>
      </c>
      <c r="M74" t="s">
        <v>32</v>
      </c>
      <c r="N74">
        <v>3</v>
      </c>
    </row>
    <row r="75" spans="1:14">
      <c r="A75" t="s">
        <v>107</v>
      </c>
      <c r="B75">
        <v>4538</v>
      </c>
      <c r="C75">
        <v>46.84</v>
      </c>
      <c r="D75" t="s">
        <v>32</v>
      </c>
      <c r="E75">
        <v>87990</v>
      </c>
      <c r="F75">
        <v>1118</v>
      </c>
      <c r="G75">
        <v>0.1618</v>
      </c>
      <c r="H75">
        <v>489.51</v>
      </c>
      <c r="I75" t="s">
        <v>17</v>
      </c>
      <c r="J75" s="11">
        <v>0</v>
      </c>
      <c r="K75">
        <v>39</v>
      </c>
      <c r="L75" t="s">
        <v>18</v>
      </c>
      <c r="M75" t="s">
        <v>38</v>
      </c>
      <c r="N75">
        <v>4</v>
      </c>
    </row>
    <row r="76" spans="1:14">
      <c r="A76" t="s">
        <v>108</v>
      </c>
      <c r="B76">
        <v>4864</v>
      </c>
      <c r="C76">
        <v>144.38999999999999</v>
      </c>
      <c r="D76" t="s">
        <v>40</v>
      </c>
      <c r="E76">
        <v>35044</v>
      </c>
      <c r="F76">
        <v>6686</v>
      </c>
      <c r="G76">
        <v>8.8200000000000001E-2</v>
      </c>
      <c r="H76">
        <v>214.57</v>
      </c>
      <c r="I76" t="s">
        <v>17</v>
      </c>
      <c r="K76">
        <v>29</v>
      </c>
      <c r="L76" t="s">
        <v>22</v>
      </c>
      <c r="M76" t="s">
        <v>23</v>
      </c>
      <c r="N76">
        <v>1</v>
      </c>
    </row>
    <row r="77" spans="1:14">
      <c r="A77" t="s">
        <v>109</v>
      </c>
      <c r="B77">
        <v>7723</v>
      </c>
      <c r="C77">
        <v>31.04</v>
      </c>
      <c r="D77" t="s">
        <v>25</v>
      </c>
      <c r="E77">
        <v>19176</v>
      </c>
      <c r="F77">
        <v>5212</v>
      </c>
      <c r="G77">
        <v>2.8400000000000002E-2</v>
      </c>
      <c r="H77">
        <v>263.35000000000002</v>
      </c>
      <c r="I77" t="s">
        <v>21</v>
      </c>
      <c r="K77">
        <v>43</v>
      </c>
      <c r="L77" t="s">
        <v>22</v>
      </c>
      <c r="M77" t="s">
        <v>23</v>
      </c>
      <c r="N77">
        <v>4</v>
      </c>
    </row>
    <row r="78" spans="1:14">
      <c r="A78" t="s">
        <v>110</v>
      </c>
      <c r="B78">
        <v>2487</v>
      </c>
      <c r="C78">
        <v>66.62</v>
      </c>
      <c r="D78" t="s">
        <v>25</v>
      </c>
      <c r="E78">
        <v>51246</v>
      </c>
      <c r="F78">
        <v>739</v>
      </c>
      <c r="G78">
        <v>0.1211</v>
      </c>
      <c r="I78" t="s">
        <v>29</v>
      </c>
      <c r="J78" s="11">
        <v>0</v>
      </c>
      <c r="K78">
        <v>63</v>
      </c>
      <c r="L78" t="s">
        <v>22</v>
      </c>
      <c r="M78" t="s">
        <v>32</v>
      </c>
      <c r="N78">
        <v>3</v>
      </c>
    </row>
    <row r="79" spans="1:14">
      <c r="A79" t="s">
        <v>111</v>
      </c>
      <c r="B79">
        <v>6900</v>
      </c>
      <c r="D79" t="s">
        <v>45</v>
      </c>
      <c r="E79">
        <v>6911</v>
      </c>
      <c r="F79">
        <v>691</v>
      </c>
      <c r="G79">
        <v>0.1988</v>
      </c>
      <c r="H79">
        <v>335.86</v>
      </c>
      <c r="I79" t="s">
        <v>26</v>
      </c>
      <c r="J79" s="11">
        <v>1</v>
      </c>
      <c r="K79">
        <v>63</v>
      </c>
      <c r="L79" t="s">
        <v>31</v>
      </c>
      <c r="M79" t="s">
        <v>32</v>
      </c>
      <c r="N79">
        <v>4</v>
      </c>
    </row>
    <row r="80" spans="1:14">
      <c r="A80" t="s">
        <v>112</v>
      </c>
      <c r="B80">
        <v>8973</v>
      </c>
      <c r="C80">
        <v>5.31</v>
      </c>
      <c r="D80" t="s">
        <v>25</v>
      </c>
      <c r="E80">
        <v>86088</v>
      </c>
      <c r="F80">
        <v>2968</v>
      </c>
      <c r="G80">
        <v>1.01E-2</v>
      </c>
      <c r="H80">
        <v>392.08</v>
      </c>
      <c r="I80" t="s">
        <v>34</v>
      </c>
      <c r="J80" s="11">
        <v>1</v>
      </c>
      <c r="K80">
        <v>21</v>
      </c>
      <c r="L80" t="s">
        <v>31</v>
      </c>
      <c r="M80" t="s">
        <v>19</v>
      </c>
      <c r="N80">
        <v>5</v>
      </c>
    </row>
    <row r="81" spans="1:14">
      <c r="A81" t="s">
        <v>113</v>
      </c>
      <c r="B81">
        <v>2476</v>
      </c>
      <c r="C81">
        <v>191.45</v>
      </c>
      <c r="D81" t="s">
        <v>40</v>
      </c>
      <c r="E81">
        <v>47098</v>
      </c>
      <c r="F81">
        <v>7790</v>
      </c>
      <c r="G81">
        <v>0.12620000000000001</v>
      </c>
      <c r="H81">
        <v>236.91</v>
      </c>
      <c r="I81" t="s">
        <v>26</v>
      </c>
      <c r="J81" s="11">
        <v>1</v>
      </c>
      <c r="K81">
        <v>61</v>
      </c>
      <c r="L81" t="s">
        <v>18</v>
      </c>
      <c r="M81" t="s">
        <v>32</v>
      </c>
      <c r="N81">
        <v>1</v>
      </c>
    </row>
    <row r="82" spans="1:14">
      <c r="A82" t="s">
        <v>114</v>
      </c>
      <c r="B82">
        <v>6612</v>
      </c>
      <c r="C82">
        <v>16.88</v>
      </c>
      <c r="D82" t="s">
        <v>45</v>
      </c>
      <c r="E82">
        <v>89735</v>
      </c>
      <c r="F82">
        <v>285</v>
      </c>
      <c r="G82">
        <v>0.12670000000000001</v>
      </c>
      <c r="H82">
        <v>430.9</v>
      </c>
      <c r="I82" t="s">
        <v>26</v>
      </c>
      <c r="J82" s="11">
        <v>1</v>
      </c>
      <c r="K82">
        <v>30</v>
      </c>
      <c r="L82" t="s">
        <v>22</v>
      </c>
      <c r="M82" t="s">
        <v>45</v>
      </c>
      <c r="N82">
        <v>2</v>
      </c>
    </row>
    <row r="83" spans="1:14">
      <c r="A83" t="s">
        <v>115</v>
      </c>
      <c r="B83">
        <v>1989</v>
      </c>
      <c r="C83">
        <v>86.98</v>
      </c>
      <c r="D83" t="s">
        <v>32</v>
      </c>
      <c r="E83">
        <v>77153</v>
      </c>
      <c r="F83">
        <v>3519</v>
      </c>
      <c r="G83">
        <v>2.4899999999999999E-2</v>
      </c>
      <c r="H83">
        <v>46.09</v>
      </c>
      <c r="I83" t="s">
        <v>26</v>
      </c>
      <c r="J83" s="11">
        <v>0</v>
      </c>
      <c r="K83">
        <v>46</v>
      </c>
      <c r="L83" t="s">
        <v>37</v>
      </c>
    </row>
    <row r="84" spans="1:14">
      <c r="A84" t="s">
        <v>116</v>
      </c>
      <c r="B84">
        <v>9930</v>
      </c>
      <c r="C84">
        <v>94.82</v>
      </c>
      <c r="D84" t="s">
        <v>25</v>
      </c>
      <c r="E84">
        <v>70778</v>
      </c>
      <c r="F84">
        <v>2021</v>
      </c>
      <c r="G84">
        <v>0.14080000000000001</v>
      </c>
      <c r="H84">
        <v>496.63</v>
      </c>
      <c r="I84" t="s">
        <v>17</v>
      </c>
      <c r="K84">
        <v>42</v>
      </c>
      <c r="L84" t="s">
        <v>22</v>
      </c>
      <c r="M84" t="s">
        <v>38</v>
      </c>
      <c r="N84">
        <v>2</v>
      </c>
    </row>
    <row r="85" spans="1:14">
      <c r="A85" t="s">
        <v>117</v>
      </c>
      <c r="B85">
        <v>5744</v>
      </c>
      <c r="C85">
        <v>28.8</v>
      </c>
      <c r="D85" t="s">
        <v>15</v>
      </c>
      <c r="E85">
        <v>24467</v>
      </c>
      <c r="F85">
        <v>5741</v>
      </c>
      <c r="G85">
        <v>5.5100000000000003E-2</v>
      </c>
      <c r="H85">
        <v>476.77</v>
      </c>
      <c r="I85" t="s">
        <v>29</v>
      </c>
      <c r="J85" s="11">
        <v>0</v>
      </c>
      <c r="K85">
        <v>59</v>
      </c>
      <c r="L85" t="s">
        <v>18</v>
      </c>
      <c r="M85" t="s">
        <v>19</v>
      </c>
      <c r="N85">
        <v>5</v>
      </c>
    </row>
    <row r="86" spans="1:14">
      <c r="A86" t="s">
        <v>118</v>
      </c>
      <c r="B86">
        <v>3728</v>
      </c>
      <c r="D86" t="s">
        <v>25</v>
      </c>
      <c r="E86">
        <v>38997</v>
      </c>
      <c r="F86" t="s">
        <v>16</v>
      </c>
      <c r="G86">
        <v>2.9499999999999998E-2</v>
      </c>
      <c r="H86">
        <v>444.25</v>
      </c>
      <c r="I86" t="s">
        <v>29</v>
      </c>
      <c r="J86" s="11">
        <v>1</v>
      </c>
      <c r="K86">
        <v>61</v>
      </c>
      <c r="L86" t="s">
        <v>31</v>
      </c>
    </row>
    <row r="87" spans="1:14">
      <c r="A87" t="s">
        <v>119</v>
      </c>
      <c r="B87">
        <v>9780</v>
      </c>
      <c r="C87">
        <v>142.43</v>
      </c>
      <c r="D87" t="s">
        <v>25</v>
      </c>
      <c r="E87">
        <v>38224</v>
      </c>
      <c r="F87">
        <v>9241</v>
      </c>
      <c r="G87">
        <v>0.188</v>
      </c>
      <c r="I87" t="s">
        <v>17</v>
      </c>
      <c r="K87">
        <v>49</v>
      </c>
      <c r="L87" t="s">
        <v>18</v>
      </c>
      <c r="M87" t="s">
        <v>19</v>
      </c>
    </row>
    <row r="88" spans="1:14">
      <c r="A88" t="s">
        <v>120</v>
      </c>
      <c r="B88">
        <v>3254</v>
      </c>
      <c r="C88">
        <v>75.180000000000007</v>
      </c>
      <c r="D88" t="s">
        <v>25</v>
      </c>
      <c r="E88">
        <v>50487</v>
      </c>
      <c r="F88" t="s">
        <v>16</v>
      </c>
      <c r="G88">
        <v>0.159</v>
      </c>
      <c r="H88">
        <v>82.85</v>
      </c>
      <c r="I88" t="s">
        <v>34</v>
      </c>
      <c r="K88">
        <v>23</v>
      </c>
      <c r="L88" t="s">
        <v>22</v>
      </c>
      <c r="M88" t="s">
        <v>23</v>
      </c>
    </row>
    <row r="89" spans="1:14">
      <c r="A89" t="s">
        <v>121</v>
      </c>
      <c r="B89">
        <v>8631</v>
      </c>
      <c r="D89" t="s">
        <v>28</v>
      </c>
      <c r="E89">
        <v>6334</v>
      </c>
      <c r="F89">
        <v>1454</v>
      </c>
      <c r="G89">
        <v>9.6299999999999997E-2</v>
      </c>
      <c r="H89">
        <v>312.64999999999998</v>
      </c>
      <c r="I89" t="s">
        <v>34</v>
      </c>
      <c r="K89">
        <v>35</v>
      </c>
      <c r="L89" t="s">
        <v>18</v>
      </c>
      <c r="M89" t="s">
        <v>45</v>
      </c>
      <c r="N89">
        <v>2</v>
      </c>
    </row>
    <row r="90" spans="1:14">
      <c r="A90" t="s">
        <v>122</v>
      </c>
      <c r="B90">
        <v>5610</v>
      </c>
      <c r="C90">
        <v>80.8</v>
      </c>
      <c r="D90" t="s">
        <v>25</v>
      </c>
      <c r="E90">
        <v>29065</v>
      </c>
      <c r="F90">
        <v>8032</v>
      </c>
      <c r="G90">
        <v>0.12839999999999999</v>
      </c>
      <c r="H90">
        <v>429.82</v>
      </c>
      <c r="I90" t="s">
        <v>17</v>
      </c>
      <c r="J90" s="11">
        <v>1</v>
      </c>
      <c r="K90">
        <v>27</v>
      </c>
      <c r="L90" t="s">
        <v>37</v>
      </c>
      <c r="M90" t="s">
        <v>45</v>
      </c>
      <c r="N90">
        <v>3</v>
      </c>
    </row>
    <row r="91" spans="1:14">
      <c r="A91" t="s">
        <v>123</v>
      </c>
      <c r="B91">
        <v>6462</v>
      </c>
      <c r="C91">
        <v>14.65</v>
      </c>
      <c r="D91" t="s">
        <v>15</v>
      </c>
      <c r="E91">
        <v>25590</v>
      </c>
      <c r="F91">
        <v>5579</v>
      </c>
      <c r="G91">
        <v>4.3999999999999997E-2</v>
      </c>
      <c r="H91">
        <v>48.13</v>
      </c>
      <c r="I91" t="s">
        <v>26</v>
      </c>
      <c r="J91" s="11">
        <v>0</v>
      </c>
      <c r="K91">
        <v>38</v>
      </c>
      <c r="L91" t="s">
        <v>31</v>
      </c>
      <c r="M91" t="s">
        <v>19</v>
      </c>
      <c r="N91">
        <v>5</v>
      </c>
    </row>
    <row r="92" spans="1:14">
      <c r="A92" t="s">
        <v>124</v>
      </c>
      <c r="B92">
        <v>6265</v>
      </c>
      <c r="D92" t="s">
        <v>15</v>
      </c>
      <c r="E92">
        <v>80911</v>
      </c>
      <c r="F92">
        <v>4645</v>
      </c>
      <c r="G92">
        <v>6.8199999999999997E-2</v>
      </c>
      <c r="I92" t="s">
        <v>34</v>
      </c>
      <c r="J92" s="11">
        <v>1</v>
      </c>
      <c r="L92" t="s">
        <v>37</v>
      </c>
      <c r="M92" t="s">
        <v>38</v>
      </c>
      <c r="N92">
        <v>4</v>
      </c>
    </row>
    <row r="93" spans="1:14">
      <c r="A93" t="s">
        <v>125</v>
      </c>
      <c r="B93">
        <v>8850</v>
      </c>
      <c r="C93">
        <v>73.75</v>
      </c>
      <c r="D93" t="s">
        <v>15</v>
      </c>
      <c r="E93">
        <v>48822</v>
      </c>
      <c r="F93">
        <v>7362</v>
      </c>
      <c r="G93">
        <v>4.2099999999999999E-2</v>
      </c>
      <c r="H93">
        <v>14.66</v>
      </c>
      <c r="I93" t="s">
        <v>21</v>
      </c>
      <c r="J93" s="11">
        <v>0</v>
      </c>
      <c r="K93">
        <v>48</v>
      </c>
      <c r="L93" t="s">
        <v>37</v>
      </c>
      <c r="M93" t="s">
        <v>32</v>
      </c>
      <c r="N93">
        <v>3</v>
      </c>
    </row>
    <row r="94" spans="1:14">
      <c r="A94" t="s">
        <v>126</v>
      </c>
      <c r="B94">
        <v>9766</v>
      </c>
      <c r="C94">
        <v>178.74</v>
      </c>
      <c r="D94" t="s">
        <v>25</v>
      </c>
      <c r="E94">
        <v>18608</v>
      </c>
      <c r="F94">
        <v>5080</v>
      </c>
      <c r="G94">
        <v>0.1946</v>
      </c>
      <c r="H94">
        <v>412.83</v>
      </c>
      <c r="I94" t="s">
        <v>26</v>
      </c>
      <c r="J94" s="11">
        <v>1</v>
      </c>
      <c r="K94">
        <v>44</v>
      </c>
      <c r="L94" t="s">
        <v>37</v>
      </c>
      <c r="M94" t="s">
        <v>19</v>
      </c>
      <c r="N94">
        <v>3</v>
      </c>
    </row>
    <row r="95" spans="1:14">
      <c r="A95" t="s">
        <v>127</v>
      </c>
      <c r="B95">
        <v>5382</v>
      </c>
      <c r="C95">
        <v>15.14</v>
      </c>
      <c r="D95" t="s">
        <v>45</v>
      </c>
      <c r="E95">
        <v>67063</v>
      </c>
      <c r="F95">
        <v>8726</v>
      </c>
      <c r="G95">
        <v>0.1898</v>
      </c>
      <c r="H95">
        <v>16.59</v>
      </c>
      <c r="I95" t="s">
        <v>29</v>
      </c>
      <c r="J95" s="11">
        <v>0</v>
      </c>
      <c r="K95">
        <v>48</v>
      </c>
      <c r="L95" t="s">
        <v>31</v>
      </c>
      <c r="M95" t="s">
        <v>23</v>
      </c>
      <c r="N95">
        <v>2</v>
      </c>
    </row>
    <row r="96" spans="1:14">
      <c r="A96" t="s">
        <v>128</v>
      </c>
      <c r="B96">
        <v>1764</v>
      </c>
      <c r="C96">
        <v>5.82</v>
      </c>
      <c r="D96" t="s">
        <v>15</v>
      </c>
      <c r="E96">
        <v>29299</v>
      </c>
      <c r="F96">
        <v>3431</v>
      </c>
      <c r="G96">
        <v>5.1999999999999998E-2</v>
      </c>
      <c r="H96">
        <v>192.7</v>
      </c>
      <c r="I96" t="s">
        <v>21</v>
      </c>
      <c r="K96">
        <v>20</v>
      </c>
      <c r="L96" t="s">
        <v>31</v>
      </c>
      <c r="M96" t="s">
        <v>19</v>
      </c>
      <c r="N96">
        <v>3</v>
      </c>
    </row>
    <row r="97" spans="1:14">
      <c r="A97" t="s">
        <v>129</v>
      </c>
      <c r="B97">
        <v>5649</v>
      </c>
      <c r="C97">
        <v>141.03</v>
      </c>
      <c r="D97" t="s">
        <v>32</v>
      </c>
      <c r="E97">
        <v>4560</v>
      </c>
      <c r="F97">
        <v>2615</v>
      </c>
      <c r="G97">
        <v>0.17369999999999999</v>
      </c>
      <c r="H97">
        <v>211.62</v>
      </c>
      <c r="I97" t="s">
        <v>26</v>
      </c>
      <c r="J97" s="11">
        <v>0</v>
      </c>
      <c r="K97">
        <v>27</v>
      </c>
      <c r="L97" t="s">
        <v>31</v>
      </c>
      <c r="M97" t="s">
        <v>32</v>
      </c>
      <c r="N97">
        <v>5</v>
      </c>
    </row>
    <row r="98" spans="1:14">
      <c r="A98" t="s">
        <v>130</v>
      </c>
      <c r="B98">
        <v>4588</v>
      </c>
      <c r="D98" t="s">
        <v>32</v>
      </c>
      <c r="E98">
        <v>18396</v>
      </c>
      <c r="F98">
        <v>224</v>
      </c>
      <c r="H98">
        <v>67.73</v>
      </c>
      <c r="I98" t="s">
        <v>34</v>
      </c>
      <c r="J98" s="11">
        <v>1</v>
      </c>
      <c r="K98">
        <v>58</v>
      </c>
      <c r="L98" t="s">
        <v>22</v>
      </c>
      <c r="M98" t="s">
        <v>19</v>
      </c>
      <c r="N98">
        <v>1</v>
      </c>
    </row>
    <row r="99" spans="1:14">
      <c r="A99" t="s">
        <v>131</v>
      </c>
      <c r="B99">
        <v>5271</v>
      </c>
      <c r="C99">
        <v>198.98</v>
      </c>
      <c r="D99" t="s">
        <v>15</v>
      </c>
      <c r="E99">
        <v>78698</v>
      </c>
      <c r="F99">
        <v>8704</v>
      </c>
      <c r="G99">
        <v>0.14460000000000001</v>
      </c>
      <c r="H99">
        <v>305.01</v>
      </c>
      <c r="I99" t="s">
        <v>21</v>
      </c>
      <c r="K99">
        <v>63</v>
      </c>
      <c r="L99" t="s">
        <v>31</v>
      </c>
      <c r="M99" t="s">
        <v>23</v>
      </c>
      <c r="N99">
        <v>5</v>
      </c>
    </row>
    <row r="100" spans="1:14">
      <c r="A100" t="s">
        <v>132</v>
      </c>
      <c r="B100">
        <v>4897</v>
      </c>
      <c r="C100">
        <v>90.46</v>
      </c>
      <c r="D100" t="s">
        <v>32</v>
      </c>
      <c r="E100">
        <v>75110</v>
      </c>
      <c r="F100">
        <v>6756</v>
      </c>
      <c r="G100">
        <v>0.13439999999999999</v>
      </c>
      <c r="H100">
        <v>496.81</v>
      </c>
      <c r="I100" t="s">
        <v>29</v>
      </c>
      <c r="J100" s="11">
        <v>1</v>
      </c>
      <c r="K100">
        <v>64</v>
      </c>
      <c r="L100" t="s">
        <v>31</v>
      </c>
      <c r="M100" t="s">
        <v>19</v>
      </c>
      <c r="N100">
        <v>4</v>
      </c>
    </row>
    <row r="101" spans="1:14">
      <c r="A101" t="s">
        <v>133</v>
      </c>
      <c r="B101">
        <v>4975</v>
      </c>
      <c r="C101">
        <v>181.24</v>
      </c>
      <c r="D101" t="s">
        <v>32</v>
      </c>
      <c r="E101">
        <v>48579</v>
      </c>
      <c r="F101">
        <v>8203</v>
      </c>
      <c r="G101">
        <v>0.17380000000000001</v>
      </c>
      <c r="H101">
        <v>182.93</v>
      </c>
      <c r="I101" t="s">
        <v>34</v>
      </c>
      <c r="K101">
        <v>65</v>
      </c>
      <c r="L101" t="s">
        <v>18</v>
      </c>
      <c r="M101" t="s">
        <v>32</v>
      </c>
      <c r="N101">
        <v>3</v>
      </c>
    </row>
    <row r="102" spans="1:14">
      <c r="A102" t="s">
        <v>134</v>
      </c>
      <c r="B102">
        <v>5534</v>
      </c>
      <c r="D102" t="s">
        <v>32</v>
      </c>
      <c r="E102">
        <v>16816</v>
      </c>
      <c r="F102">
        <v>7722</v>
      </c>
      <c r="G102">
        <v>0.1026</v>
      </c>
      <c r="H102">
        <v>494.74</v>
      </c>
      <c r="I102" t="s">
        <v>26</v>
      </c>
      <c r="K102">
        <v>21</v>
      </c>
      <c r="L102" t="s">
        <v>37</v>
      </c>
      <c r="M102" t="s">
        <v>38</v>
      </c>
      <c r="N102">
        <v>5</v>
      </c>
    </row>
    <row r="103" spans="1:14">
      <c r="A103" t="s">
        <v>135</v>
      </c>
      <c r="B103">
        <v>5636</v>
      </c>
      <c r="D103" t="s">
        <v>25</v>
      </c>
      <c r="E103">
        <v>21104</v>
      </c>
      <c r="F103">
        <v>9131</v>
      </c>
      <c r="G103">
        <v>2.81E-2</v>
      </c>
      <c r="H103">
        <v>303.13</v>
      </c>
      <c r="I103" t="s">
        <v>29</v>
      </c>
      <c r="K103">
        <v>28</v>
      </c>
      <c r="L103" t="s">
        <v>22</v>
      </c>
      <c r="N103">
        <v>3</v>
      </c>
    </row>
    <row r="104" spans="1:14">
      <c r="A104" t="s">
        <v>136</v>
      </c>
      <c r="B104">
        <v>3643</v>
      </c>
      <c r="C104">
        <v>196.71</v>
      </c>
      <c r="D104" t="s">
        <v>25</v>
      </c>
      <c r="E104">
        <v>32940</v>
      </c>
      <c r="F104">
        <v>4075</v>
      </c>
      <c r="H104">
        <v>337.07</v>
      </c>
      <c r="I104" t="s">
        <v>17</v>
      </c>
      <c r="J104" s="11">
        <v>1</v>
      </c>
      <c r="K104">
        <v>33</v>
      </c>
      <c r="L104" t="s">
        <v>18</v>
      </c>
    </row>
    <row r="105" spans="1:14">
      <c r="A105" t="s">
        <v>137</v>
      </c>
      <c r="B105">
        <v>1223</v>
      </c>
      <c r="C105">
        <v>51.62</v>
      </c>
      <c r="D105" t="s">
        <v>45</v>
      </c>
      <c r="E105">
        <v>6108</v>
      </c>
      <c r="F105">
        <v>4070</v>
      </c>
      <c r="H105">
        <v>200.83</v>
      </c>
      <c r="I105" t="s">
        <v>17</v>
      </c>
      <c r="K105">
        <v>32</v>
      </c>
      <c r="L105" t="s">
        <v>31</v>
      </c>
      <c r="M105" t="s">
        <v>32</v>
      </c>
      <c r="N105">
        <v>3</v>
      </c>
    </row>
    <row r="106" spans="1:14">
      <c r="A106" t="s">
        <v>138</v>
      </c>
      <c r="B106">
        <v>4191</v>
      </c>
      <c r="C106">
        <v>97.27</v>
      </c>
      <c r="D106" t="s">
        <v>28</v>
      </c>
      <c r="E106">
        <v>74138</v>
      </c>
      <c r="F106">
        <v>513</v>
      </c>
      <c r="G106">
        <v>5.57E-2</v>
      </c>
      <c r="H106">
        <v>353.09</v>
      </c>
      <c r="I106" t="s">
        <v>49</v>
      </c>
      <c r="K106">
        <v>65</v>
      </c>
      <c r="L106" t="s">
        <v>18</v>
      </c>
      <c r="M106" t="s">
        <v>32</v>
      </c>
      <c r="N106">
        <v>5</v>
      </c>
    </row>
    <row r="107" spans="1:14">
      <c r="A107" t="s">
        <v>139</v>
      </c>
      <c r="B107">
        <v>1889</v>
      </c>
      <c r="C107">
        <v>175.38</v>
      </c>
      <c r="D107" t="s">
        <v>15</v>
      </c>
      <c r="E107">
        <v>43068</v>
      </c>
      <c r="F107" t="s">
        <v>16</v>
      </c>
      <c r="G107">
        <v>9.6799999999999997E-2</v>
      </c>
      <c r="H107">
        <v>237.2</v>
      </c>
      <c r="I107" t="s">
        <v>21</v>
      </c>
      <c r="J107" s="11">
        <v>0</v>
      </c>
      <c r="K107">
        <v>55</v>
      </c>
      <c r="L107" t="s">
        <v>31</v>
      </c>
      <c r="M107" t="s">
        <v>19</v>
      </c>
      <c r="N107">
        <v>4</v>
      </c>
    </row>
    <row r="108" spans="1:14">
      <c r="A108" t="s">
        <v>140</v>
      </c>
      <c r="B108">
        <v>4021</v>
      </c>
      <c r="C108">
        <v>141.15</v>
      </c>
      <c r="D108" t="s">
        <v>28</v>
      </c>
      <c r="E108">
        <v>43730</v>
      </c>
      <c r="F108">
        <v>464</v>
      </c>
      <c r="G108">
        <v>0.17730000000000001</v>
      </c>
      <c r="H108">
        <v>162.56</v>
      </c>
      <c r="I108" t="s">
        <v>21</v>
      </c>
      <c r="J108" s="11">
        <v>1</v>
      </c>
      <c r="K108">
        <v>65</v>
      </c>
      <c r="L108" t="s">
        <v>31</v>
      </c>
    </row>
    <row r="109" spans="1:14">
      <c r="A109" t="s">
        <v>141</v>
      </c>
      <c r="B109">
        <v>7628</v>
      </c>
      <c r="D109" t="s">
        <v>32</v>
      </c>
      <c r="E109">
        <v>62169</v>
      </c>
      <c r="F109">
        <v>4403</v>
      </c>
      <c r="G109">
        <v>0.1242</v>
      </c>
      <c r="H109">
        <v>182.08</v>
      </c>
      <c r="I109" t="s">
        <v>34</v>
      </c>
      <c r="K109">
        <v>59</v>
      </c>
      <c r="L109" t="s">
        <v>31</v>
      </c>
      <c r="M109" t="s">
        <v>19</v>
      </c>
      <c r="N109">
        <v>5</v>
      </c>
    </row>
    <row r="110" spans="1:14">
      <c r="A110" t="s">
        <v>142</v>
      </c>
      <c r="B110">
        <v>3706</v>
      </c>
      <c r="C110">
        <v>37.01</v>
      </c>
      <c r="D110" t="s">
        <v>45</v>
      </c>
      <c r="E110">
        <v>79589</v>
      </c>
      <c r="F110">
        <v>4012</v>
      </c>
      <c r="G110">
        <v>2.6800000000000001E-2</v>
      </c>
      <c r="I110" t="s">
        <v>21</v>
      </c>
      <c r="L110" t="s">
        <v>37</v>
      </c>
      <c r="N110">
        <v>5</v>
      </c>
    </row>
    <row r="111" spans="1:14">
      <c r="A111" t="s">
        <v>143</v>
      </c>
      <c r="B111">
        <v>4110</v>
      </c>
      <c r="D111" t="s">
        <v>45</v>
      </c>
      <c r="E111">
        <v>24378</v>
      </c>
      <c r="F111">
        <v>5257</v>
      </c>
      <c r="G111">
        <v>5.5899999999999998E-2</v>
      </c>
      <c r="H111">
        <v>105.76</v>
      </c>
      <c r="I111" t="s">
        <v>21</v>
      </c>
      <c r="K111">
        <v>65</v>
      </c>
      <c r="L111" t="s">
        <v>31</v>
      </c>
      <c r="M111" t="s">
        <v>38</v>
      </c>
    </row>
    <row r="112" spans="1:14">
      <c r="A112" t="s">
        <v>144</v>
      </c>
      <c r="B112">
        <v>1720</v>
      </c>
      <c r="C112">
        <v>149.01</v>
      </c>
      <c r="D112" t="s">
        <v>28</v>
      </c>
      <c r="E112">
        <v>44683</v>
      </c>
      <c r="F112">
        <v>4383</v>
      </c>
      <c r="G112">
        <v>8.7900000000000006E-2</v>
      </c>
      <c r="H112">
        <v>302.74</v>
      </c>
      <c r="I112" t="s">
        <v>21</v>
      </c>
      <c r="J112" s="11">
        <v>0</v>
      </c>
      <c r="K112">
        <v>64</v>
      </c>
      <c r="L112" t="s">
        <v>31</v>
      </c>
      <c r="M112" t="s">
        <v>38</v>
      </c>
      <c r="N112">
        <v>1</v>
      </c>
    </row>
    <row r="113" spans="1:14">
      <c r="A113" t="s">
        <v>145</v>
      </c>
      <c r="B113">
        <v>4624</v>
      </c>
      <c r="C113">
        <v>23.83</v>
      </c>
      <c r="D113" t="s">
        <v>15</v>
      </c>
      <c r="E113">
        <v>76795</v>
      </c>
      <c r="F113">
        <v>3818</v>
      </c>
      <c r="G113">
        <v>0.19139999999999999</v>
      </c>
      <c r="H113">
        <v>188.84</v>
      </c>
      <c r="I113" t="s">
        <v>34</v>
      </c>
      <c r="J113" s="11">
        <v>1</v>
      </c>
      <c r="K113">
        <v>31</v>
      </c>
      <c r="L113" t="s">
        <v>31</v>
      </c>
      <c r="M113" t="s">
        <v>23</v>
      </c>
      <c r="N113">
        <v>4</v>
      </c>
    </row>
    <row r="114" spans="1:14">
      <c r="A114" t="s">
        <v>146</v>
      </c>
      <c r="B114">
        <v>1553</v>
      </c>
      <c r="C114">
        <v>7.86</v>
      </c>
      <c r="D114" t="s">
        <v>15</v>
      </c>
      <c r="E114">
        <v>17779</v>
      </c>
      <c r="F114">
        <v>8470</v>
      </c>
      <c r="G114">
        <v>0.17319999999999999</v>
      </c>
      <c r="H114">
        <v>412.09</v>
      </c>
      <c r="I114" t="s">
        <v>21</v>
      </c>
      <c r="J114" s="11">
        <v>0</v>
      </c>
      <c r="L114" t="s">
        <v>18</v>
      </c>
      <c r="M114" t="s">
        <v>45</v>
      </c>
      <c r="N114">
        <v>4</v>
      </c>
    </row>
    <row r="115" spans="1:14">
      <c r="A115" t="s">
        <v>147</v>
      </c>
      <c r="B115">
        <v>6799</v>
      </c>
      <c r="C115">
        <v>110.44</v>
      </c>
      <c r="D115" t="s">
        <v>40</v>
      </c>
      <c r="E115">
        <v>90061</v>
      </c>
      <c r="F115" t="s">
        <v>16</v>
      </c>
      <c r="G115">
        <v>0.1198</v>
      </c>
      <c r="H115">
        <v>149.29</v>
      </c>
      <c r="I115" t="s">
        <v>26</v>
      </c>
      <c r="J115" s="11">
        <v>0</v>
      </c>
      <c r="K115">
        <v>32</v>
      </c>
      <c r="L115" t="s">
        <v>18</v>
      </c>
      <c r="N115">
        <v>3</v>
      </c>
    </row>
    <row r="116" spans="1:14">
      <c r="A116" t="s">
        <v>148</v>
      </c>
      <c r="B116">
        <v>9919</v>
      </c>
      <c r="C116">
        <v>83.34</v>
      </c>
      <c r="D116" t="s">
        <v>15</v>
      </c>
      <c r="E116">
        <v>16512</v>
      </c>
      <c r="F116">
        <v>9368</v>
      </c>
      <c r="G116">
        <v>0.18779999999999999</v>
      </c>
      <c r="H116">
        <v>184.31</v>
      </c>
      <c r="I116" t="s">
        <v>34</v>
      </c>
      <c r="J116" s="11">
        <v>1</v>
      </c>
      <c r="K116">
        <v>60</v>
      </c>
      <c r="L116" t="s">
        <v>22</v>
      </c>
      <c r="M116" t="s">
        <v>32</v>
      </c>
      <c r="N116">
        <v>5</v>
      </c>
    </row>
    <row r="117" spans="1:14">
      <c r="A117" t="s">
        <v>149</v>
      </c>
      <c r="B117">
        <v>9924</v>
      </c>
      <c r="C117">
        <v>41.12</v>
      </c>
      <c r="D117" t="s">
        <v>40</v>
      </c>
      <c r="E117">
        <v>19560</v>
      </c>
      <c r="F117">
        <v>7993</v>
      </c>
      <c r="G117">
        <v>6.0600000000000001E-2</v>
      </c>
      <c r="H117">
        <v>203.1</v>
      </c>
      <c r="I117" t="s">
        <v>49</v>
      </c>
      <c r="J117" s="11">
        <v>0</v>
      </c>
      <c r="L117" t="s">
        <v>18</v>
      </c>
      <c r="M117" t="s">
        <v>38</v>
      </c>
      <c r="N117">
        <v>3</v>
      </c>
    </row>
    <row r="118" spans="1:14">
      <c r="A118" t="s">
        <v>150</v>
      </c>
      <c r="B118">
        <v>5979</v>
      </c>
      <c r="C118">
        <v>165.43</v>
      </c>
      <c r="D118" t="s">
        <v>25</v>
      </c>
      <c r="E118">
        <v>40396</v>
      </c>
      <c r="F118" t="s">
        <v>16</v>
      </c>
      <c r="G118">
        <v>0.1837</v>
      </c>
      <c r="H118">
        <v>388.69</v>
      </c>
      <c r="I118" t="s">
        <v>26</v>
      </c>
      <c r="K118">
        <v>63</v>
      </c>
      <c r="L118" t="s">
        <v>31</v>
      </c>
      <c r="M118" t="s">
        <v>19</v>
      </c>
      <c r="N118">
        <v>1</v>
      </c>
    </row>
    <row r="119" spans="1:14">
      <c r="A119" t="s">
        <v>151</v>
      </c>
      <c r="B119">
        <v>4760</v>
      </c>
      <c r="C119">
        <v>43.6</v>
      </c>
      <c r="D119" t="s">
        <v>45</v>
      </c>
      <c r="E119">
        <v>21367</v>
      </c>
      <c r="F119">
        <v>8045</v>
      </c>
      <c r="G119">
        <v>0.1678</v>
      </c>
      <c r="I119" t="s">
        <v>34</v>
      </c>
      <c r="K119">
        <v>43</v>
      </c>
      <c r="L119" t="s">
        <v>31</v>
      </c>
    </row>
    <row r="120" spans="1:14">
      <c r="A120" t="s">
        <v>152</v>
      </c>
      <c r="B120">
        <v>5079</v>
      </c>
      <c r="C120">
        <v>31.18</v>
      </c>
      <c r="D120" t="s">
        <v>28</v>
      </c>
      <c r="E120">
        <v>50915</v>
      </c>
      <c r="F120">
        <v>6787</v>
      </c>
      <c r="G120">
        <v>0.14299999999999999</v>
      </c>
      <c r="H120">
        <v>183.06</v>
      </c>
      <c r="I120" t="s">
        <v>21</v>
      </c>
      <c r="J120" s="11">
        <v>1</v>
      </c>
      <c r="K120">
        <v>20</v>
      </c>
      <c r="L120" t="s">
        <v>22</v>
      </c>
      <c r="N120">
        <v>3</v>
      </c>
    </row>
    <row r="121" spans="1:14">
      <c r="A121" t="s">
        <v>153</v>
      </c>
      <c r="B121">
        <v>4015</v>
      </c>
      <c r="D121" t="s">
        <v>40</v>
      </c>
      <c r="E121">
        <v>44328</v>
      </c>
      <c r="F121">
        <v>6935</v>
      </c>
      <c r="G121">
        <v>7.9000000000000001E-2</v>
      </c>
      <c r="I121" t="s">
        <v>17</v>
      </c>
      <c r="K121">
        <v>29</v>
      </c>
      <c r="L121" t="s">
        <v>22</v>
      </c>
      <c r="M121" t="s">
        <v>23</v>
      </c>
      <c r="N121">
        <v>2</v>
      </c>
    </row>
    <row r="122" spans="1:14">
      <c r="A122" t="s">
        <v>154</v>
      </c>
      <c r="B122">
        <v>7340</v>
      </c>
      <c r="C122">
        <v>63.08</v>
      </c>
      <c r="D122" t="s">
        <v>45</v>
      </c>
      <c r="E122">
        <v>32025</v>
      </c>
      <c r="F122">
        <v>8914</v>
      </c>
      <c r="G122">
        <v>0.18010000000000001</v>
      </c>
      <c r="H122">
        <v>18.02</v>
      </c>
      <c r="I122" t="s">
        <v>29</v>
      </c>
      <c r="J122" s="11">
        <v>0</v>
      </c>
      <c r="K122">
        <v>35</v>
      </c>
      <c r="L122" t="s">
        <v>31</v>
      </c>
      <c r="N122">
        <v>4</v>
      </c>
    </row>
    <row r="123" spans="1:14">
      <c r="A123" t="s">
        <v>155</v>
      </c>
      <c r="B123">
        <v>1357</v>
      </c>
      <c r="C123">
        <v>108.08</v>
      </c>
      <c r="D123" t="s">
        <v>28</v>
      </c>
      <c r="E123">
        <v>41119</v>
      </c>
      <c r="F123">
        <v>2685</v>
      </c>
      <c r="G123">
        <v>8.2500000000000004E-2</v>
      </c>
      <c r="H123">
        <v>488.92</v>
      </c>
      <c r="I123" t="s">
        <v>17</v>
      </c>
      <c r="J123" s="11">
        <v>0</v>
      </c>
      <c r="K123">
        <v>40</v>
      </c>
      <c r="L123" t="s">
        <v>18</v>
      </c>
      <c r="M123" t="s">
        <v>45</v>
      </c>
      <c r="N123">
        <v>5</v>
      </c>
    </row>
    <row r="124" spans="1:14">
      <c r="A124" t="s">
        <v>156</v>
      </c>
      <c r="B124">
        <v>5204</v>
      </c>
      <c r="C124">
        <v>44.91</v>
      </c>
      <c r="D124" t="s">
        <v>28</v>
      </c>
      <c r="E124">
        <v>55911</v>
      </c>
      <c r="F124">
        <v>4436</v>
      </c>
      <c r="G124">
        <v>3.5499999999999997E-2</v>
      </c>
      <c r="H124">
        <v>470.36</v>
      </c>
      <c r="I124" t="s">
        <v>29</v>
      </c>
      <c r="K124">
        <v>20</v>
      </c>
      <c r="L124" t="s">
        <v>31</v>
      </c>
      <c r="M124" t="s">
        <v>32</v>
      </c>
      <c r="N124">
        <v>4</v>
      </c>
    </row>
    <row r="125" spans="1:14">
      <c r="A125" t="s">
        <v>157</v>
      </c>
      <c r="B125">
        <v>4691</v>
      </c>
      <c r="D125" t="s">
        <v>32</v>
      </c>
      <c r="E125">
        <v>61133</v>
      </c>
      <c r="F125">
        <v>6946</v>
      </c>
      <c r="G125">
        <v>9.7100000000000006E-2</v>
      </c>
      <c r="I125" t="s">
        <v>26</v>
      </c>
      <c r="J125" s="11">
        <v>1</v>
      </c>
      <c r="K125">
        <v>57</v>
      </c>
      <c r="L125" t="s">
        <v>31</v>
      </c>
      <c r="N125">
        <v>5</v>
      </c>
    </row>
    <row r="126" spans="1:14">
      <c r="A126" t="s">
        <v>158</v>
      </c>
      <c r="B126">
        <v>2532</v>
      </c>
      <c r="C126">
        <v>58.18</v>
      </c>
      <c r="D126" t="s">
        <v>40</v>
      </c>
      <c r="E126">
        <v>73025</v>
      </c>
      <c r="F126">
        <v>6229</v>
      </c>
      <c r="G126">
        <v>0.1731</v>
      </c>
      <c r="I126" t="s">
        <v>29</v>
      </c>
      <c r="K126">
        <v>60</v>
      </c>
      <c r="L126" t="s">
        <v>22</v>
      </c>
      <c r="N126">
        <v>2</v>
      </c>
    </row>
    <row r="127" spans="1:14">
      <c r="A127" t="s">
        <v>159</v>
      </c>
      <c r="B127">
        <v>1415</v>
      </c>
      <c r="D127" t="s">
        <v>15</v>
      </c>
      <c r="E127">
        <v>77507</v>
      </c>
      <c r="F127">
        <v>4819</v>
      </c>
      <c r="G127">
        <v>4.0899999999999999E-2</v>
      </c>
      <c r="H127">
        <v>478.63</v>
      </c>
      <c r="I127" t="s">
        <v>34</v>
      </c>
      <c r="J127" s="11">
        <v>1</v>
      </c>
      <c r="K127">
        <v>60</v>
      </c>
      <c r="L127" t="s">
        <v>37</v>
      </c>
      <c r="M127" t="s">
        <v>38</v>
      </c>
    </row>
    <row r="128" spans="1:14">
      <c r="A128" t="s">
        <v>160</v>
      </c>
      <c r="B128">
        <v>3473</v>
      </c>
      <c r="C128">
        <v>149.86000000000001</v>
      </c>
      <c r="D128" t="s">
        <v>28</v>
      </c>
      <c r="E128">
        <v>46509</v>
      </c>
      <c r="F128">
        <v>3298</v>
      </c>
      <c r="G128">
        <v>0.14580000000000001</v>
      </c>
      <c r="H128">
        <v>450.9</v>
      </c>
      <c r="I128" t="s">
        <v>26</v>
      </c>
      <c r="J128" s="11">
        <v>0</v>
      </c>
      <c r="L128" t="s">
        <v>18</v>
      </c>
      <c r="M128" t="s">
        <v>32</v>
      </c>
      <c r="N128">
        <v>2</v>
      </c>
    </row>
    <row r="129" spans="1:14">
      <c r="A129" t="s">
        <v>161</v>
      </c>
      <c r="B129">
        <v>5278</v>
      </c>
      <c r="C129">
        <v>7.11</v>
      </c>
      <c r="D129" t="s">
        <v>15</v>
      </c>
      <c r="E129">
        <v>44378</v>
      </c>
      <c r="F129">
        <v>7451</v>
      </c>
      <c r="G129">
        <v>0.1308</v>
      </c>
      <c r="H129">
        <v>443.23</v>
      </c>
      <c r="I129" t="s">
        <v>26</v>
      </c>
      <c r="J129" s="11">
        <v>1</v>
      </c>
      <c r="K129">
        <v>44</v>
      </c>
      <c r="L129" t="s">
        <v>37</v>
      </c>
      <c r="M129" t="s">
        <v>19</v>
      </c>
      <c r="N129">
        <v>5</v>
      </c>
    </row>
    <row r="130" spans="1:14">
      <c r="A130" t="s">
        <v>162</v>
      </c>
      <c r="B130">
        <v>6810</v>
      </c>
      <c r="C130">
        <v>30.16</v>
      </c>
      <c r="D130" t="s">
        <v>28</v>
      </c>
      <c r="E130">
        <v>15093</v>
      </c>
      <c r="F130">
        <v>3087</v>
      </c>
      <c r="G130">
        <v>0.1812</v>
      </c>
      <c r="H130">
        <v>368.77</v>
      </c>
      <c r="I130" t="s">
        <v>26</v>
      </c>
      <c r="J130" s="11">
        <v>1</v>
      </c>
      <c r="K130">
        <v>48</v>
      </c>
      <c r="L130" t="s">
        <v>18</v>
      </c>
      <c r="M130" t="s">
        <v>38</v>
      </c>
      <c r="N130">
        <v>5</v>
      </c>
    </row>
    <row r="131" spans="1:14">
      <c r="A131" t="s">
        <v>163</v>
      </c>
      <c r="B131">
        <v>6605</v>
      </c>
      <c r="C131">
        <v>73.48</v>
      </c>
      <c r="D131" t="s">
        <v>25</v>
      </c>
      <c r="E131">
        <v>58244</v>
      </c>
      <c r="F131">
        <v>2505</v>
      </c>
      <c r="G131">
        <v>3.6499999999999998E-2</v>
      </c>
      <c r="H131">
        <v>15.45</v>
      </c>
      <c r="I131" t="s">
        <v>29</v>
      </c>
      <c r="K131">
        <v>28</v>
      </c>
      <c r="L131" t="s">
        <v>31</v>
      </c>
      <c r="M131" t="s">
        <v>19</v>
      </c>
      <c r="N131">
        <v>4</v>
      </c>
    </row>
    <row r="132" spans="1:14">
      <c r="A132" t="s">
        <v>164</v>
      </c>
      <c r="B132">
        <v>8229</v>
      </c>
      <c r="D132" t="s">
        <v>45</v>
      </c>
      <c r="E132">
        <v>45916</v>
      </c>
      <c r="F132">
        <v>545</v>
      </c>
      <c r="G132">
        <v>0.1694</v>
      </c>
      <c r="H132">
        <v>54</v>
      </c>
      <c r="I132" t="s">
        <v>26</v>
      </c>
      <c r="K132">
        <v>25</v>
      </c>
      <c r="L132" t="s">
        <v>37</v>
      </c>
      <c r="M132" t="s">
        <v>19</v>
      </c>
      <c r="N132">
        <v>2</v>
      </c>
    </row>
    <row r="133" spans="1:14">
      <c r="A133" t="s">
        <v>165</v>
      </c>
      <c r="B133">
        <v>2644</v>
      </c>
      <c r="C133">
        <v>42.71</v>
      </c>
      <c r="D133" t="s">
        <v>25</v>
      </c>
      <c r="E133">
        <v>6829</v>
      </c>
      <c r="F133">
        <v>1094</v>
      </c>
      <c r="G133">
        <v>0.1074</v>
      </c>
      <c r="H133">
        <v>38.69</v>
      </c>
      <c r="I133" t="s">
        <v>29</v>
      </c>
      <c r="K133">
        <v>42</v>
      </c>
      <c r="L133" t="s">
        <v>22</v>
      </c>
      <c r="N133">
        <v>4</v>
      </c>
    </row>
    <row r="134" spans="1:14">
      <c r="A134" t="s">
        <v>166</v>
      </c>
      <c r="B134">
        <v>3543</v>
      </c>
      <c r="C134">
        <v>148.62</v>
      </c>
      <c r="D134" t="s">
        <v>32</v>
      </c>
      <c r="E134">
        <v>84146</v>
      </c>
      <c r="F134">
        <v>9924</v>
      </c>
      <c r="G134">
        <v>2.5899999999999999E-2</v>
      </c>
      <c r="I134" t="s">
        <v>34</v>
      </c>
      <c r="J134" s="11">
        <v>0</v>
      </c>
      <c r="K134">
        <v>21</v>
      </c>
      <c r="L134" t="s">
        <v>18</v>
      </c>
      <c r="M134" t="s">
        <v>23</v>
      </c>
      <c r="N134">
        <v>1</v>
      </c>
    </row>
    <row r="135" spans="1:14">
      <c r="A135" t="s">
        <v>167</v>
      </c>
      <c r="B135">
        <v>5826</v>
      </c>
      <c r="C135">
        <v>143.63999999999999</v>
      </c>
      <c r="D135" t="s">
        <v>25</v>
      </c>
      <c r="E135">
        <v>73027</v>
      </c>
      <c r="F135">
        <v>9197</v>
      </c>
      <c r="G135">
        <v>0.1273</v>
      </c>
      <c r="H135">
        <v>432.94</v>
      </c>
      <c r="I135" t="s">
        <v>26</v>
      </c>
      <c r="J135" s="11">
        <v>0</v>
      </c>
      <c r="K135">
        <v>23</v>
      </c>
      <c r="L135" t="s">
        <v>31</v>
      </c>
      <c r="N135">
        <v>1</v>
      </c>
    </row>
    <row r="136" spans="1:14">
      <c r="A136" t="s">
        <v>168</v>
      </c>
      <c r="B136">
        <v>5133</v>
      </c>
      <c r="C136">
        <v>181.6</v>
      </c>
      <c r="D136" t="s">
        <v>25</v>
      </c>
      <c r="E136">
        <v>56987</v>
      </c>
      <c r="F136">
        <v>5474</v>
      </c>
      <c r="G136">
        <v>7.6300000000000007E-2</v>
      </c>
      <c r="H136">
        <v>164.13</v>
      </c>
      <c r="I136" t="s">
        <v>26</v>
      </c>
      <c r="J136" s="11">
        <v>0</v>
      </c>
      <c r="K136">
        <v>29</v>
      </c>
      <c r="L136" t="s">
        <v>18</v>
      </c>
      <c r="N136">
        <v>3</v>
      </c>
    </row>
    <row r="137" spans="1:14">
      <c r="A137" t="s">
        <v>169</v>
      </c>
      <c r="B137">
        <v>9016</v>
      </c>
      <c r="C137">
        <v>193.84</v>
      </c>
      <c r="D137" t="s">
        <v>40</v>
      </c>
      <c r="E137">
        <v>1512</v>
      </c>
      <c r="F137">
        <v>7256</v>
      </c>
      <c r="G137">
        <v>0.19020000000000001</v>
      </c>
      <c r="H137">
        <v>158.46</v>
      </c>
      <c r="I137" t="s">
        <v>17</v>
      </c>
      <c r="J137" s="11">
        <v>0</v>
      </c>
      <c r="K137">
        <v>56</v>
      </c>
      <c r="L137" t="s">
        <v>31</v>
      </c>
      <c r="M137" t="s">
        <v>32</v>
      </c>
      <c r="N137">
        <v>3</v>
      </c>
    </row>
    <row r="138" spans="1:14">
      <c r="A138" t="s">
        <v>170</v>
      </c>
      <c r="B138">
        <v>4252</v>
      </c>
      <c r="C138">
        <v>187.53</v>
      </c>
      <c r="D138" t="s">
        <v>40</v>
      </c>
      <c r="E138">
        <v>74680</v>
      </c>
      <c r="F138">
        <v>3363</v>
      </c>
      <c r="G138">
        <v>0.19689999999999999</v>
      </c>
      <c r="I138" t="s">
        <v>17</v>
      </c>
      <c r="J138" s="11">
        <v>1</v>
      </c>
      <c r="K138">
        <v>56</v>
      </c>
      <c r="L138" t="s">
        <v>37</v>
      </c>
      <c r="M138" t="s">
        <v>23</v>
      </c>
      <c r="N138">
        <v>3</v>
      </c>
    </row>
    <row r="139" spans="1:14">
      <c r="A139" t="s">
        <v>171</v>
      </c>
      <c r="B139">
        <v>7601</v>
      </c>
      <c r="C139">
        <v>59.85</v>
      </c>
      <c r="D139" t="s">
        <v>28</v>
      </c>
      <c r="E139">
        <v>97276</v>
      </c>
      <c r="F139" t="s">
        <v>16</v>
      </c>
      <c r="G139">
        <v>2.12E-2</v>
      </c>
      <c r="H139">
        <v>206.18</v>
      </c>
      <c r="I139" t="s">
        <v>26</v>
      </c>
      <c r="J139" s="11">
        <v>1</v>
      </c>
      <c r="K139">
        <v>32</v>
      </c>
      <c r="L139" t="s">
        <v>18</v>
      </c>
      <c r="M139" t="s">
        <v>19</v>
      </c>
      <c r="N139">
        <v>1</v>
      </c>
    </row>
    <row r="140" spans="1:14">
      <c r="A140" t="s">
        <v>172</v>
      </c>
      <c r="B140">
        <v>3065</v>
      </c>
      <c r="D140" t="s">
        <v>15</v>
      </c>
      <c r="E140">
        <v>4863</v>
      </c>
      <c r="F140">
        <v>6571</v>
      </c>
      <c r="G140">
        <v>9.7000000000000003E-2</v>
      </c>
      <c r="I140" t="s">
        <v>34</v>
      </c>
      <c r="L140" t="s">
        <v>31</v>
      </c>
      <c r="M140" t="s">
        <v>19</v>
      </c>
      <c r="N140">
        <v>5</v>
      </c>
    </row>
    <row r="141" spans="1:14">
      <c r="A141" t="s">
        <v>173</v>
      </c>
      <c r="B141">
        <v>8951</v>
      </c>
      <c r="C141">
        <v>30.86</v>
      </c>
      <c r="D141" t="s">
        <v>32</v>
      </c>
      <c r="E141">
        <v>6841</v>
      </c>
      <c r="F141">
        <v>1992</v>
      </c>
      <c r="G141">
        <v>3.7900000000000003E-2</v>
      </c>
      <c r="H141">
        <v>184.74</v>
      </c>
      <c r="I141" t="s">
        <v>29</v>
      </c>
      <c r="J141" s="11">
        <v>1</v>
      </c>
      <c r="K141">
        <v>46</v>
      </c>
      <c r="L141" t="s">
        <v>37</v>
      </c>
      <c r="M141" t="s">
        <v>32</v>
      </c>
      <c r="N141">
        <v>5</v>
      </c>
    </row>
    <row r="142" spans="1:14">
      <c r="A142" t="s">
        <v>174</v>
      </c>
      <c r="B142">
        <v>4444</v>
      </c>
      <c r="C142">
        <v>142.72999999999999</v>
      </c>
      <c r="D142" t="s">
        <v>15</v>
      </c>
      <c r="E142">
        <v>35039</v>
      </c>
      <c r="F142">
        <v>400</v>
      </c>
      <c r="G142">
        <v>9.5600000000000004E-2</v>
      </c>
      <c r="H142">
        <v>52.71</v>
      </c>
      <c r="I142" t="s">
        <v>21</v>
      </c>
      <c r="K142">
        <v>36</v>
      </c>
      <c r="L142" t="s">
        <v>37</v>
      </c>
      <c r="M142" t="s">
        <v>38</v>
      </c>
      <c r="N142">
        <v>5</v>
      </c>
    </row>
    <row r="143" spans="1:14">
      <c r="A143" t="s">
        <v>175</v>
      </c>
      <c r="B143">
        <v>5831</v>
      </c>
      <c r="C143">
        <v>86.58</v>
      </c>
      <c r="D143" t="s">
        <v>40</v>
      </c>
      <c r="E143">
        <v>14395</v>
      </c>
      <c r="F143">
        <v>8087</v>
      </c>
      <c r="G143">
        <v>6.9400000000000003E-2</v>
      </c>
      <c r="H143">
        <v>114.02</v>
      </c>
      <c r="I143" t="s">
        <v>29</v>
      </c>
      <c r="K143">
        <v>47</v>
      </c>
      <c r="L143" t="s">
        <v>18</v>
      </c>
      <c r="M143" t="s">
        <v>19</v>
      </c>
      <c r="N143">
        <v>3</v>
      </c>
    </row>
    <row r="144" spans="1:14">
      <c r="A144" t="s">
        <v>176</v>
      </c>
      <c r="B144">
        <v>5161</v>
      </c>
      <c r="D144" t="s">
        <v>15</v>
      </c>
      <c r="E144">
        <v>91073</v>
      </c>
      <c r="F144">
        <v>1119</v>
      </c>
      <c r="H144">
        <v>388.46</v>
      </c>
      <c r="I144" t="s">
        <v>17</v>
      </c>
      <c r="K144">
        <v>41</v>
      </c>
      <c r="L144" t="s">
        <v>18</v>
      </c>
      <c r="M144" t="s">
        <v>19</v>
      </c>
      <c r="N144">
        <v>2</v>
      </c>
    </row>
    <row r="145" spans="1:14">
      <c r="A145" t="s">
        <v>177</v>
      </c>
      <c r="B145">
        <v>9632</v>
      </c>
      <c r="D145" t="s">
        <v>25</v>
      </c>
      <c r="E145">
        <v>55366</v>
      </c>
      <c r="F145">
        <v>7009</v>
      </c>
      <c r="G145">
        <v>0.1457</v>
      </c>
      <c r="H145">
        <v>444.86</v>
      </c>
      <c r="I145" t="s">
        <v>21</v>
      </c>
      <c r="J145" s="11">
        <v>0</v>
      </c>
      <c r="L145" t="s">
        <v>22</v>
      </c>
      <c r="M145" t="s">
        <v>38</v>
      </c>
      <c r="N145">
        <v>3</v>
      </c>
    </row>
    <row r="146" spans="1:14">
      <c r="A146" t="s">
        <v>178</v>
      </c>
      <c r="B146">
        <v>8282</v>
      </c>
      <c r="C146">
        <v>53.38</v>
      </c>
      <c r="D146" t="s">
        <v>40</v>
      </c>
      <c r="E146">
        <v>94763</v>
      </c>
      <c r="F146">
        <v>3495</v>
      </c>
      <c r="G146">
        <v>0.15690000000000001</v>
      </c>
      <c r="H146">
        <v>109.56</v>
      </c>
      <c r="I146" t="s">
        <v>17</v>
      </c>
      <c r="J146" s="11">
        <v>1</v>
      </c>
      <c r="K146">
        <v>61</v>
      </c>
      <c r="L146" t="s">
        <v>31</v>
      </c>
      <c r="M146" t="s">
        <v>23</v>
      </c>
      <c r="N146">
        <v>4</v>
      </c>
    </row>
    <row r="147" spans="1:14">
      <c r="A147" t="s">
        <v>179</v>
      </c>
      <c r="B147">
        <v>7572</v>
      </c>
      <c r="C147">
        <v>191.35</v>
      </c>
      <c r="D147" t="s">
        <v>15</v>
      </c>
      <c r="E147">
        <v>32782</v>
      </c>
      <c r="F147">
        <v>2335</v>
      </c>
      <c r="G147">
        <v>8.0399999999999999E-2</v>
      </c>
      <c r="H147">
        <v>379.41</v>
      </c>
      <c r="I147" t="s">
        <v>29</v>
      </c>
      <c r="J147" s="11">
        <v>0</v>
      </c>
      <c r="K147">
        <v>50</v>
      </c>
      <c r="L147" t="s">
        <v>18</v>
      </c>
      <c r="N147">
        <v>1</v>
      </c>
    </row>
    <row r="148" spans="1:14">
      <c r="A148" t="s">
        <v>180</v>
      </c>
      <c r="B148">
        <v>2791</v>
      </c>
      <c r="C148">
        <v>150.83000000000001</v>
      </c>
      <c r="D148" t="s">
        <v>25</v>
      </c>
      <c r="E148">
        <v>66139</v>
      </c>
      <c r="F148">
        <v>2225</v>
      </c>
      <c r="G148">
        <v>7.3700000000000002E-2</v>
      </c>
      <c r="H148">
        <v>246.78</v>
      </c>
      <c r="I148" t="s">
        <v>17</v>
      </c>
      <c r="J148" s="11">
        <v>0</v>
      </c>
      <c r="K148">
        <v>44</v>
      </c>
      <c r="L148" t="s">
        <v>37</v>
      </c>
      <c r="M148" t="s">
        <v>23</v>
      </c>
      <c r="N148">
        <v>2</v>
      </c>
    </row>
    <row r="149" spans="1:14">
      <c r="A149" t="s">
        <v>181</v>
      </c>
      <c r="B149">
        <v>4851</v>
      </c>
      <c r="C149">
        <v>38.72</v>
      </c>
      <c r="D149" t="s">
        <v>15</v>
      </c>
      <c r="E149">
        <v>97524</v>
      </c>
      <c r="F149">
        <v>3953</v>
      </c>
      <c r="G149">
        <v>0.18279999999999999</v>
      </c>
      <c r="H149">
        <v>431.84</v>
      </c>
      <c r="I149" t="s">
        <v>17</v>
      </c>
      <c r="K149">
        <v>27</v>
      </c>
      <c r="L149" t="s">
        <v>31</v>
      </c>
      <c r="M149" t="s">
        <v>38</v>
      </c>
      <c r="N149">
        <v>5</v>
      </c>
    </row>
    <row r="150" spans="1:14">
      <c r="A150" t="s">
        <v>182</v>
      </c>
      <c r="B150">
        <v>1105</v>
      </c>
      <c r="C150">
        <v>200</v>
      </c>
      <c r="D150" t="s">
        <v>28</v>
      </c>
      <c r="E150">
        <v>25074</v>
      </c>
      <c r="F150">
        <v>3756</v>
      </c>
      <c r="G150">
        <v>6.4899999999999999E-2</v>
      </c>
      <c r="H150">
        <v>246.8</v>
      </c>
      <c r="I150" t="s">
        <v>21</v>
      </c>
      <c r="J150" s="11">
        <v>0</v>
      </c>
      <c r="K150">
        <v>55</v>
      </c>
      <c r="L150" t="s">
        <v>22</v>
      </c>
      <c r="M150" t="s">
        <v>19</v>
      </c>
      <c r="N150">
        <v>2</v>
      </c>
    </row>
    <row r="151" spans="1:14">
      <c r="A151" t="s">
        <v>183</v>
      </c>
      <c r="B151">
        <v>4959</v>
      </c>
      <c r="C151">
        <v>38.17</v>
      </c>
      <c r="D151" t="s">
        <v>28</v>
      </c>
      <c r="E151">
        <v>23850</v>
      </c>
      <c r="F151">
        <v>197</v>
      </c>
      <c r="G151">
        <v>0.18629999999999999</v>
      </c>
      <c r="H151">
        <v>97.1</v>
      </c>
      <c r="I151" t="s">
        <v>49</v>
      </c>
      <c r="J151" s="11">
        <v>1</v>
      </c>
      <c r="K151">
        <v>18</v>
      </c>
      <c r="L151" t="s">
        <v>22</v>
      </c>
      <c r="M151" t="s">
        <v>32</v>
      </c>
      <c r="N151">
        <v>3</v>
      </c>
    </row>
    <row r="152" spans="1:14">
      <c r="A152" t="s">
        <v>184</v>
      </c>
      <c r="B152">
        <v>8614</v>
      </c>
      <c r="C152">
        <v>190.16</v>
      </c>
      <c r="D152" t="s">
        <v>40</v>
      </c>
      <c r="E152">
        <v>62624</v>
      </c>
      <c r="F152">
        <v>7466</v>
      </c>
      <c r="G152">
        <v>0.1585</v>
      </c>
      <c r="H152">
        <v>52.13</v>
      </c>
      <c r="I152" t="s">
        <v>29</v>
      </c>
      <c r="K152">
        <v>50</v>
      </c>
      <c r="L152" t="s">
        <v>31</v>
      </c>
      <c r="M152" t="s">
        <v>23</v>
      </c>
      <c r="N152">
        <v>1</v>
      </c>
    </row>
    <row r="153" spans="1:14">
      <c r="A153" t="s">
        <v>185</v>
      </c>
      <c r="B153">
        <v>4801</v>
      </c>
      <c r="C153">
        <v>40.47</v>
      </c>
      <c r="D153" t="s">
        <v>40</v>
      </c>
      <c r="E153">
        <v>89139</v>
      </c>
      <c r="F153">
        <v>1617</v>
      </c>
      <c r="G153">
        <v>0.16689999999999999</v>
      </c>
      <c r="H153">
        <v>261.23</v>
      </c>
      <c r="I153" t="s">
        <v>21</v>
      </c>
      <c r="J153" s="11">
        <v>1</v>
      </c>
      <c r="K153">
        <v>33</v>
      </c>
      <c r="L153" t="s">
        <v>37</v>
      </c>
      <c r="M153" t="s">
        <v>32</v>
      </c>
      <c r="N153">
        <v>4</v>
      </c>
    </row>
    <row r="154" spans="1:14">
      <c r="A154" t="s">
        <v>186</v>
      </c>
      <c r="B154">
        <v>5564</v>
      </c>
      <c r="C154">
        <v>22.65</v>
      </c>
      <c r="D154" t="s">
        <v>15</v>
      </c>
      <c r="E154">
        <v>1869</v>
      </c>
      <c r="F154">
        <v>5710</v>
      </c>
      <c r="G154">
        <v>2.69E-2</v>
      </c>
      <c r="H154">
        <v>261.27</v>
      </c>
      <c r="I154" t="s">
        <v>17</v>
      </c>
      <c r="L154" t="s">
        <v>31</v>
      </c>
      <c r="M154" t="s">
        <v>38</v>
      </c>
    </row>
    <row r="155" spans="1:14">
      <c r="A155" t="s">
        <v>187</v>
      </c>
      <c r="B155">
        <v>4382</v>
      </c>
      <c r="C155">
        <v>166.5</v>
      </c>
      <c r="D155" t="s">
        <v>40</v>
      </c>
      <c r="E155">
        <v>72064</v>
      </c>
      <c r="F155">
        <v>671</v>
      </c>
      <c r="G155">
        <v>0.12139999999999999</v>
      </c>
      <c r="H155">
        <v>207.51</v>
      </c>
      <c r="I155" t="s">
        <v>21</v>
      </c>
      <c r="J155" s="11">
        <v>1</v>
      </c>
      <c r="K155">
        <v>56</v>
      </c>
      <c r="L155" t="s">
        <v>22</v>
      </c>
      <c r="M155" t="s">
        <v>19</v>
      </c>
      <c r="N155">
        <v>5</v>
      </c>
    </row>
    <row r="156" spans="1:14">
      <c r="A156" t="s">
        <v>188</v>
      </c>
      <c r="B156">
        <v>8711</v>
      </c>
      <c r="C156">
        <v>19.02</v>
      </c>
      <c r="D156" t="s">
        <v>28</v>
      </c>
      <c r="E156">
        <v>20760</v>
      </c>
      <c r="F156">
        <v>239</v>
      </c>
      <c r="G156">
        <v>0.1056</v>
      </c>
      <c r="I156" t="s">
        <v>34</v>
      </c>
      <c r="J156" s="11">
        <v>0</v>
      </c>
      <c r="K156">
        <v>45</v>
      </c>
      <c r="L156" t="s">
        <v>18</v>
      </c>
      <c r="N156">
        <v>4</v>
      </c>
    </row>
    <row r="157" spans="1:14">
      <c r="A157" t="s">
        <v>189</v>
      </c>
      <c r="B157">
        <v>2058</v>
      </c>
      <c r="D157" t="s">
        <v>28</v>
      </c>
      <c r="E157">
        <v>67139</v>
      </c>
      <c r="F157">
        <v>1273</v>
      </c>
      <c r="G157">
        <v>7.1900000000000006E-2</v>
      </c>
      <c r="H157">
        <v>85.48</v>
      </c>
      <c r="I157" t="s">
        <v>49</v>
      </c>
      <c r="K157">
        <v>53</v>
      </c>
      <c r="L157" t="s">
        <v>22</v>
      </c>
      <c r="M157" t="s">
        <v>32</v>
      </c>
      <c r="N157">
        <v>3</v>
      </c>
    </row>
    <row r="158" spans="1:14">
      <c r="A158" t="s">
        <v>190</v>
      </c>
      <c r="B158">
        <v>1660</v>
      </c>
      <c r="D158" t="s">
        <v>32</v>
      </c>
      <c r="E158">
        <v>81984</v>
      </c>
      <c r="F158">
        <v>4045</v>
      </c>
      <c r="G158">
        <v>0.1439</v>
      </c>
      <c r="H158">
        <v>106.31</v>
      </c>
      <c r="I158" t="s">
        <v>49</v>
      </c>
      <c r="J158" s="11">
        <v>0</v>
      </c>
      <c r="K158">
        <v>25</v>
      </c>
      <c r="L158" t="s">
        <v>37</v>
      </c>
      <c r="M158" t="s">
        <v>23</v>
      </c>
    </row>
    <row r="159" spans="1:14">
      <c r="A159" t="s">
        <v>191</v>
      </c>
      <c r="B159">
        <v>8968</v>
      </c>
      <c r="C159">
        <v>47.05</v>
      </c>
      <c r="D159" t="s">
        <v>28</v>
      </c>
      <c r="E159">
        <v>63073</v>
      </c>
      <c r="F159">
        <v>7560</v>
      </c>
      <c r="H159">
        <v>203.65</v>
      </c>
      <c r="I159" t="s">
        <v>34</v>
      </c>
      <c r="K159">
        <v>48</v>
      </c>
      <c r="L159" t="s">
        <v>31</v>
      </c>
      <c r="M159" t="s">
        <v>38</v>
      </c>
      <c r="N159">
        <v>3</v>
      </c>
    </row>
    <row r="160" spans="1:14">
      <c r="A160" t="s">
        <v>192</v>
      </c>
      <c r="B160">
        <v>3215</v>
      </c>
      <c r="C160">
        <v>26.49</v>
      </c>
      <c r="D160" t="s">
        <v>45</v>
      </c>
      <c r="E160">
        <v>53565</v>
      </c>
      <c r="F160">
        <v>8854</v>
      </c>
      <c r="G160">
        <v>5.0200000000000002E-2</v>
      </c>
      <c r="H160">
        <v>387.38</v>
      </c>
      <c r="I160" t="s">
        <v>17</v>
      </c>
      <c r="J160" s="11">
        <v>1</v>
      </c>
      <c r="K160">
        <v>27</v>
      </c>
      <c r="L160" t="s">
        <v>31</v>
      </c>
      <c r="M160" t="s">
        <v>38</v>
      </c>
      <c r="N160">
        <v>3</v>
      </c>
    </row>
    <row r="161" spans="1:14">
      <c r="A161" t="s">
        <v>193</v>
      </c>
      <c r="B161">
        <v>9020</v>
      </c>
      <c r="C161">
        <v>143.46</v>
      </c>
      <c r="D161" t="s">
        <v>28</v>
      </c>
      <c r="E161">
        <v>9693</v>
      </c>
      <c r="F161">
        <v>6909</v>
      </c>
      <c r="G161">
        <v>6.3500000000000001E-2</v>
      </c>
      <c r="I161" t="s">
        <v>49</v>
      </c>
      <c r="J161" s="11">
        <v>1</v>
      </c>
      <c r="K161">
        <v>43</v>
      </c>
      <c r="L161" t="s">
        <v>22</v>
      </c>
      <c r="M161" t="s">
        <v>32</v>
      </c>
      <c r="N161">
        <v>5</v>
      </c>
    </row>
    <row r="162" spans="1:14">
      <c r="A162" t="s">
        <v>194</v>
      </c>
      <c r="B162">
        <v>4101</v>
      </c>
      <c r="C162">
        <v>118.13</v>
      </c>
      <c r="D162" t="s">
        <v>40</v>
      </c>
      <c r="E162">
        <v>24874</v>
      </c>
      <c r="F162">
        <v>842</v>
      </c>
      <c r="G162">
        <v>0.13980000000000001</v>
      </c>
      <c r="H162">
        <v>134.65</v>
      </c>
      <c r="I162" t="s">
        <v>49</v>
      </c>
      <c r="J162" s="11">
        <v>0</v>
      </c>
      <c r="K162">
        <v>57</v>
      </c>
      <c r="L162" t="s">
        <v>18</v>
      </c>
      <c r="M162" t="s">
        <v>38</v>
      </c>
      <c r="N162">
        <v>1</v>
      </c>
    </row>
    <row r="163" spans="1:14">
      <c r="A163" t="s">
        <v>195</v>
      </c>
      <c r="B163">
        <v>2003</v>
      </c>
      <c r="D163" t="s">
        <v>45</v>
      </c>
      <c r="E163">
        <v>55848</v>
      </c>
      <c r="F163">
        <v>2476</v>
      </c>
      <c r="G163">
        <v>9.0800000000000006E-2</v>
      </c>
      <c r="H163">
        <v>202.67</v>
      </c>
      <c r="I163" t="s">
        <v>34</v>
      </c>
      <c r="K163">
        <v>65</v>
      </c>
      <c r="L163" t="s">
        <v>22</v>
      </c>
      <c r="M163" t="s">
        <v>19</v>
      </c>
      <c r="N163">
        <v>5</v>
      </c>
    </row>
    <row r="164" spans="1:14">
      <c r="A164" t="s">
        <v>196</v>
      </c>
      <c r="B164">
        <v>8023</v>
      </c>
      <c r="C164">
        <v>42.51</v>
      </c>
      <c r="D164" t="s">
        <v>40</v>
      </c>
      <c r="E164">
        <v>79489</v>
      </c>
      <c r="F164">
        <v>1930</v>
      </c>
      <c r="G164">
        <v>4.4400000000000002E-2</v>
      </c>
      <c r="I164" t="s">
        <v>34</v>
      </c>
      <c r="K164">
        <v>59</v>
      </c>
      <c r="L164" t="s">
        <v>22</v>
      </c>
      <c r="M164" t="s">
        <v>32</v>
      </c>
      <c r="N164">
        <v>4</v>
      </c>
    </row>
    <row r="165" spans="1:14">
      <c r="A165" t="s">
        <v>197</v>
      </c>
      <c r="B165">
        <v>1626</v>
      </c>
      <c r="C165">
        <v>11.08</v>
      </c>
      <c r="D165" t="s">
        <v>32</v>
      </c>
      <c r="E165">
        <v>45774</v>
      </c>
      <c r="F165">
        <v>1359</v>
      </c>
      <c r="G165">
        <v>0.17510000000000001</v>
      </c>
      <c r="H165">
        <v>19.239999999999998</v>
      </c>
      <c r="I165" t="s">
        <v>26</v>
      </c>
      <c r="K165">
        <v>45</v>
      </c>
      <c r="L165" t="s">
        <v>31</v>
      </c>
      <c r="M165" t="s">
        <v>38</v>
      </c>
      <c r="N165">
        <v>4</v>
      </c>
    </row>
    <row r="166" spans="1:14">
      <c r="A166" t="s">
        <v>198</v>
      </c>
      <c r="B166">
        <v>6277</v>
      </c>
      <c r="D166" t="s">
        <v>45</v>
      </c>
      <c r="E166">
        <v>85320</v>
      </c>
      <c r="F166">
        <v>7645</v>
      </c>
      <c r="G166">
        <v>0.1731</v>
      </c>
      <c r="H166">
        <v>33.090000000000003</v>
      </c>
      <c r="I166" t="s">
        <v>26</v>
      </c>
      <c r="J166" s="11">
        <v>0</v>
      </c>
      <c r="K166">
        <v>44</v>
      </c>
      <c r="L166" t="s">
        <v>37</v>
      </c>
      <c r="M166" t="s">
        <v>32</v>
      </c>
    </row>
    <row r="167" spans="1:14">
      <c r="A167" t="s">
        <v>199</v>
      </c>
      <c r="B167">
        <v>3199</v>
      </c>
      <c r="C167">
        <v>177.15</v>
      </c>
      <c r="D167" t="s">
        <v>15</v>
      </c>
      <c r="E167">
        <v>55055</v>
      </c>
      <c r="F167">
        <v>682</v>
      </c>
      <c r="G167">
        <v>9.0499999999999997E-2</v>
      </c>
      <c r="H167">
        <v>428.08</v>
      </c>
      <c r="I167" t="s">
        <v>29</v>
      </c>
      <c r="J167" s="11">
        <v>1</v>
      </c>
      <c r="L167" t="s">
        <v>18</v>
      </c>
      <c r="M167" t="s">
        <v>38</v>
      </c>
    </row>
    <row r="168" spans="1:14">
      <c r="A168" t="s">
        <v>200</v>
      </c>
      <c r="B168">
        <v>4530</v>
      </c>
      <c r="C168">
        <v>31.55</v>
      </c>
      <c r="D168" t="s">
        <v>28</v>
      </c>
      <c r="E168">
        <v>96434</v>
      </c>
      <c r="F168">
        <v>9501</v>
      </c>
      <c r="H168">
        <v>458.33</v>
      </c>
      <c r="I168" t="s">
        <v>29</v>
      </c>
      <c r="J168" s="11">
        <v>1</v>
      </c>
      <c r="K168">
        <v>39</v>
      </c>
      <c r="L168" t="s">
        <v>22</v>
      </c>
      <c r="M168" t="s">
        <v>19</v>
      </c>
      <c r="N168">
        <v>2</v>
      </c>
    </row>
    <row r="169" spans="1:14">
      <c r="A169" t="s">
        <v>201</v>
      </c>
      <c r="B169">
        <v>5714</v>
      </c>
      <c r="D169" t="s">
        <v>28</v>
      </c>
      <c r="E169">
        <v>77646</v>
      </c>
      <c r="F169">
        <v>9316</v>
      </c>
      <c r="G169">
        <v>9.5100000000000004E-2</v>
      </c>
      <c r="H169">
        <v>248.19</v>
      </c>
      <c r="I169" t="s">
        <v>26</v>
      </c>
      <c r="J169" s="11">
        <v>0</v>
      </c>
      <c r="K169">
        <v>29</v>
      </c>
      <c r="L169" t="s">
        <v>37</v>
      </c>
      <c r="M169" t="s">
        <v>38</v>
      </c>
      <c r="N169">
        <v>3</v>
      </c>
    </row>
    <row r="170" spans="1:14">
      <c r="A170" t="s">
        <v>202</v>
      </c>
      <c r="B170">
        <v>8914</v>
      </c>
      <c r="C170">
        <v>98.03</v>
      </c>
      <c r="D170" t="s">
        <v>40</v>
      </c>
      <c r="E170">
        <v>41921</v>
      </c>
      <c r="F170">
        <v>2583</v>
      </c>
      <c r="G170">
        <v>4.7800000000000002E-2</v>
      </c>
      <c r="H170">
        <v>204.79</v>
      </c>
      <c r="I170" t="s">
        <v>29</v>
      </c>
      <c r="J170" s="11">
        <v>0</v>
      </c>
      <c r="K170">
        <v>56</v>
      </c>
      <c r="L170" t="s">
        <v>31</v>
      </c>
      <c r="M170" t="s">
        <v>23</v>
      </c>
      <c r="N170">
        <v>1</v>
      </c>
    </row>
    <row r="171" spans="1:14">
      <c r="A171" t="s">
        <v>203</v>
      </c>
      <c r="B171">
        <v>5564</v>
      </c>
      <c r="D171" t="s">
        <v>40</v>
      </c>
      <c r="E171">
        <v>56228</v>
      </c>
      <c r="F171">
        <v>6316</v>
      </c>
      <c r="G171">
        <v>4.6300000000000001E-2</v>
      </c>
      <c r="I171" t="s">
        <v>17</v>
      </c>
      <c r="J171" s="11">
        <v>0</v>
      </c>
      <c r="K171">
        <v>61</v>
      </c>
      <c r="L171" t="s">
        <v>18</v>
      </c>
      <c r="M171" t="s">
        <v>38</v>
      </c>
      <c r="N171">
        <v>5</v>
      </c>
    </row>
    <row r="172" spans="1:14">
      <c r="A172" t="s">
        <v>204</v>
      </c>
      <c r="B172">
        <v>7114</v>
      </c>
      <c r="C172">
        <v>168.94</v>
      </c>
      <c r="D172" t="s">
        <v>28</v>
      </c>
      <c r="E172">
        <v>36893</v>
      </c>
      <c r="F172">
        <v>9821</v>
      </c>
      <c r="G172">
        <v>2.5100000000000001E-2</v>
      </c>
      <c r="H172">
        <v>312.68</v>
      </c>
      <c r="I172" t="s">
        <v>21</v>
      </c>
      <c r="J172" s="11">
        <v>1</v>
      </c>
      <c r="K172">
        <v>42</v>
      </c>
      <c r="L172" t="s">
        <v>31</v>
      </c>
      <c r="M172" t="s">
        <v>19</v>
      </c>
    </row>
    <row r="173" spans="1:14">
      <c r="A173" t="s">
        <v>205</v>
      </c>
      <c r="B173">
        <v>9321</v>
      </c>
      <c r="C173">
        <v>32.75</v>
      </c>
      <c r="D173" t="s">
        <v>40</v>
      </c>
      <c r="E173">
        <v>97285</v>
      </c>
      <c r="F173">
        <v>5551</v>
      </c>
      <c r="G173">
        <v>0.10100000000000001</v>
      </c>
      <c r="H173">
        <v>364.87</v>
      </c>
      <c r="I173" t="s">
        <v>26</v>
      </c>
      <c r="J173" s="11">
        <v>0</v>
      </c>
      <c r="K173">
        <v>20</v>
      </c>
      <c r="L173" t="s">
        <v>37</v>
      </c>
      <c r="M173" t="s">
        <v>45</v>
      </c>
      <c r="N173">
        <v>3</v>
      </c>
    </row>
    <row r="174" spans="1:14">
      <c r="A174" t="s">
        <v>206</v>
      </c>
      <c r="B174">
        <v>7758</v>
      </c>
      <c r="C174">
        <v>22.72</v>
      </c>
      <c r="D174" t="s">
        <v>25</v>
      </c>
      <c r="E174">
        <v>27945</v>
      </c>
      <c r="F174">
        <v>7406</v>
      </c>
      <c r="G174">
        <v>0.1976</v>
      </c>
      <c r="H174">
        <v>445.35</v>
      </c>
      <c r="I174" t="s">
        <v>26</v>
      </c>
      <c r="J174" s="11">
        <v>0</v>
      </c>
      <c r="K174">
        <v>23</v>
      </c>
      <c r="L174" t="s">
        <v>31</v>
      </c>
      <c r="M174" t="s">
        <v>23</v>
      </c>
      <c r="N174">
        <v>4</v>
      </c>
    </row>
    <row r="175" spans="1:14">
      <c r="A175" t="s">
        <v>207</v>
      </c>
      <c r="B175">
        <v>4330</v>
      </c>
      <c r="C175">
        <v>77.650000000000006</v>
      </c>
      <c r="D175" t="s">
        <v>25</v>
      </c>
      <c r="E175">
        <v>13437</v>
      </c>
      <c r="F175">
        <v>6735</v>
      </c>
      <c r="G175">
        <v>0.13289999999999999</v>
      </c>
      <c r="H175">
        <v>43.41</v>
      </c>
      <c r="I175" t="s">
        <v>21</v>
      </c>
      <c r="J175" s="11">
        <v>1</v>
      </c>
      <c r="K175">
        <v>50</v>
      </c>
      <c r="L175" t="s">
        <v>22</v>
      </c>
      <c r="M175" t="s">
        <v>23</v>
      </c>
      <c r="N175">
        <v>5</v>
      </c>
    </row>
    <row r="176" spans="1:14">
      <c r="A176" t="s">
        <v>208</v>
      </c>
      <c r="B176">
        <v>1987</v>
      </c>
      <c r="C176">
        <v>5.2</v>
      </c>
      <c r="D176" t="s">
        <v>32</v>
      </c>
      <c r="E176">
        <v>96990</v>
      </c>
      <c r="F176">
        <v>5143</v>
      </c>
      <c r="G176">
        <v>2.9100000000000001E-2</v>
      </c>
      <c r="H176">
        <v>119.75</v>
      </c>
      <c r="I176" t="s">
        <v>17</v>
      </c>
      <c r="J176" s="11">
        <v>1</v>
      </c>
      <c r="L176" t="s">
        <v>18</v>
      </c>
      <c r="M176" t="s">
        <v>38</v>
      </c>
      <c r="N176">
        <v>2</v>
      </c>
    </row>
    <row r="177" spans="1:14">
      <c r="A177" t="s">
        <v>209</v>
      </c>
      <c r="B177">
        <v>3176</v>
      </c>
      <c r="C177">
        <v>174.64</v>
      </c>
      <c r="D177" t="s">
        <v>25</v>
      </c>
      <c r="E177">
        <v>5072</v>
      </c>
      <c r="F177">
        <v>2448</v>
      </c>
      <c r="G177">
        <v>0.183</v>
      </c>
      <c r="H177">
        <v>438.59</v>
      </c>
      <c r="I177" t="s">
        <v>26</v>
      </c>
      <c r="J177" s="11">
        <v>1</v>
      </c>
      <c r="K177">
        <v>32</v>
      </c>
      <c r="L177" t="s">
        <v>22</v>
      </c>
      <c r="M177" t="s">
        <v>19</v>
      </c>
    </row>
    <row r="178" spans="1:14">
      <c r="A178" t="s">
        <v>210</v>
      </c>
      <c r="B178">
        <v>8762</v>
      </c>
      <c r="C178">
        <v>138.47</v>
      </c>
      <c r="D178" t="s">
        <v>40</v>
      </c>
      <c r="E178">
        <v>70321</v>
      </c>
      <c r="F178">
        <v>5131</v>
      </c>
      <c r="H178">
        <v>51.85</v>
      </c>
      <c r="I178" t="s">
        <v>34</v>
      </c>
      <c r="K178">
        <v>40</v>
      </c>
      <c r="L178" t="s">
        <v>31</v>
      </c>
      <c r="M178" t="s">
        <v>38</v>
      </c>
      <c r="N178">
        <v>2</v>
      </c>
    </row>
    <row r="179" spans="1:14">
      <c r="A179" t="s">
        <v>211</v>
      </c>
      <c r="B179">
        <v>2206</v>
      </c>
      <c r="C179">
        <v>137.77000000000001</v>
      </c>
      <c r="D179" t="s">
        <v>15</v>
      </c>
      <c r="E179">
        <v>66669</v>
      </c>
      <c r="F179">
        <v>2576</v>
      </c>
      <c r="G179">
        <v>9.1899999999999996E-2</v>
      </c>
      <c r="H179">
        <v>169.18</v>
      </c>
      <c r="I179" t="s">
        <v>34</v>
      </c>
      <c r="L179" t="s">
        <v>37</v>
      </c>
      <c r="M179" t="s">
        <v>32</v>
      </c>
      <c r="N179">
        <v>1</v>
      </c>
    </row>
    <row r="180" spans="1:14">
      <c r="A180" t="s">
        <v>212</v>
      </c>
      <c r="B180">
        <v>1795</v>
      </c>
      <c r="C180">
        <v>40.72</v>
      </c>
      <c r="D180" t="s">
        <v>28</v>
      </c>
      <c r="E180">
        <v>24956</v>
      </c>
      <c r="F180">
        <v>5744</v>
      </c>
      <c r="G180">
        <v>0.12640000000000001</v>
      </c>
      <c r="H180">
        <v>323.72000000000003</v>
      </c>
      <c r="I180" t="s">
        <v>26</v>
      </c>
      <c r="J180" s="11">
        <v>0</v>
      </c>
      <c r="K180">
        <v>28</v>
      </c>
      <c r="L180" t="s">
        <v>37</v>
      </c>
      <c r="M180" t="s">
        <v>38</v>
      </c>
      <c r="N180">
        <v>2</v>
      </c>
    </row>
    <row r="181" spans="1:14">
      <c r="A181" t="s">
        <v>213</v>
      </c>
      <c r="B181">
        <v>4660</v>
      </c>
      <c r="C181">
        <v>26.61</v>
      </c>
      <c r="D181" t="s">
        <v>40</v>
      </c>
      <c r="E181">
        <v>93643</v>
      </c>
      <c r="F181">
        <v>1111</v>
      </c>
      <c r="G181">
        <v>1.6299999999999999E-2</v>
      </c>
      <c r="H181">
        <v>168.99</v>
      </c>
      <c r="I181" t="s">
        <v>29</v>
      </c>
      <c r="K181">
        <v>40</v>
      </c>
      <c r="L181" t="s">
        <v>18</v>
      </c>
      <c r="M181" t="s">
        <v>19</v>
      </c>
      <c r="N181">
        <v>4</v>
      </c>
    </row>
    <row r="182" spans="1:14">
      <c r="A182" t="s">
        <v>214</v>
      </c>
      <c r="B182">
        <v>1403</v>
      </c>
      <c r="C182">
        <v>188.05</v>
      </c>
      <c r="D182" t="s">
        <v>28</v>
      </c>
      <c r="E182">
        <v>71563</v>
      </c>
      <c r="F182">
        <v>6398</v>
      </c>
      <c r="G182">
        <v>0.1235</v>
      </c>
      <c r="I182" t="s">
        <v>49</v>
      </c>
      <c r="L182" t="s">
        <v>31</v>
      </c>
      <c r="N182">
        <v>5</v>
      </c>
    </row>
    <row r="183" spans="1:14">
      <c r="A183" t="s">
        <v>215</v>
      </c>
      <c r="B183">
        <v>3720</v>
      </c>
      <c r="C183">
        <v>127.88</v>
      </c>
      <c r="D183" t="s">
        <v>32</v>
      </c>
      <c r="E183">
        <v>3163</v>
      </c>
      <c r="F183">
        <v>8886</v>
      </c>
      <c r="G183">
        <v>8.9599999999999999E-2</v>
      </c>
      <c r="H183">
        <v>447.04</v>
      </c>
      <c r="I183" t="s">
        <v>34</v>
      </c>
      <c r="K183">
        <v>21</v>
      </c>
      <c r="L183" t="s">
        <v>18</v>
      </c>
      <c r="M183" t="s">
        <v>19</v>
      </c>
      <c r="N183">
        <v>5</v>
      </c>
    </row>
    <row r="184" spans="1:14">
      <c r="A184" t="s">
        <v>216</v>
      </c>
      <c r="B184">
        <v>7492</v>
      </c>
      <c r="C184">
        <v>116.11</v>
      </c>
      <c r="D184" t="s">
        <v>32</v>
      </c>
      <c r="E184">
        <v>64758</v>
      </c>
      <c r="F184">
        <v>4831</v>
      </c>
      <c r="G184">
        <v>8.1000000000000003E-2</v>
      </c>
      <c r="I184" t="s">
        <v>21</v>
      </c>
      <c r="J184" s="11">
        <v>0</v>
      </c>
      <c r="K184">
        <v>61</v>
      </c>
      <c r="L184" t="s">
        <v>22</v>
      </c>
      <c r="M184" t="s">
        <v>38</v>
      </c>
      <c r="N184">
        <v>1</v>
      </c>
    </row>
    <row r="185" spans="1:14">
      <c r="A185" t="s">
        <v>217</v>
      </c>
      <c r="B185">
        <v>3961</v>
      </c>
      <c r="D185" t="s">
        <v>28</v>
      </c>
      <c r="E185">
        <v>14186</v>
      </c>
      <c r="F185">
        <v>3722</v>
      </c>
      <c r="G185">
        <v>0.12130000000000001</v>
      </c>
      <c r="I185" t="s">
        <v>21</v>
      </c>
      <c r="K185">
        <v>60</v>
      </c>
      <c r="L185" t="s">
        <v>18</v>
      </c>
      <c r="M185" t="s">
        <v>32</v>
      </c>
      <c r="N185">
        <v>5</v>
      </c>
    </row>
    <row r="186" spans="1:14">
      <c r="A186" t="s">
        <v>218</v>
      </c>
      <c r="B186">
        <v>2155</v>
      </c>
      <c r="C186">
        <v>88.38</v>
      </c>
      <c r="D186" t="s">
        <v>45</v>
      </c>
      <c r="E186">
        <v>81326</v>
      </c>
      <c r="F186">
        <v>5528</v>
      </c>
      <c r="G186">
        <v>6.8900000000000003E-2</v>
      </c>
      <c r="I186" t="s">
        <v>29</v>
      </c>
      <c r="J186" s="11">
        <v>1</v>
      </c>
      <c r="K186">
        <v>57</v>
      </c>
      <c r="L186" t="s">
        <v>37</v>
      </c>
      <c r="N186">
        <v>5</v>
      </c>
    </row>
    <row r="187" spans="1:14">
      <c r="A187" t="s">
        <v>219</v>
      </c>
      <c r="B187">
        <v>5026</v>
      </c>
      <c r="C187">
        <v>89.29</v>
      </c>
      <c r="D187" t="s">
        <v>28</v>
      </c>
      <c r="E187">
        <v>25311</v>
      </c>
      <c r="F187">
        <v>5957</v>
      </c>
      <c r="G187">
        <v>7.3499999999999996E-2</v>
      </c>
      <c r="H187">
        <v>405.45</v>
      </c>
      <c r="I187" t="s">
        <v>34</v>
      </c>
      <c r="J187" s="11">
        <v>0</v>
      </c>
      <c r="K187">
        <v>41</v>
      </c>
      <c r="L187" t="s">
        <v>18</v>
      </c>
      <c r="M187" t="s">
        <v>32</v>
      </c>
      <c r="N187">
        <v>5</v>
      </c>
    </row>
    <row r="188" spans="1:14">
      <c r="A188" t="s">
        <v>220</v>
      </c>
      <c r="B188">
        <v>2734</v>
      </c>
      <c r="C188">
        <v>164.46</v>
      </c>
      <c r="D188" t="s">
        <v>28</v>
      </c>
      <c r="E188">
        <v>41188</v>
      </c>
      <c r="F188">
        <v>1997</v>
      </c>
      <c r="G188">
        <v>0.13550000000000001</v>
      </c>
      <c r="I188" t="s">
        <v>34</v>
      </c>
      <c r="K188">
        <v>45</v>
      </c>
      <c r="L188" t="s">
        <v>37</v>
      </c>
      <c r="M188" t="s">
        <v>23</v>
      </c>
      <c r="N188">
        <v>5</v>
      </c>
    </row>
    <row r="189" spans="1:14">
      <c r="A189" t="s">
        <v>221</v>
      </c>
      <c r="B189">
        <v>3015</v>
      </c>
      <c r="D189" t="s">
        <v>28</v>
      </c>
      <c r="E189">
        <v>24087</v>
      </c>
      <c r="F189">
        <v>5305</v>
      </c>
      <c r="G189">
        <v>0.1212</v>
      </c>
      <c r="H189">
        <v>460.3</v>
      </c>
      <c r="I189" t="s">
        <v>29</v>
      </c>
      <c r="K189">
        <v>43</v>
      </c>
      <c r="L189" t="s">
        <v>31</v>
      </c>
      <c r="M189" t="s">
        <v>19</v>
      </c>
      <c r="N189">
        <v>1</v>
      </c>
    </row>
    <row r="190" spans="1:14">
      <c r="A190" t="s">
        <v>222</v>
      </c>
      <c r="B190">
        <v>7955</v>
      </c>
      <c r="C190">
        <v>198.46</v>
      </c>
      <c r="D190" t="s">
        <v>25</v>
      </c>
      <c r="E190">
        <v>64313</v>
      </c>
      <c r="F190">
        <v>7807</v>
      </c>
      <c r="G190">
        <v>2.2499999999999999E-2</v>
      </c>
      <c r="H190">
        <v>209.34</v>
      </c>
      <c r="I190" t="s">
        <v>29</v>
      </c>
      <c r="K190">
        <v>40</v>
      </c>
      <c r="L190" t="s">
        <v>37</v>
      </c>
      <c r="M190" t="s">
        <v>19</v>
      </c>
      <c r="N190">
        <v>3</v>
      </c>
    </row>
    <row r="191" spans="1:14">
      <c r="A191" t="s">
        <v>223</v>
      </c>
      <c r="B191">
        <v>3145</v>
      </c>
      <c r="C191">
        <v>43.49</v>
      </c>
      <c r="D191" t="s">
        <v>28</v>
      </c>
      <c r="E191">
        <v>70079</v>
      </c>
      <c r="F191">
        <v>2447</v>
      </c>
      <c r="G191">
        <v>0.17749999999999999</v>
      </c>
      <c r="H191">
        <v>474.34</v>
      </c>
      <c r="I191" t="s">
        <v>26</v>
      </c>
      <c r="L191" t="s">
        <v>22</v>
      </c>
      <c r="M191" t="s">
        <v>19</v>
      </c>
      <c r="N191">
        <v>5</v>
      </c>
    </row>
    <row r="192" spans="1:14">
      <c r="A192" t="s">
        <v>224</v>
      </c>
      <c r="B192">
        <v>4106</v>
      </c>
      <c r="C192">
        <v>170.7</v>
      </c>
      <c r="D192" t="s">
        <v>40</v>
      </c>
      <c r="E192">
        <v>26389</v>
      </c>
      <c r="F192">
        <v>8919</v>
      </c>
      <c r="G192">
        <v>1.35E-2</v>
      </c>
      <c r="H192">
        <v>113.74</v>
      </c>
      <c r="I192" t="s">
        <v>34</v>
      </c>
      <c r="J192" s="11">
        <v>1</v>
      </c>
      <c r="K192">
        <v>19</v>
      </c>
      <c r="L192" t="s">
        <v>18</v>
      </c>
      <c r="M192" t="s">
        <v>32</v>
      </c>
    </row>
    <row r="193" spans="1:14">
      <c r="A193" t="s">
        <v>225</v>
      </c>
      <c r="B193">
        <v>7395</v>
      </c>
      <c r="C193">
        <v>82.95</v>
      </c>
      <c r="D193" t="s">
        <v>45</v>
      </c>
      <c r="E193">
        <v>28712</v>
      </c>
      <c r="F193">
        <v>8019</v>
      </c>
      <c r="G193">
        <v>0.15859999999999999</v>
      </c>
      <c r="H193">
        <v>207.68</v>
      </c>
      <c r="I193" t="s">
        <v>26</v>
      </c>
      <c r="K193">
        <v>24</v>
      </c>
      <c r="L193" t="s">
        <v>31</v>
      </c>
      <c r="M193" t="s">
        <v>19</v>
      </c>
      <c r="N193">
        <v>5</v>
      </c>
    </row>
    <row r="194" spans="1:14">
      <c r="A194" t="s">
        <v>226</v>
      </c>
      <c r="B194">
        <v>7579</v>
      </c>
      <c r="D194" t="s">
        <v>15</v>
      </c>
      <c r="E194">
        <v>57338</v>
      </c>
      <c r="F194">
        <v>9673</v>
      </c>
      <c r="G194">
        <v>3.9600000000000003E-2</v>
      </c>
      <c r="H194">
        <v>260.41000000000003</v>
      </c>
      <c r="I194" t="s">
        <v>29</v>
      </c>
      <c r="J194" s="11">
        <v>0</v>
      </c>
      <c r="K194">
        <v>44</v>
      </c>
      <c r="L194" t="s">
        <v>37</v>
      </c>
      <c r="M194" t="s">
        <v>23</v>
      </c>
      <c r="N194">
        <v>3</v>
      </c>
    </row>
    <row r="195" spans="1:14">
      <c r="A195" t="s">
        <v>227</v>
      </c>
      <c r="B195">
        <v>1881</v>
      </c>
      <c r="D195" t="s">
        <v>32</v>
      </c>
      <c r="E195">
        <v>91121</v>
      </c>
      <c r="F195">
        <v>1763</v>
      </c>
      <c r="G195">
        <v>6.5699999999999995E-2</v>
      </c>
      <c r="H195">
        <v>159.44</v>
      </c>
      <c r="I195" t="s">
        <v>34</v>
      </c>
      <c r="L195" t="s">
        <v>22</v>
      </c>
      <c r="N195">
        <v>4</v>
      </c>
    </row>
    <row r="196" spans="1:14">
      <c r="A196" t="s">
        <v>228</v>
      </c>
      <c r="B196">
        <v>4193</v>
      </c>
      <c r="C196">
        <v>94.32</v>
      </c>
      <c r="D196" t="s">
        <v>40</v>
      </c>
      <c r="E196">
        <v>62842</v>
      </c>
      <c r="F196">
        <v>4415</v>
      </c>
      <c r="G196">
        <v>0.1182</v>
      </c>
      <c r="H196">
        <v>348.49</v>
      </c>
      <c r="I196" t="s">
        <v>17</v>
      </c>
      <c r="K196">
        <v>32</v>
      </c>
      <c r="L196" t="s">
        <v>22</v>
      </c>
      <c r="N196">
        <v>1</v>
      </c>
    </row>
    <row r="197" spans="1:14">
      <c r="A197" t="s">
        <v>229</v>
      </c>
      <c r="B197">
        <v>8947</v>
      </c>
      <c r="C197">
        <v>132.03</v>
      </c>
      <c r="D197" t="s">
        <v>32</v>
      </c>
      <c r="E197">
        <v>18270</v>
      </c>
      <c r="F197">
        <v>9727</v>
      </c>
      <c r="G197">
        <v>9.8100000000000007E-2</v>
      </c>
      <c r="H197">
        <v>47.65</v>
      </c>
      <c r="I197" t="s">
        <v>26</v>
      </c>
      <c r="K197">
        <v>55</v>
      </c>
      <c r="L197" t="s">
        <v>37</v>
      </c>
      <c r="M197" t="s">
        <v>23</v>
      </c>
      <c r="N197">
        <v>3</v>
      </c>
    </row>
    <row r="198" spans="1:14">
      <c r="A198" t="s">
        <v>230</v>
      </c>
      <c r="B198">
        <v>7754</v>
      </c>
      <c r="C198">
        <v>178.95</v>
      </c>
      <c r="D198" t="s">
        <v>40</v>
      </c>
      <c r="E198">
        <v>10245</v>
      </c>
      <c r="F198">
        <v>6735</v>
      </c>
      <c r="G198">
        <v>9.2999999999999999E-2</v>
      </c>
      <c r="H198">
        <v>378.2</v>
      </c>
      <c r="I198" t="s">
        <v>21</v>
      </c>
      <c r="J198" s="11">
        <v>0</v>
      </c>
      <c r="K198">
        <v>23</v>
      </c>
      <c r="L198" t="s">
        <v>18</v>
      </c>
      <c r="M198" t="s">
        <v>23</v>
      </c>
      <c r="N198">
        <v>4</v>
      </c>
    </row>
    <row r="199" spans="1:14">
      <c r="A199" t="s">
        <v>231</v>
      </c>
      <c r="B199">
        <v>8887</v>
      </c>
      <c r="D199" t="s">
        <v>45</v>
      </c>
      <c r="E199">
        <v>72505</v>
      </c>
      <c r="F199">
        <v>7122</v>
      </c>
      <c r="G199">
        <v>0.1283</v>
      </c>
      <c r="H199">
        <v>145.69</v>
      </c>
      <c r="I199" t="s">
        <v>34</v>
      </c>
      <c r="K199">
        <v>39</v>
      </c>
      <c r="L199" t="s">
        <v>18</v>
      </c>
      <c r="M199" t="s">
        <v>32</v>
      </c>
      <c r="N199">
        <v>4</v>
      </c>
    </row>
    <row r="200" spans="1:14">
      <c r="A200" t="s">
        <v>232</v>
      </c>
      <c r="B200">
        <v>1375</v>
      </c>
      <c r="C200">
        <v>76.92</v>
      </c>
      <c r="D200" t="s">
        <v>40</v>
      </c>
      <c r="E200">
        <v>49386</v>
      </c>
      <c r="F200">
        <v>2748</v>
      </c>
      <c r="G200">
        <v>0.19750000000000001</v>
      </c>
      <c r="H200">
        <v>74.400000000000006</v>
      </c>
      <c r="I200" t="s">
        <v>34</v>
      </c>
      <c r="J200" s="11">
        <v>0</v>
      </c>
      <c r="K200">
        <v>46</v>
      </c>
      <c r="L200" t="s">
        <v>31</v>
      </c>
      <c r="M200" t="s">
        <v>23</v>
      </c>
      <c r="N200">
        <v>2</v>
      </c>
    </row>
    <row r="201" spans="1:14">
      <c r="A201" t="s">
        <v>233</v>
      </c>
      <c r="B201">
        <v>7477</v>
      </c>
      <c r="D201" t="s">
        <v>15</v>
      </c>
      <c r="E201">
        <v>36905</v>
      </c>
      <c r="F201">
        <v>984</v>
      </c>
      <c r="G201">
        <v>7.2599999999999998E-2</v>
      </c>
      <c r="H201">
        <v>127.71</v>
      </c>
      <c r="I201" t="s">
        <v>34</v>
      </c>
      <c r="K201">
        <v>29</v>
      </c>
      <c r="L201" t="s">
        <v>22</v>
      </c>
      <c r="M201" t="s">
        <v>38</v>
      </c>
      <c r="N201">
        <v>4</v>
      </c>
    </row>
    <row r="202" spans="1:14">
      <c r="A202" t="s">
        <v>234</v>
      </c>
      <c r="B202">
        <v>3603</v>
      </c>
      <c r="C202">
        <v>188.86</v>
      </c>
      <c r="D202" t="s">
        <v>15</v>
      </c>
      <c r="E202">
        <v>65762</v>
      </c>
      <c r="F202">
        <v>3635</v>
      </c>
      <c r="G202">
        <v>0.19370000000000001</v>
      </c>
      <c r="H202">
        <v>129.37</v>
      </c>
      <c r="I202" t="s">
        <v>34</v>
      </c>
      <c r="J202" s="11">
        <v>1</v>
      </c>
      <c r="K202">
        <v>58</v>
      </c>
      <c r="L202" t="s">
        <v>22</v>
      </c>
      <c r="N202">
        <v>3</v>
      </c>
    </row>
    <row r="203" spans="1:14">
      <c r="A203" t="s">
        <v>235</v>
      </c>
      <c r="B203">
        <v>8144</v>
      </c>
      <c r="C203">
        <v>68.06</v>
      </c>
      <c r="D203" t="s">
        <v>28</v>
      </c>
      <c r="E203">
        <v>92635</v>
      </c>
      <c r="F203">
        <v>9031</v>
      </c>
      <c r="G203">
        <v>8.0100000000000005E-2</v>
      </c>
      <c r="H203">
        <v>418.54</v>
      </c>
      <c r="I203" t="s">
        <v>29</v>
      </c>
      <c r="J203" s="11">
        <v>0</v>
      </c>
      <c r="K203">
        <v>62</v>
      </c>
      <c r="L203" t="s">
        <v>18</v>
      </c>
      <c r="M203" t="s">
        <v>32</v>
      </c>
      <c r="N203">
        <v>1</v>
      </c>
    </row>
    <row r="204" spans="1:14">
      <c r="A204" t="s">
        <v>236</v>
      </c>
      <c r="B204">
        <v>1329</v>
      </c>
      <c r="C204">
        <v>161.32</v>
      </c>
      <c r="D204" t="s">
        <v>15</v>
      </c>
      <c r="E204">
        <v>42448</v>
      </c>
      <c r="F204">
        <v>8265</v>
      </c>
      <c r="G204">
        <v>0.1938</v>
      </c>
      <c r="H204">
        <v>485.34</v>
      </c>
      <c r="I204" t="s">
        <v>21</v>
      </c>
      <c r="J204" s="11">
        <v>0</v>
      </c>
      <c r="K204">
        <v>54</v>
      </c>
      <c r="L204" t="s">
        <v>22</v>
      </c>
      <c r="N204">
        <v>2</v>
      </c>
    </row>
    <row r="205" spans="1:14">
      <c r="A205" t="s">
        <v>237</v>
      </c>
      <c r="B205">
        <v>7090</v>
      </c>
      <c r="C205">
        <v>84.04</v>
      </c>
      <c r="D205" t="s">
        <v>40</v>
      </c>
      <c r="E205">
        <v>67445</v>
      </c>
      <c r="F205">
        <v>6977</v>
      </c>
      <c r="G205">
        <v>0.12130000000000001</v>
      </c>
      <c r="I205" t="s">
        <v>17</v>
      </c>
      <c r="K205">
        <v>53</v>
      </c>
      <c r="L205" t="s">
        <v>22</v>
      </c>
      <c r="M205" t="s">
        <v>32</v>
      </c>
      <c r="N205">
        <v>4</v>
      </c>
    </row>
    <row r="206" spans="1:14">
      <c r="A206" t="s">
        <v>238</v>
      </c>
      <c r="B206">
        <v>1880</v>
      </c>
      <c r="C206">
        <v>42.52</v>
      </c>
      <c r="D206" t="s">
        <v>15</v>
      </c>
      <c r="E206">
        <v>68052</v>
      </c>
      <c r="F206">
        <v>9894</v>
      </c>
      <c r="G206">
        <v>4.9200000000000001E-2</v>
      </c>
      <c r="H206">
        <v>461.79</v>
      </c>
      <c r="I206" t="s">
        <v>29</v>
      </c>
      <c r="J206" s="11">
        <v>1</v>
      </c>
      <c r="K206">
        <v>48</v>
      </c>
      <c r="L206" t="s">
        <v>18</v>
      </c>
      <c r="M206" t="s">
        <v>32</v>
      </c>
      <c r="N206">
        <v>4</v>
      </c>
    </row>
    <row r="207" spans="1:14">
      <c r="A207" t="s">
        <v>239</v>
      </c>
      <c r="B207">
        <v>5167</v>
      </c>
      <c r="C207">
        <v>131.9</v>
      </c>
      <c r="D207" t="s">
        <v>25</v>
      </c>
      <c r="E207">
        <v>99991</v>
      </c>
      <c r="F207">
        <v>7384</v>
      </c>
      <c r="G207">
        <v>0.14410000000000001</v>
      </c>
      <c r="H207">
        <v>482.78</v>
      </c>
      <c r="I207" t="s">
        <v>17</v>
      </c>
      <c r="J207" s="11">
        <v>1</v>
      </c>
      <c r="K207">
        <v>51</v>
      </c>
      <c r="L207" t="s">
        <v>18</v>
      </c>
      <c r="M207" t="s">
        <v>23</v>
      </c>
      <c r="N207">
        <v>1</v>
      </c>
    </row>
    <row r="208" spans="1:14">
      <c r="A208" t="s">
        <v>240</v>
      </c>
      <c r="B208">
        <v>7127</v>
      </c>
      <c r="C208">
        <v>119.57</v>
      </c>
      <c r="D208" t="s">
        <v>32</v>
      </c>
      <c r="E208">
        <v>22012</v>
      </c>
      <c r="F208">
        <v>6116</v>
      </c>
      <c r="G208">
        <v>4.02E-2</v>
      </c>
      <c r="H208">
        <v>198.71</v>
      </c>
      <c r="I208" t="s">
        <v>29</v>
      </c>
      <c r="J208" s="11">
        <v>0</v>
      </c>
      <c r="K208">
        <v>37</v>
      </c>
      <c r="L208" t="s">
        <v>22</v>
      </c>
      <c r="M208" t="s">
        <v>32</v>
      </c>
      <c r="N208">
        <v>5</v>
      </c>
    </row>
    <row r="209" spans="1:14">
      <c r="A209" t="s">
        <v>241</v>
      </c>
      <c r="B209">
        <v>5597</v>
      </c>
      <c r="C209">
        <v>85.64</v>
      </c>
      <c r="D209" t="s">
        <v>15</v>
      </c>
      <c r="E209">
        <v>38167</v>
      </c>
      <c r="F209">
        <v>3412</v>
      </c>
      <c r="G209">
        <v>0.18360000000000001</v>
      </c>
      <c r="H209">
        <v>54.34</v>
      </c>
      <c r="I209" t="s">
        <v>26</v>
      </c>
      <c r="J209" s="11">
        <v>0</v>
      </c>
      <c r="K209">
        <v>57</v>
      </c>
      <c r="L209" t="s">
        <v>31</v>
      </c>
      <c r="M209" t="s">
        <v>23</v>
      </c>
      <c r="N209">
        <v>3</v>
      </c>
    </row>
    <row r="210" spans="1:14">
      <c r="A210" t="s">
        <v>242</v>
      </c>
      <c r="B210">
        <v>6276</v>
      </c>
      <c r="C210">
        <v>148.06</v>
      </c>
      <c r="D210" t="s">
        <v>40</v>
      </c>
      <c r="E210">
        <v>75138</v>
      </c>
      <c r="F210">
        <v>7401</v>
      </c>
      <c r="G210">
        <v>0.13980000000000001</v>
      </c>
      <c r="H210">
        <v>232.34</v>
      </c>
      <c r="I210" t="s">
        <v>49</v>
      </c>
      <c r="J210" s="11">
        <v>1</v>
      </c>
      <c r="K210">
        <v>51</v>
      </c>
      <c r="L210" t="s">
        <v>31</v>
      </c>
      <c r="M210" t="s">
        <v>32</v>
      </c>
      <c r="N210">
        <v>2</v>
      </c>
    </row>
    <row r="211" spans="1:14">
      <c r="A211" t="s">
        <v>243</v>
      </c>
      <c r="B211">
        <v>5086</v>
      </c>
      <c r="D211" t="s">
        <v>45</v>
      </c>
      <c r="E211">
        <v>42561</v>
      </c>
      <c r="F211">
        <v>9823</v>
      </c>
      <c r="G211">
        <v>0.1812</v>
      </c>
      <c r="H211">
        <v>85.4</v>
      </c>
      <c r="I211" t="s">
        <v>34</v>
      </c>
      <c r="J211" s="11">
        <v>0</v>
      </c>
      <c r="K211">
        <v>21</v>
      </c>
      <c r="L211" t="s">
        <v>37</v>
      </c>
      <c r="M211" t="s">
        <v>38</v>
      </c>
      <c r="N211">
        <v>2</v>
      </c>
    </row>
    <row r="212" spans="1:14">
      <c r="A212" t="s">
        <v>244</v>
      </c>
      <c r="B212">
        <v>9503</v>
      </c>
      <c r="C212">
        <v>88.02</v>
      </c>
      <c r="D212" t="s">
        <v>32</v>
      </c>
      <c r="E212">
        <v>14290</v>
      </c>
      <c r="F212">
        <v>298</v>
      </c>
      <c r="G212">
        <v>7.8299999999999995E-2</v>
      </c>
      <c r="H212">
        <v>307.86</v>
      </c>
      <c r="I212" t="s">
        <v>21</v>
      </c>
      <c r="K212">
        <v>27</v>
      </c>
      <c r="L212" t="s">
        <v>22</v>
      </c>
      <c r="M212" t="s">
        <v>19</v>
      </c>
    </row>
    <row r="213" spans="1:14">
      <c r="A213" t="s">
        <v>245</v>
      </c>
      <c r="B213">
        <v>1064</v>
      </c>
      <c r="C213">
        <v>160.96</v>
      </c>
      <c r="D213" t="s">
        <v>40</v>
      </c>
      <c r="E213">
        <v>76478</v>
      </c>
      <c r="F213">
        <v>8229</v>
      </c>
      <c r="G213">
        <v>0.1915</v>
      </c>
      <c r="H213">
        <v>15.85</v>
      </c>
      <c r="I213" t="s">
        <v>21</v>
      </c>
      <c r="J213" s="11">
        <v>0</v>
      </c>
      <c r="K213">
        <v>50</v>
      </c>
      <c r="L213" t="s">
        <v>37</v>
      </c>
      <c r="M213" t="s">
        <v>32</v>
      </c>
      <c r="N213">
        <v>1</v>
      </c>
    </row>
    <row r="214" spans="1:14">
      <c r="A214" t="s">
        <v>246</v>
      </c>
      <c r="B214">
        <v>2785</v>
      </c>
      <c r="C214">
        <v>98.64</v>
      </c>
      <c r="D214" t="s">
        <v>32</v>
      </c>
      <c r="E214">
        <v>33141</v>
      </c>
      <c r="F214">
        <v>7556</v>
      </c>
      <c r="G214">
        <v>7.2900000000000006E-2</v>
      </c>
      <c r="H214">
        <v>416.88</v>
      </c>
      <c r="I214" t="s">
        <v>21</v>
      </c>
      <c r="J214" s="11">
        <v>0</v>
      </c>
      <c r="K214">
        <v>57</v>
      </c>
      <c r="L214" t="s">
        <v>18</v>
      </c>
      <c r="N214">
        <v>3</v>
      </c>
    </row>
    <row r="215" spans="1:14">
      <c r="A215" t="s">
        <v>247</v>
      </c>
      <c r="B215">
        <v>3262</v>
      </c>
      <c r="C215">
        <v>155.26</v>
      </c>
      <c r="D215" t="s">
        <v>40</v>
      </c>
      <c r="E215">
        <v>47518</v>
      </c>
      <c r="F215">
        <v>4097</v>
      </c>
      <c r="G215">
        <v>0.1918</v>
      </c>
      <c r="I215" t="s">
        <v>34</v>
      </c>
      <c r="K215">
        <v>49</v>
      </c>
      <c r="L215" t="s">
        <v>31</v>
      </c>
      <c r="M215" t="s">
        <v>19</v>
      </c>
      <c r="N215">
        <v>5</v>
      </c>
    </row>
    <row r="216" spans="1:14">
      <c r="A216" t="s">
        <v>248</v>
      </c>
      <c r="B216">
        <v>8632</v>
      </c>
      <c r="C216">
        <v>171.98</v>
      </c>
      <c r="D216" t="s">
        <v>28</v>
      </c>
      <c r="E216">
        <v>60731</v>
      </c>
      <c r="F216">
        <v>6628</v>
      </c>
      <c r="G216">
        <v>4.0500000000000001E-2</v>
      </c>
      <c r="H216">
        <v>401.72</v>
      </c>
      <c r="I216" t="s">
        <v>29</v>
      </c>
      <c r="K216">
        <v>19</v>
      </c>
      <c r="L216" t="s">
        <v>22</v>
      </c>
    </row>
    <row r="217" spans="1:14">
      <c r="A217" t="s">
        <v>249</v>
      </c>
      <c r="B217">
        <v>4315</v>
      </c>
      <c r="C217">
        <v>144.08000000000001</v>
      </c>
      <c r="D217" t="s">
        <v>25</v>
      </c>
      <c r="E217">
        <v>72216</v>
      </c>
      <c r="F217">
        <v>9076</v>
      </c>
      <c r="G217">
        <v>7.5200000000000003E-2</v>
      </c>
      <c r="H217">
        <v>17.72</v>
      </c>
      <c r="I217" t="s">
        <v>26</v>
      </c>
      <c r="J217" s="11">
        <v>0</v>
      </c>
      <c r="K217">
        <v>62</v>
      </c>
      <c r="L217" t="s">
        <v>31</v>
      </c>
      <c r="M217" t="s">
        <v>19</v>
      </c>
      <c r="N217">
        <v>4</v>
      </c>
    </row>
    <row r="218" spans="1:14">
      <c r="A218" t="s">
        <v>250</v>
      </c>
      <c r="B218">
        <v>2372</v>
      </c>
      <c r="C218">
        <v>94.78</v>
      </c>
      <c r="D218" t="s">
        <v>32</v>
      </c>
      <c r="E218">
        <v>12595</v>
      </c>
      <c r="F218">
        <v>351</v>
      </c>
      <c r="G218">
        <v>1.1900000000000001E-2</v>
      </c>
      <c r="H218">
        <v>135.04</v>
      </c>
      <c r="I218" t="s">
        <v>21</v>
      </c>
      <c r="K218">
        <v>49</v>
      </c>
      <c r="L218" t="s">
        <v>18</v>
      </c>
      <c r="M218" t="s">
        <v>23</v>
      </c>
      <c r="N218">
        <v>5</v>
      </c>
    </row>
    <row r="219" spans="1:14">
      <c r="A219" t="s">
        <v>251</v>
      </c>
      <c r="B219">
        <v>8702</v>
      </c>
      <c r="C219">
        <v>172.13</v>
      </c>
      <c r="D219" t="s">
        <v>15</v>
      </c>
      <c r="E219">
        <v>97634</v>
      </c>
      <c r="F219">
        <v>6648</v>
      </c>
      <c r="G219">
        <v>4.7100000000000003E-2</v>
      </c>
      <c r="I219" t="s">
        <v>49</v>
      </c>
      <c r="K219">
        <v>48</v>
      </c>
      <c r="L219" t="s">
        <v>31</v>
      </c>
      <c r="M219" t="s">
        <v>38</v>
      </c>
      <c r="N219">
        <v>2</v>
      </c>
    </row>
    <row r="220" spans="1:14">
      <c r="A220" t="s">
        <v>252</v>
      </c>
      <c r="B220">
        <v>4265</v>
      </c>
      <c r="D220" t="s">
        <v>45</v>
      </c>
      <c r="E220">
        <v>72368</v>
      </c>
      <c r="F220">
        <v>3415</v>
      </c>
      <c r="G220">
        <v>0.13189999999999999</v>
      </c>
      <c r="H220">
        <v>87.92</v>
      </c>
      <c r="I220" t="s">
        <v>17</v>
      </c>
      <c r="J220" s="11">
        <v>1</v>
      </c>
      <c r="K220">
        <v>25</v>
      </c>
      <c r="L220" t="s">
        <v>37</v>
      </c>
      <c r="M220" t="s">
        <v>32</v>
      </c>
      <c r="N220">
        <v>2</v>
      </c>
    </row>
    <row r="221" spans="1:14">
      <c r="A221" t="s">
        <v>253</v>
      </c>
      <c r="B221">
        <v>7273</v>
      </c>
      <c r="C221">
        <v>30.1</v>
      </c>
      <c r="D221" t="s">
        <v>15</v>
      </c>
      <c r="E221">
        <v>49156</v>
      </c>
      <c r="F221">
        <v>8065</v>
      </c>
      <c r="G221">
        <v>0.1137</v>
      </c>
      <c r="H221">
        <v>243.67</v>
      </c>
      <c r="I221" t="s">
        <v>29</v>
      </c>
      <c r="K221">
        <v>55</v>
      </c>
      <c r="L221" t="s">
        <v>22</v>
      </c>
      <c r="M221" t="s">
        <v>23</v>
      </c>
      <c r="N221">
        <v>2</v>
      </c>
    </row>
    <row r="222" spans="1:14">
      <c r="A222" t="s">
        <v>254</v>
      </c>
      <c r="B222">
        <v>1854</v>
      </c>
      <c r="C222">
        <v>133.99</v>
      </c>
      <c r="D222" t="s">
        <v>25</v>
      </c>
      <c r="E222">
        <v>36949</v>
      </c>
      <c r="F222">
        <v>5736</v>
      </c>
      <c r="G222">
        <v>0.1</v>
      </c>
      <c r="H222">
        <v>122.16</v>
      </c>
      <c r="I222" t="s">
        <v>21</v>
      </c>
      <c r="K222">
        <v>30</v>
      </c>
      <c r="L222" t="s">
        <v>22</v>
      </c>
      <c r="M222" t="s">
        <v>23</v>
      </c>
      <c r="N222">
        <v>2</v>
      </c>
    </row>
    <row r="223" spans="1:14">
      <c r="A223" t="s">
        <v>255</v>
      </c>
      <c r="B223">
        <v>4384</v>
      </c>
      <c r="D223" t="s">
        <v>40</v>
      </c>
      <c r="E223">
        <v>12172</v>
      </c>
      <c r="F223">
        <v>8802</v>
      </c>
      <c r="G223">
        <v>0.17530000000000001</v>
      </c>
      <c r="H223">
        <v>59.59</v>
      </c>
      <c r="I223" t="s">
        <v>17</v>
      </c>
      <c r="K223">
        <v>29</v>
      </c>
      <c r="L223" t="s">
        <v>31</v>
      </c>
      <c r="N223">
        <v>4</v>
      </c>
    </row>
    <row r="224" spans="1:14">
      <c r="A224" t="s">
        <v>256</v>
      </c>
      <c r="B224">
        <v>2922</v>
      </c>
      <c r="D224" t="s">
        <v>45</v>
      </c>
      <c r="E224">
        <v>63910</v>
      </c>
      <c r="F224">
        <v>5574</v>
      </c>
      <c r="G224">
        <v>3.9300000000000002E-2</v>
      </c>
      <c r="H224">
        <v>201.85</v>
      </c>
      <c r="I224" t="s">
        <v>26</v>
      </c>
      <c r="J224" s="11">
        <v>1</v>
      </c>
      <c r="K224">
        <v>63</v>
      </c>
      <c r="L224" t="s">
        <v>22</v>
      </c>
      <c r="M224" t="s">
        <v>23</v>
      </c>
      <c r="N224">
        <v>3</v>
      </c>
    </row>
    <row r="225" spans="1:14">
      <c r="A225" t="s">
        <v>257</v>
      </c>
      <c r="B225">
        <v>4673</v>
      </c>
      <c r="C225">
        <v>142.94</v>
      </c>
      <c r="D225" t="s">
        <v>32</v>
      </c>
      <c r="E225">
        <v>86101</v>
      </c>
      <c r="F225">
        <v>1658</v>
      </c>
      <c r="G225">
        <v>0.1651</v>
      </c>
      <c r="H225">
        <v>117.24</v>
      </c>
      <c r="I225" t="s">
        <v>26</v>
      </c>
      <c r="K225">
        <v>27</v>
      </c>
      <c r="L225" t="s">
        <v>18</v>
      </c>
      <c r="M225" t="s">
        <v>38</v>
      </c>
      <c r="N225">
        <v>5</v>
      </c>
    </row>
    <row r="226" spans="1:14">
      <c r="A226" t="s">
        <v>258</v>
      </c>
      <c r="B226">
        <v>5037</v>
      </c>
      <c r="C226">
        <v>58.75</v>
      </c>
      <c r="D226" t="s">
        <v>25</v>
      </c>
      <c r="E226">
        <v>75494</v>
      </c>
      <c r="F226">
        <v>4786</v>
      </c>
      <c r="G226">
        <v>9.4100000000000003E-2</v>
      </c>
      <c r="H226">
        <v>368.75</v>
      </c>
      <c r="I226" t="s">
        <v>29</v>
      </c>
      <c r="J226" s="11">
        <v>0</v>
      </c>
      <c r="K226">
        <v>57</v>
      </c>
      <c r="L226" t="s">
        <v>18</v>
      </c>
      <c r="M226" t="s">
        <v>32</v>
      </c>
      <c r="N226">
        <v>2</v>
      </c>
    </row>
    <row r="227" spans="1:14">
      <c r="A227" t="s">
        <v>259</v>
      </c>
      <c r="B227">
        <v>7215</v>
      </c>
      <c r="D227" t="s">
        <v>32</v>
      </c>
      <c r="E227">
        <v>71205</v>
      </c>
      <c r="F227">
        <v>4520</v>
      </c>
      <c r="G227">
        <v>0.1008</v>
      </c>
      <c r="H227">
        <v>41.9</v>
      </c>
      <c r="I227" t="s">
        <v>29</v>
      </c>
      <c r="K227">
        <v>54</v>
      </c>
      <c r="L227" t="s">
        <v>22</v>
      </c>
    </row>
    <row r="228" spans="1:14">
      <c r="A228" t="s">
        <v>260</v>
      </c>
      <c r="B228">
        <v>7934</v>
      </c>
      <c r="C228">
        <v>43.92</v>
      </c>
      <c r="D228" t="s">
        <v>28</v>
      </c>
      <c r="E228">
        <v>30133</v>
      </c>
      <c r="F228">
        <v>7475</v>
      </c>
      <c r="G228">
        <v>5.1400000000000001E-2</v>
      </c>
      <c r="I228" t="s">
        <v>34</v>
      </c>
      <c r="K228">
        <v>35</v>
      </c>
      <c r="L228" t="s">
        <v>31</v>
      </c>
      <c r="M228" t="s">
        <v>32</v>
      </c>
    </row>
    <row r="229" spans="1:14">
      <c r="A229" t="s">
        <v>261</v>
      </c>
      <c r="B229">
        <v>1465</v>
      </c>
      <c r="C229">
        <v>78.959999999999994</v>
      </c>
      <c r="D229" t="s">
        <v>25</v>
      </c>
      <c r="E229">
        <v>69153</v>
      </c>
      <c r="F229">
        <v>4417</v>
      </c>
      <c r="G229">
        <v>0.1109</v>
      </c>
      <c r="H229">
        <v>12.07</v>
      </c>
      <c r="I229" t="s">
        <v>26</v>
      </c>
      <c r="J229" s="11">
        <v>1</v>
      </c>
      <c r="K229">
        <v>43</v>
      </c>
      <c r="L229" t="s">
        <v>31</v>
      </c>
      <c r="M229" t="s">
        <v>19</v>
      </c>
      <c r="N229">
        <v>5</v>
      </c>
    </row>
    <row r="230" spans="1:14">
      <c r="A230" t="s">
        <v>262</v>
      </c>
      <c r="B230">
        <v>7227</v>
      </c>
      <c r="C230">
        <v>33.5</v>
      </c>
      <c r="D230" t="s">
        <v>25</v>
      </c>
      <c r="E230">
        <v>87217</v>
      </c>
      <c r="F230">
        <v>5323</v>
      </c>
      <c r="G230">
        <v>3.44E-2</v>
      </c>
      <c r="H230">
        <v>146</v>
      </c>
      <c r="I230" t="s">
        <v>21</v>
      </c>
      <c r="K230">
        <v>45</v>
      </c>
      <c r="L230" t="s">
        <v>18</v>
      </c>
      <c r="N230">
        <v>5</v>
      </c>
    </row>
    <row r="231" spans="1:14">
      <c r="A231" t="s">
        <v>263</v>
      </c>
      <c r="B231">
        <v>4485</v>
      </c>
      <c r="C231">
        <v>39.18</v>
      </c>
      <c r="D231" t="s">
        <v>28</v>
      </c>
      <c r="E231">
        <v>53071</v>
      </c>
      <c r="F231">
        <v>7585</v>
      </c>
      <c r="G231">
        <v>0.1128</v>
      </c>
      <c r="H231">
        <v>269.17</v>
      </c>
      <c r="I231" t="s">
        <v>17</v>
      </c>
      <c r="J231" s="11">
        <v>0</v>
      </c>
      <c r="K231">
        <v>59</v>
      </c>
      <c r="L231" t="s">
        <v>18</v>
      </c>
      <c r="N231">
        <v>5</v>
      </c>
    </row>
    <row r="232" spans="1:14">
      <c r="A232" t="s">
        <v>264</v>
      </c>
      <c r="B232">
        <v>5148</v>
      </c>
      <c r="D232" t="s">
        <v>40</v>
      </c>
      <c r="E232">
        <v>96731</v>
      </c>
      <c r="F232">
        <v>6918</v>
      </c>
      <c r="G232">
        <v>1.04E-2</v>
      </c>
      <c r="H232">
        <v>112.08</v>
      </c>
      <c r="I232" t="s">
        <v>21</v>
      </c>
      <c r="K232">
        <v>49</v>
      </c>
      <c r="L232" t="s">
        <v>31</v>
      </c>
      <c r="M232" t="s">
        <v>19</v>
      </c>
      <c r="N232">
        <v>2</v>
      </c>
    </row>
    <row r="233" spans="1:14">
      <c r="A233" t="s">
        <v>265</v>
      </c>
      <c r="B233">
        <v>2723</v>
      </c>
      <c r="C233">
        <v>46.08</v>
      </c>
      <c r="D233" t="s">
        <v>25</v>
      </c>
      <c r="E233">
        <v>72874</v>
      </c>
      <c r="F233">
        <v>1854</v>
      </c>
      <c r="G233">
        <v>0.1328</v>
      </c>
      <c r="H233">
        <v>407.2</v>
      </c>
      <c r="I233" t="s">
        <v>34</v>
      </c>
      <c r="K233">
        <v>36</v>
      </c>
      <c r="L233" t="s">
        <v>37</v>
      </c>
      <c r="N233">
        <v>5</v>
      </c>
    </row>
    <row r="234" spans="1:14">
      <c r="A234" t="s">
        <v>266</v>
      </c>
      <c r="B234">
        <v>4875</v>
      </c>
      <c r="C234">
        <v>145.43</v>
      </c>
      <c r="D234" t="s">
        <v>28</v>
      </c>
      <c r="E234">
        <v>85089</v>
      </c>
      <c r="F234">
        <v>953</v>
      </c>
      <c r="G234">
        <v>5.21E-2</v>
      </c>
      <c r="H234">
        <v>321.69</v>
      </c>
      <c r="I234" t="s">
        <v>17</v>
      </c>
      <c r="J234" s="11">
        <v>1</v>
      </c>
      <c r="K234">
        <v>52</v>
      </c>
      <c r="L234" t="s">
        <v>18</v>
      </c>
      <c r="N234">
        <v>3</v>
      </c>
    </row>
    <row r="235" spans="1:14">
      <c r="A235" t="s">
        <v>267</v>
      </c>
      <c r="B235">
        <v>9012</v>
      </c>
      <c r="D235" t="s">
        <v>28</v>
      </c>
      <c r="E235">
        <v>29895</v>
      </c>
      <c r="F235">
        <v>343</v>
      </c>
      <c r="G235">
        <v>0.16439999999999999</v>
      </c>
      <c r="H235">
        <v>107.41</v>
      </c>
      <c r="I235" t="s">
        <v>17</v>
      </c>
      <c r="J235" s="11">
        <v>1</v>
      </c>
      <c r="K235">
        <v>62</v>
      </c>
      <c r="L235" t="s">
        <v>22</v>
      </c>
      <c r="N235">
        <v>3</v>
      </c>
    </row>
    <row r="236" spans="1:14">
      <c r="A236" t="s">
        <v>268</v>
      </c>
      <c r="B236">
        <v>6280</v>
      </c>
      <c r="C236">
        <v>6.89</v>
      </c>
      <c r="D236" t="s">
        <v>25</v>
      </c>
      <c r="E236">
        <v>64980</v>
      </c>
      <c r="F236">
        <v>1924</v>
      </c>
      <c r="G236">
        <v>0.1164</v>
      </c>
      <c r="H236">
        <v>58.05</v>
      </c>
      <c r="I236" t="s">
        <v>21</v>
      </c>
      <c r="K236">
        <v>23</v>
      </c>
      <c r="L236" t="s">
        <v>22</v>
      </c>
      <c r="M236" t="s">
        <v>23</v>
      </c>
      <c r="N236">
        <v>3</v>
      </c>
    </row>
    <row r="237" spans="1:14">
      <c r="A237" t="s">
        <v>269</v>
      </c>
      <c r="B237">
        <v>8590</v>
      </c>
      <c r="D237" t="s">
        <v>25</v>
      </c>
      <c r="E237">
        <v>74854</v>
      </c>
      <c r="F237">
        <v>134</v>
      </c>
      <c r="G237">
        <v>3.7699999999999997E-2</v>
      </c>
      <c r="H237">
        <v>208.27</v>
      </c>
      <c r="I237" t="s">
        <v>21</v>
      </c>
      <c r="K237">
        <v>23</v>
      </c>
      <c r="L237" t="s">
        <v>37</v>
      </c>
      <c r="M237" t="s">
        <v>32</v>
      </c>
    </row>
    <row r="238" spans="1:14">
      <c r="A238" t="s">
        <v>270</v>
      </c>
      <c r="B238">
        <v>3628</v>
      </c>
      <c r="C238">
        <v>185.72</v>
      </c>
      <c r="D238" t="s">
        <v>28</v>
      </c>
      <c r="E238">
        <v>82008</v>
      </c>
      <c r="F238">
        <v>3513</v>
      </c>
      <c r="G238">
        <v>0.1042</v>
      </c>
      <c r="H238">
        <v>417.6</v>
      </c>
      <c r="I238" t="s">
        <v>29</v>
      </c>
      <c r="J238" s="11">
        <v>0</v>
      </c>
      <c r="K238">
        <v>34</v>
      </c>
      <c r="L238" t="s">
        <v>37</v>
      </c>
      <c r="M238" t="s">
        <v>19</v>
      </c>
      <c r="N238">
        <v>1</v>
      </c>
    </row>
    <row r="239" spans="1:14">
      <c r="A239" t="s">
        <v>271</v>
      </c>
      <c r="B239">
        <v>1477</v>
      </c>
      <c r="C239">
        <v>191.06</v>
      </c>
      <c r="D239" t="s">
        <v>28</v>
      </c>
      <c r="E239">
        <v>78501</v>
      </c>
      <c r="F239">
        <v>7268</v>
      </c>
      <c r="G239">
        <v>0.1101</v>
      </c>
      <c r="I239" t="s">
        <v>17</v>
      </c>
      <c r="K239">
        <v>55</v>
      </c>
      <c r="L239" t="s">
        <v>37</v>
      </c>
      <c r="N239">
        <v>5</v>
      </c>
    </row>
    <row r="240" spans="1:14">
      <c r="A240" t="s">
        <v>272</v>
      </c>
      <c r="B240">
        <v>5811</v>
      </c>
      <c r="C240">
        <v>131.25</v>
      </c>
      <c r="D240" t="s">
        <v>15</v>
      </c>
      <c r="E240">
        <v>67049</v>
      </c>
      <c r="F240">
        <v>7849</v>
      </c>
      <c r="G240">
        <v>7.9699999999999993E-2</v>
      </c>
      <c r="I240" t="s">
        <v>17</v>
      </c>
      <c r="K240">
        <v>39</v>
      </c>
      <c r="L240" t="s">
        <v>18</v>
      </c>
      <c r="M240" t="s">
        <v>32</v>
      </c>
      <c r="N240">
        <v>3</v>
      </c>
    </row>
    <row r="241" spans="1:14">
      <c r="A241" t="s">
        <v>273</v>
      </c>
      <c r="B241">
        <v>1841</v>
      </c>
      <c r="C241">
        <v>11.5</v>
      </c>
      <c r="D241" t="s">
        <v>45</v>
      </c>
      <c r="E241">
        <v>34167</v>
      </c>
      <c r="F241">
        <v>3614</v>
      </c>
      <c r="G241">
        <v>0.1812</v>
      </c>
      <c r="H241">
        <v>384.32</v>
      </c>
      <c r="I241" t="s">
        <v>17</v>
      </c>
      <c r="J241" s="11">
        <v>0</v>
      </c>
      <c r="K241">
        <v>41</v>
      </c>
      <c r="L241" t="s">
        <v>22</v>
      </c>
      <c r="M241" t="s">
        <v>19</v>
      </c>
      <c r="N241">
        <v>3</v>
      </c>
    </row>
    <row r="242" spans="1:14">
      <c r="A242" t="s">
        <v>274</v>
      </c>
      <c r="B242">
        <v>6590</v>
      </c>
      <c r="C242">
        <v>71.150000000000006</v>
      </c>
      <c r="D242" t="s">
        <v>32</v>
      </c>
      <c r="E242">
        <v>6490</v>
      </c>
      <c r="F242">
        <v>7645</v>
      </c>
      <c r="G242">
        <v>0.1799</v>
      </c>
      <c r="H242">
        <v>110.09</v>
      </c>
      <c r="I242" t="s">
        <v>21</v>
      </c>
      <c r="J242" s="11">
        <v>0</v>
      </c>
      <c r="K242">
        <v>41</v>
      </c>
      <c r="L242" t="s">
        <v>22</v>
      </c>
      <c r="M242" t="s">
        <v>19</v>
      </c>
    </row>
    <row r="243" spans="1:14">
      <c r="A243" t="s">
        <v>275</v>
      </c>
      <c r="B243">
        <v>9334</v>
      </c>
      <c r="C243">
        <v>173.49</v>
      </c>
      <c r="D243" t="s">
        <v>15</v>
      </c>
      <c r="E243">
        <v>4519</v>
      </c>
      <c r="F243">
        <v>561</v>
      </c>
      <c r="G243">
        <v>8.7900000000000006E-2</v>
      </c>
      <c r="H243">
        <v>37.69</v>
      </c>
      <c r="I243" t="s">
        <v>34</v>
      </c>
      <c r="K243">
        <v>24</v>
      </c>
      <c r="L243" t="s">
        <v>31</v>
      </c>
      <c r="M243" t="s">
        <v>32</v>
      </c>
    </row>
    <row r="244" spans="1:14">
      <c r="A244" t="s">
        <v>276</v>
      </c>
      <c r="B244">
        <v>8834</v>
      </c>
      <c r="C244">
        <v>73.760000000000005</v>
      </c>
      <c r="D244" t="s">
        <v>15</v>
      </c>
      <c r="E244">
        <v>7816</v>
      </c>
      <c r="F244">
        <v>1533</v>
      </c>
      <c r="G244">
        <v>0.15290000000000001</v>
      </c>
      <c r="H244">
        <v>169.14</v>
      </c>
      <c r="I244" t="s">
        <v>34</v>
      </c>
      <c r="J244" s="11">
        <v>1</v>
      </c>
      <c r="L244" t="s">
        <v>18</v>
      </c>
      <c r="M244" t="s">
        <v>32</v>
      </c>
      <c r="N244">
        <v>1</v>
      </c>
    </row>
    <row r="245" spans="1:14">
      <c r="A245" t="s">
        <v>277</v>
      </c>
      <c r="B245">
        <v>8102</v>
      </c>
      <c r="C245">
        <v>182.7</v>
      </c>
      <c r="D245" t="s">
        <v>28</v>
      </c>
      <c r="E245">
        <v>63041</v>
      </c>
      <c r="F245">
        <v>5058</v>
      </c>
      <c r="H245">
        <v>444.67</v>
      </c>
      <c r="I245" t="s">
        <v>26</v>
      </c>
      <c r="K245">
        <v>41</v>
      </c>
      <c r="L245" t="s">
        <v>31</v>
      </c>
      <c r="M245" t="s">
        <v>32</v>
      </c>
      <c r="N245">
        <v>5</v>
      </c>
    </row>
    <row r="246" spans="1:14">
      <c r="A246" t="s">
        <v>278</v>
      </c>
      <c r="B246">
        <v>2356</v>
      </c>
      <c r="C246">
        <v>112.46</v>
      </c>
      <c r="D246" t="s">
        <v>15</v>
      </c>
      <c r="E246">
        <v>6482</v>
      </c>
      <c r="F246">
        <v>286</v>
      </c>
      <c r="G246">
        <v>1.9900000000000001E-2</v>
      </c>
      <c r="H246">
        <v>37.869999999999997</v>
      </c>
      <c r="I246" t="s">
        <v>26</v>
      </c>
      <c r="J246" s="11">
        <v>0</v>
      </c>
      <c r="K246">
        <v>27</v>
      </c>
      <c r="L246" t="s">
        <v>31</v>
      </c>
      <c r="M246" t="s">
        <v>32</v>
      </c>
      <c r="N246">
        <v>1</v>
      </c>
    </row>
    <row r="247" spans="1:14">
      <c r="A247" t="s">
        <v>279</v>
      </c>
      <c r="B247">
        <v>7553</v>
      </c>
      <c r="C247">
        <v>92.93</v>
      </c>
      <c r="D247" t="s">
        <v>25</v>
      </c>
      <c r="E247">
        <v>95582</v>
      </c>
      <c r="F247">
        <v>7984</v>
      </c>
      <c r="G247">
        <v>0.17349999999999999</v>
      </c>
      <c r="H247">
        <v>467.51</v>
      </c>
      <c r="I247" t="s">
        <v>34</v>
      </c>
      <c r="J247" s="11">
        <v>1</v>
      </c>
      <c r="K247">
        <v>37</v>
      </c>
      <c r="L247" t="s">
        <v>22</v>
      </c>
      <c r="M247" t="s">
        <v>32</v>
      </c>
      <c r="N247">
        <v>5</v>
      </c>
    </row>
    <row r="248" spans="1:14">
      <c r="A248" t="s">
        <v>280</v>
      </c>
      <c r="B248">
        <v>2934</v>
      </c>
      <c r="C248">
        <v>83</v>
      </c>
      <c r="D248" t="s">
        <v>15</v>
      </c>
      <c r="E248">
        <v>13774</v>
      </c>
      <c r="F248">
        <v>9974</v>
      </c>
      <c r="G248">
        <v>7.6799999999999993E-2</v>
      </c>
      <c r="H248">
        <v>447.23</v>
      </c>
      <c r="I248" t="s">
        <v>49</v>
      </c>
      <c r="K248">
        <v>60</v>
      </c>
      <c r="L248" t="s">
        <v>37</v>
      </c>
      <c r="M248" t="s">
        <v>23</v>
      </c>
      <c r="N248">
        <v>2</v>
      </c>
    </row>
    <row r="249" spans="1:14">
      <c r="A249" t="s">
        <v>281</v>
      </c>
      <c r="B249">
        <v>2296</v>
      </c>
      <c r="C249">
        <v>63.26</v>
      </c>
      <c r="D249" t="s">
        <v>28</v>
      </c>
      <c r="E249">
        <v>14725</v>
      </c>
      <c r="F249">
        <v>721</v>
      </c>
      <c r="H249">
        <v>374.67</v>
      </c>
      <c r="I249" t="s">
        <v>29</v>
      </c>
      <c r="K249">
        <v>31</v>
      </c>
      <c r="L249" t="s">
        <v>18</v>
      </c>
      <c r="M249" t="s">
        <v>38</v>
      </c>
      <c r="N249">
        <v>4</v>
      </c>
    </row>
    <row r="250" spans="1:14">
      <c r="A250" t="s">
        <v>282</v>
      </c>
      <c r="B250">
        <v>8672</v>
      </c>
      <c r="D250" t="s">
        <v>45</v>
      </c>
      <c r="E250">
        <v>85148</v>
      </c>
      <c r="F250">
        <v>1547</v>
      </c>
      <c r="G250">
        <v>0.1605</v>
      </c>
      <c r="H250">
        <v>296.95</v>
      </c>
      <c r="I250" t="s">
        <v>26</v>
      </c>
      <c r="J250" s="11">
        <v>1</v>
      </c>
      <c r="K250">
        <v>63</v>
      </c>
      <c r="L250" t="s">
        <v>18</v>
      </c>
      <c r="M250" t="s">
        <v>38</v>
      </c>
      <c r="N250">
        <v>2</v>
      </c>
    </row>
    <row r="251" spans="1:14">
      <c r="A251" t="s">
        <v>283</v>
      </c>
      <c r="B251">
        <v>9706</v>
      </c>
      <c r="C251">
        <v>180</v>
      </c>
      <c r="D251" t="s">
        <v>40</v>
      </c>
      <c r="E251">
        <v>83468</v>
      </c>
      <c r="F251">
        <v>7941</v>
      </c>
      <c r="G251">
        <v>0.13500000000000001</v>
      </c>
      <c r="H251">
        <v>380.96</v>
      </c>
      <c r="I251" t="s">
        <v>17</v>
      </c>
      <c r="J251" s="11">
        <v>1</v>
      </c>
      <c r="K251">
        <v>49</v>
      </c>
      <c r="L251" t="s">
        <v>37</v>
      </c>
      <c r="M251" t="s">
        <v>19</v>
      </c>
      <c r="N251">
        <v>1</v>
      </c>
    </row>
    <row r="252" spans="1:14">
      <c r="A252" t="s">
        <v>284</v>
      </c>
      <c r="B252">
        <v>7402</v>
      </c>
      <c r="C252">
        <v>111.53</v>
      </c>
      <c r="D252" t="s">
        <v>28</v>
      </c>
      <c r="E252">
        <v>37721</v>
      </c>
      <c r="F252">
        <v>4510</v>
      </c>
      <c r="G252">
        <v>0.10299999999999999</v>
      </c>
      <c r="H252">
        <v>368.83</v>
      </c>
      <c r="I252" t="s">
        <v>17</v>
      </c>
      <c r="K252">
        <v>21</v>
      </c>
      <c r="L252" t="s">
        <v>22</v>
      </c>
      <c r="M252" t="s">
        <v>38</v>
      </c>
      <c r="N252">
        <v>2</v>
      </c>
    </row>
    <row r="253" spans="1:14">
      <c r="A253" t="s">
        <v>285</v>
      </c>
      <c r="B253">
        <v>9027</v>
      </c>
      <c r="C253">
        <v>58.82</v>
      </c>
      <c r="D253" t="s">
        <v>25</v>
      </c>
      <c r="E253">
        <v>45589</v>
      </c>
      <c r="F253">
        <v>7324</v>
      </c>
      <c r="G253">
        <v>0.1482</v>
      </c>
      <c r="I253" t="s">
        <v>26</v>
      </c>
      <c r="J253" s="11">
        <v>1</v>
      </c>
      <c r="K253">
        <v>65</v>
      </c>
      <c r="L253" t="s">
        <v>31</v>
      </c>
      <c r="M253" t="s">
        <v>19</v>
      </c>
      <c r="N253">
        <v>2</v>
      </c>
    </row>
    <row r="254" spans="1:14">
      <c r="A254" t="s">
        <v>286</v>
      </c>
      <c r="B254">
        <v>9284</v>
      </c>
      <c r="D254" t="s">
        <v>28</v>
      </c>
      <c r="E254">
        <v>72168</v>
      </c>
      <c r="F254">
        <v>4475</v>
      </c>
      <c r="G254">
        <v>3.5000000000000003E-2</v>
      </c>
      <c r="H254">
        <v>25.54</v>
      </c>
      <c r="I254" t="s">
        <v>17</v>
      </c>
      <c r="K254">
        <v>21</v>
      </c>
      <c r="L254" t="s">
        <v>37</v>
      </c>
      <c r="M254" t="s">
        <v>23</v>
      </c>
      <c r="N254">
        <v>2</v>
      </c>
    </row>
    <row r="255" spans="1:14">
      <c r="A255" t="s">
        <v>287</v>
      </c>
      <c r="B255">
        <v>3631</v>
      </c>
      <c r="C255">
        <v>96.19</v>
      </c>
      <c r="D255" t="s">
        <v>28</v>
      </c>
      <c r="E255">
        <v>70887</v>
      </c>
      <c r="F255">
        <v>4758</v>
      </c>
      <c r="G255">
        <v>4.1200000000000001E-2</v>
      </c>
      <c r="H255">
        <v>177.87</v>
      </c>
      <c r="I255" t="s">
        <v>21</v>
      </c>
      <c r="J255" s="11">
        <v>1</v>
      </c>
      <c r="K255">
        <v>56</v>
      </c>
      <c r="L255" t="s">
        <v>18</v>
      </c>
    </row>
    <row r="256" spans="1:14">
      <c r="A256" t="s">
        <v>288</v>
      </c>
      <c r="B256">
        <v>7077</v>
      </c>
      <c r="C256">
        <v>106.71</v>
      </c>
      <c r="D256" t="s">
        <v>28</v>
      </c>
      <c r="E256">
        <v>11605</v>
      </c>
      <c r="F256" t="s">
        <v>16</v>
      </c>
      <c r="G256">
        <v>6.0499999999999998E-2</v>
      </c>
      <c r="H256">
        <v>458.19</v>
      </c>
      <c r="I256" t="s">
        <v>29</v>
      </c>
      <c r="K256">
        <v>38</v>
      </c>
      <c r="L256" t="s">
        <v>22</v>
      </c>
      <c r="M256" t="s">
        <v>23</v>
      </c>
      <c r="N256">
        <v>1</v>
      </c>
    </row>
    <row r="257" spans="1:14">
      <c r="A257" t="s">
        <v>289</v>
      </c>
      <c r="B257">
        <v>6321</v>
      </c>
      <c r="C257">
        <v>96.65</v>
      </c>
      <c r="D257" t="s">
        <v>15</v>
      </c>
      <c r="E257">
        <v>61128</v>
      </c>
      <c r="F257">
        <v>8344</v>
      </c>
      <c r="H257">
        <v>321.72000000000003</v>
      </c>
      <c r="I257" t="s">
        <v>34</v>
      </c>
      <c r="J257" s="11">
        <v>1</v>
      </c>
      <c r="K257">
        <v>44</v>
      </c>
      <c r="L257" t="s">
        <v>37</v>
      </c>
      <c r="M257" t="s">
        <v>23</v>
      </c>
      <c r="N257">
        <v>3</v>
      </c>
    </row>
    <row r="258" spans="1:14">
      <c r="A258" t="s">
        <v>290</v>
      </c>
      <c r="B258">
        <v>3051</v>
      </c>
      <c r="C258">
        <v>197.71</v>
      </c>
      <c r="D258" t="s">
        <v>40</v>
      </c>
      <c r="E258">
        <v>71347</v>
      </c>
      <c r="F258">
        <v>9476</v>
      </c>
      <c r="G258">
        <v>0.18440000000000001</v>
      </c>
      <c r="H258">
        <v>170.46</v>
      </c>
      <c r="I258" t="s">
        <v>21</v>
      </c>
      <c r="K258">
        <v>32</v>
      </c>
      <c r="L258" t="s">
        <v>31</v>
      </c>
      <c r="M258" t="s">
        <v>32</v>
      </c>
      <c r="N258">
        <v>3</v>
      </c>
    </row>
    <row r="259" spans="1:14">
      <c r="A259" t="s">
        <v>291</v>
      </c>
      <c r="B259">
        <v>4784</v>
      </c>
      <c r="D259" t="s">
        <v>40</v>
      </c>
      <c r="E259">
        <v>17923</v>
      </c>
      <c r="F259">
        <v>5309</v>
      </c>
      <c r="G259">
        <v>9.1399999999999995E-2</v>
      </c>
      <c r="H259">
        <v>106.54</v>
      </c>
      <c r="I259" t="s">
        <v>29</v>
      </c>
      <c r="J259" s="11">
        <v>0</v>
      </c>
      <c r="K259">
        <v>54</v>
      </c>
      <c r="L259" t="s">
        <v>37</v>
      </c>
      <c r="M259" t="s">
        <v>23</v>
      </c>
      <c r="N259">
        <v>4</v>
      </c>
    </row>
    <row r="260" spans="1:14">
      <c r="A260" t="s">
        <v>292</v>
      </c>
      <c r="B260">
        <v>1699</v>
      </c>
      <c r="C260">
        <v>177.06</v>
      </c>
      <c r="D260" t="s">
        <v>40</v>
      </c>
      <c r="E260">
        <v>4831</v>
      </c>
      <c r="F260">
        <v>4497</v>
      </c>
      <c r="G260">
        <v>9.6500000000000002E-2</v>
      </c>
      <c r="I260" t="s">
        <v>21</v>
      </c>
      <c r="K260">
        <v>62</v>
      </c>
      <c r="L260" t="s">
        <v>22</v>
      </c>
      <c r="N260">
        <v>1</v>
      </c>
    </row>
    <row r="261" spans="1:14">
      <c r="A261" t="s">
        <v>293</v>
      </c>
      <c r="B261">
        <v>5877</v>
      </c>
      <c r="C261">
        <v>92.26</v>
      </c>
      <c r="D261" t="s">
        <v>32</v>
      </c>
      <c r="E261">
        <v>79610</v>
      </c>
      <c r="F261">
        <v>6767</v>
      </c>
      <c r="G261">
        <v>1.21E-2</v>
      </c>
      <c r="H261">
        <v>199.87</v>
      </c>
      <c r="I261" t="s">
        <v>21</v>
      </c>
      <c r="J261" s="11">
        <v>1</v>
      </c>
      <c r="K261">
        <v>57</v>
      </c>
      <c r="L261" t="s">
        <v>22</v>
      </c>
      <c r="M261" t="s">
        <v>32</v>
      </c>
    </row>
    <row r="262" spans="1:14">
      <c r="A262" t="s">
        <v>294</v>
      </c>
      <c r="B262">
        <v>2386</v>
      </c>
      <c r="C262">
        <v>130.83000000000001</v>
      </c>
      <c r="D262" t="s">
        <v>32</v>
      </c>
      <c r="E262">
        <v>96295</v>
      </c>
      <c r="F262">
        <v>446</v>
      </c>
      <c r="H262">
        <v>480.55</v>
      </c>
      <c r="I262" t="s">
        <v>17</v>
      </c>
      <c r="K262">
        <v>26</v>
      </c>
      <c r="L262" t="s">
        <v>37</v>
      </c>
      <c r="M262" t="s">
        <v>38</v>
      </c>
      <c r="N262">
        <v>4</v>
      </c>
    </row>
    <row r="263" spans="1:14">
      <c r="A263" t="s">
        <v>295</v>
      </c>
      <c r="B263">
        <v>3386</v>
      </c>
      <c r="C263">
        <v>12.63</v>
      </c>
      <c r="D263" t="s">
        <v>32</v>
      </c>
      <c r="E263">
        <v>6880</v>
      </c>
      <c r="F263">
        <v>3945</v>
      </c>
      <c r="H263">
        <v>438.9</v>
      </c>
      <c r="I263" t="s">
        <v>29</v>
      </c>
      <c r="K263">
        <v>37</v>
      </c>
      <c r="L263" t="s">
        <v>37</v>
      </c>
      <c r="M263" t="s">
        <v>19</v>
      </c>
      <c r="N263">
        <v>4</v>
      </c>
    </row>
    <row r="264" spans="1:14">
      <c r="A264" t="s">
        <v>296</v>
      </c>
      <c r="B264">
        <v>2097</v>
      </c>
      <c r="C264">
        <v>162.47</v>
      </c>
      <c r="D264" t="s">
        <v>15</v>
      </c>
      <c r="E264">
        <v>6410</v>
      </c>
      <c r="F264">
        <v>4915</v>
      </c>
      <c r="G264">
        <v>2.1899999999999999E-2</v>
      </c>
      <c r="H264">
        <v>365.66</v>
      </c>
      <c r="I264" t="s">
        <v>34</v>
      </c>
      <c r="K264">
        <v>30</v>
      </c>
      <c r="L264" t="s">
        <v>18</v>
      </c>
      <c r="M264" t="s">
        <v>23</v>
      </c>
      <c r="N264">
        <v>5</v>
      </c>
    </row>
    <row r="265" spans="1:14">
      <c r="A265" t="s">
        <v>297</v>
      </c>
      <c r="B265">
        <v>6876</v>
      </c>
      <c r="D265" t="s">
        <v>45</v>
      </c>
      <c r="E265">
        <v>96116</v>
      </c>
      <c r="F265">
        <v>3792</v>
      </c>
      <c r="G265">
        <v>0.10009999999999999</v>
      </c>
      <c r="H265">
        <v>164.25</v>
      </c>
      <c r="I265" t="s">
        <v>26</v>
      </c>
      <c r="J265" s="11">
        <v>0</v>
      </c>
      <c r="K265">
        <v>65</v>
      </c>
      <c r="L265" t="s">
        <v>37</v>
      </c>
      <c r="M265" t="s">
        <v>38</v>
      </c>
      <c r="N265">
        <v>5</v>
      </c>
    </row>
    <row r="266" spans="1:14">
      <c r="A266" t="s">
        <v>298</v>
      </c>
      <c r="B266">
        <v>5561</v>
      </c>
      <c r="C266">
        <v>53.4</v>
      </c>
      <c r="D266" t="s">
        <v>28</v>
      </c>
      <c r="E266">
        <v>7328</v>
      </c>
      <c r="F266">
        <v>7256</v>
      </c>
      <c r="G266">
        <v>0.14829999999999999</v>
      </c>
      <c r="I266" t="s">
        <v>29</v>
      </c>
      <c r="L266" t="s">
        <v>37</v>
      </c>
      <c r="M266" t="s">
        <v>38</v>
      </c>
      <c r="N266">
        <v>5</v>
      </c>
    </row>
    <row r="267" spans="1:14">
      <c r="A267" t="s">
        <v>299</v>
      </c>
      <c r="B267">
        <v>2852</v>
      </c>
      <c r="C267">
        <v>153.72</v>
      </c>
      <c r="D267" t="s">
        <v>28</v>
      </c>
      <c r="E267">
        <v>87837</v>
      </c>
      <c r="F267">
        <v>8606</v>
      </c>
      <c r="G267">
        <v>0.1308</v>
      </c>
      <c r="H267">
        <v>151.46</v>
      </c>
      <c r="I267" t="s">
        <v>26</v>
      </c>
      <c r="J267" s="11">
        <v>0</v>
      </c>
      <c r="K267">
        <v>44</v>
      </c>
      <c r="L267" t="s">
        <v>31</v>
      </c>
      <c r="M267" t="s">
        <v>23</v>
      </c>
      <c r="N267">
        <v>3</v>
      </c>
    </row>
    <row r="268" spans="1:14">
      <c r="A268" t="s">
        <v>300</v>
      </c>
      <c r="B268">
        <v>2508</v>
      </c>
      <c r="C268">
        <v>96.15</v>
      </c>
      <c r="D268" t="s">
        <v>40</v>
      </c>
      <c r="E268">
        <v>47000</v>
      </c>
      <c r="F268">
        <v>1839</v>
      </c>
      <c r="G268">
        <v>0.16139999999999999</v>
      </c>
      <c r="H268">
        <v>135.83000000000001</v>
      </c>
      <c r="I268" t="s">
        <v>29</v>
      </c>
      <c r="J268" s="11">
        <v>1</v>
      </c>
      <c r="K268">
        <v>30</v>
      </c>
      <c r="L268" t="s">
        <v>31</v>
      </c>
      <c r="M268" t="s">
        <v>38</v>
      </c>
      <c r="N268">
        <v>2</v>
      </c>
    </row>
    <row r="269" spans="1:14">
      <c r="A269" t="s">
        <v>301</v>
      </c>
      <c r="B269">
        <v>2281</v>
      </c>
      <c r="C269">
        <v>179.03</v>
      </c>
      <c r="D269" t="s">
        <v>25</v>
      </c>
      <c r="E269">
        <v>10798</v>
      </c>
      <c r="F269">
        <v>3144</v>
      </c>
      <c r="G269">
        <v>0.12659999999999999</v>
      </c>
      <c r="H269">
        <v>362.71</v>
      </c>
      <c r="I269" t="s">
        <v>49</v>
      </c>
      <c r="K269">
        <v>35</v>
      </c>
      <c r="L269" t="s">
        <v>18</v>
      </c>
      <c r="M269" t="s">
        <v>19</v>
      </c>
      <c r="N269">
        <v>2</v>
      </c>
    </row>
    <row r="270" spans="1:14">
      <c r="A270" t="s">
        <v>302</v>
      </c>
      <c r="B270">
        <v>3263</v>
      </c>
      <c r="C270">
        <v>151.33000000000001</v>
      </c>
      <c r="D270" t="s">
        <v>45</v>
      </c>
      <c r="E270">
        <v>20953</v>
      </c>
      <c r="F270">
        <v>2320</v>
      </c>
      <c r="H270">
        <v>222.65</v>
      </c>
      <c r="I270" t="s">
        <v>29</v>
      </c>
      <c r="K270">
        <v>19</v>
      </c>
      <c r="L270" t="s">
        <v>18</v>
      </c>
      <c r="N270">
        <v>4</v>
      </c>
    </row>
    <row r="271" spans="1:14">
      <c r="A271" t="s">
        <v>303</v>
      </c>
      <c r="B271">
        <v>1486</v>
      </c>
      <c r="C271">
        <v>150.88999999999999</v>
      </c>
      <c r="D271" t="s">
        <v>28</v>
      </c>
      <c r="E271">
        <v>90315</v>
      </c>
      <c r="F271">
        <v>4521</v>
      </c>
      <c r="G271">
        <v>0.17680000000000001</v>
      </c>
      <c r="H271">
        <v>140.63</v>
      </c>
      <c r="I271" t="s">
        <v>26</v>
      </c>
      <c r="J271" s="11">
        <v>1</v>
      </c>
      <c r="K271">
        <v>61</v>
      </c>
      <c r="L271" t="s">
        <v>18</v>
      </c>
      <c r="N271">
        <v>3</v>
      </c>
    </row>
    <row r="272" spans="1:14">
      <c r="A272" t="s">
        <v>304</v>
      </c>
      <c r="B272">
        <v>9178</v>
      </c>
      <c r="C272">
        <v>159.77000000000001</v>
      </c>
      <c r="D272" t="s">
        <v>28</v>
      </c>
      <c r="E272">
        <v>12692</v>
      </c>
      <c r="F272">
        <v>1937</v>
      </c>
      <c r="G272">
        <v>8.5599999999999996E-2</v>
      </c>
      <c r="I272" t="s">
        <v>34</v>
      </c>
      <c r="L272" t="s">
        <v>18</v>
      </c>
      <c r="M272" t="s">
        <v>38</v>
      </c>
      <c r="N272">
        <v>2</v>
      </c>
    </row>
    <row r="273" spans="1:14">
      <c r="A273" t="s">
        <v>305</v>
      </c>
      <c r="B273">
        <v>1992</v>
      </c>
      <c r="C273">
        <v>45.75</v>
      </c>
      <c r="D273" t="s">
        <v>32</v>
      </c>
      <c r="E273">
        <v>90404</v>
      </c>
      <c r="F273">
        <v>9754</v>
      </c>
      <c r="G273">
        <v>5.2699999999999997E-2</v>
      </c>
      <c r="H273">
        <v>429.11</v>
      </c>
      <c r="I273" t="s">
        <v>34</v>
      </c>
      <c r="J273" s="11">
        <v>0</v>
      </c>
      <c r="K273">
        <v>35</v>
      </c>
      <c r="L273" t="s">
        <v>22</v>
      </c>
      <c r="M273" t="s">
        <v>38</v>
      </c>
      <c r="N273">
        <v>4</v>
      </c>
    </row>
    <row r="274" spans="1:14">
      <c r="A274" t="s">
        <v>306</v>
      </c>
      <c r="B274">
        <v>9813</v>
      </c>
      <c r="D274" t="s">
        <v>28</v>
      </c>
      <c r="E274">
        <v>62045</v>
      </c>
      <c r="F274">
        <v>4396</v>
      </c>
      <c r="G274">
        <v>0.1628</v>
      </c>
      <c r="H274">
        <v>331.87</v>
      </c>
      <c r="I274" t="s">
        <v>26</v>
      </c>
      <c r="K274">
        <v>33</v>
      </c>
      <c r="L274" t="s">
        <v>37</v>
      </c>
      <c r="M274" t="s">
        <v>19</v>
      </c>
      <c r="N274">
        <v>3</v>
      </c>
    </row>
    <row r="275" spans="1:14">
      <c r="A275" t="s">
        <v>307</v>
      </c>
      <c r="B275">
        <v>3699</v>
      </c>
      <c r="C275">
        <v>106.5</v>
      </c>
      <c r="D275" t="s">
        <v>28</v>
      </c>
      <c r="E275">
        <v>90085</v>
      </c>
      <c r="F275">
        <v>9864</v>
      </c>
      <c r="G275">
        <v>0.1779</v>
      </c>
      <c r="H275">
        <v>482.23</v>
      </c>
      <c r="I275" t="s">
        <v>17</v>
      </c>
      <c r="J275" s="11">
        <v>1</v>
      </c>
      <c r="K275">
        <v>42</v>
      </c>
      <c r="L275" t="s">
        <v>18</v>
      </c>
      <c r="M275" t="s">
        <v>23</v>
      </c>
    </row>
    <row r="276" spans="1:14">
      <c r="A276" t="s">
        <v>308</v>
      </c>
      <c r="B276">
        <v>2334</v>
      </c>
      <c r="C276">
        <v>84.68</v>
      </c>
      <c r="D276" t="s">
        <v>45</v>
      </c>
      <c r="E276">
        <v>36371</v>
      </c>
      <c r="F276">
        <v>2209</v>
      </c>
      <c r="G276">
        <v>4.3799999999999999E-2</v>
      </c>
      <c r="H276">
        <v>290.14999999999998</v>
      </c>
      <c r="I276" t="s">
        <v>29</v>
      </c>
      <c r="K276">
        <v>38</v>
      </c>
      <c r="L276" t="s">
        <v>18</v>
      </c>
      <c r="N276">
        <v>5</v>
      </c>
    </row>
    <row r="277" spans="1:14">
      <c r="A277" t="s">
        <v>309</v>
      </c>
      <c r="B277">
        <v>7186</v>
      </c>
      <c r="C277">
        <v>23.08</v>
      </c>
      <c r="D277" t="s">
        <v>15</v>
      </c>
      <c r="E277">
        <v>96100</v>
      </c>
      <c r="F277">
        <v>5935</v>
      </c>
      <c r="G277">
        <v>3.95E-2</v>
      </c>
      <c r="H277">
        <v>302.39999999999998</v>
      </c>
      <c r="I277" t="s">
        <v>26</v>
      </c>
      <c r="J277" s="11">
        <v>1</v>
      </c>
      <c r="K277">
        <v>18</v>
      </c>
      <c r="L277" t="s">
        <v>22</v>
      </c>
      <c r="M277" t="s">
        <v>19</v>
      </c>
    </row>
    <row r="278" spans="1:14">
      <c r="A278" t="s">
        <v>310</v>
      </c>
      <c r="B278">
        <v>1912</v>
      </c>
      <c r="C278">
        <v>25.16</v>
      </c>
      <c r="D278" t="s">
        <v>45</v>
      </c>
      <c r="E278">
        <v>92000</v>
      </c>
      <c r="F278">
        <v>4456</v>
      </c>
      <c r="G278">
        <v>0.14430000000000001</v>
      </c>
      <c r="H278">
        <v>426.06</v>
      </c>
      <c r="I278" t="s">
        <v>26</v>
      </c>
      <c r="J278" s="11">
        <v>1</v>
      </c>
      <c r="K278">
        <v>19</v>
      </c>
      <c r="L278" t="s">
        <v>18</v>
      </c>
      <c r="M278" t="s">
        <v>19</v>
      </c>
      <c r="N278">
        <v>5</v>
      </c>
    </row>
    <row r="279" spans="1:14">
      <c r="A279" t="s">
        <v>311</v>
      </c>
      <c r="B279">
        <v>9946</v>
      </c>
      <c r="C279">
        <v>141.62</v>
      </c>
      <c r="D279" t="s">
        <v>32</v>
      </c>
      <c r="E279">
        <v>26495</v>
      </c>
      <c r="F279">
        <v>5155</v>
      </c>
      <c r="G279">
        <v>0.14069999999999999</v>
      </c>
      <c r="H279">
        <v>87.87</v>
      </c>
      <c r="I279" t="s">
        <v>34</v>
      </c>
      <c r="K279">
        <v>28</v>
      </c>
      <c r="L279" t="s">
        <v>37</v>
      </c>
    </row>
    <row r="280" spans="1:14">
      <c r="A280" t="s">
        <v>312</v>
      </c>
      <c r="B280">
        <v>8112</v>
      </c>
      <c r="C280">
        <v>35.78</v>
      </c>
      <c r="D280" t="s">
        <v>15</v>
      </c>
      <c r="E280">
        <v>10224</v>
      </c>
      <c r="F280">
        <v>3154</v>
      </c>
      <c r="G280">
        <v>2.3699999999999999E-2</v>
      </c>
      <c r="H280">
        <v>129.11000000000001</v>
      </c>
      <c r="I280" t="s">
        <v>29</v>
      </c>
      <c r="K280">
        <v>60</v>
      </c>
      <c r="L280" t="s">
        <v>18</v>
      </c>
      <c r="M280" t="s">
        <v>38</v>
      </c>
      <c r="N280">
        <v>5</v>
      </c>
    </row>
    <row r="281" spans="1:14">
      <c r="A281" t="s">
        <v>313</v>
      </c>
      <c r="B281">
        <v>4840</v>
      </c>
      <c r="C281">
        <v>152.18</v>
      </c>
      <c r="D281" t="s">
        <v>25</v>
      </c>
      <c r="E281">
        <v>7856</v>
      </c>
      <c r="F281">
        <v>9461</v>
      </c>
      <c r="G281">
        <v>8.6999999999999994E-2</v>
      </c>
      <c r="I281" t="s">
        <v>29</v>
      </c>
      <c r="K281">
        <v>57</v>
      </c>
      <c r="L281" t="s">
        <v>18</v>
      </c>
      <c r="M281" t="s">
        <v>32</v>
      </c>
      <c r="N281">
        <v>3</v>
      </c>
    </row>
    <row r="282" spans="1:14">
      <c r="A282" t="s">
        <v>314</v>
      </c>
      <c r="B282">
        <v>3417</v>
      </c>
      <c r="C282">
        <v>55.03</v>
      </c>
      <c r="D282" t="s">
        <v>32</v>
      </c>
      <c r="E282">
        <v>79790</v>
      </c>
      <c r="F282">
        <v>127</v>
      </c>
      <c r="G282">
        <v>0.11700000000000001</v>
      </c>
      <c r="H282">
        <v>147.94999999999999</v>
      </c>
      <c r="I282" t="s">
        <v>34</v>
      </c>
      <c r="K282">
        <v>26</v>
      </c>
      <c r="L282" t="s">
        <v>22</v>
      </c>
      <c r="M282" t="s">
        <v>32</v>
      </c>
      <c r="N282">
        <v>1</v>
      </c>
    </row>
    <row r="283" spans="1:14">
      <c r="A283" t="s">
        <v>315</v>
      </c>
      <c r="B283">
        <v>9770</v>
      </c>
      <c r="C283">
        <v>196.88</v>
      </c>
      <c r="D283" t="s">
        <v>40</v>
      </c>
      <c r="E283">
        <v>95384</v>
      </c>
      <c r="F283">
        <v>7577</v>
      </c>
      <c r="G283">
        <v>0.09</v>
      </c>
      <c r="I283" t="s">
        <v>29</v>
      </c>
      <c r="K283">
        <v>47</v>
      </c>
      <c r="L283" t="s">
        <v>31</v>
      </c>
      <c r="M283" t="s">
        <v>45</v>
      </c>
    </row>
    <row r="284" spans="1:14">
      <c r="A284" t="s">
        <v>316</v>
      </c>
      <c r="B284">
        <v>1762</v>
      </c>
      <c r="D284" t="s">
        <v>15</v>
      </c>
      <c r="E284">
        <v>4679</v>
      </c>
      <c r="F284">
        <v>4183</v>
      </c>
      <c r="G284">
        <v>4.0399999999999998E-2</v>
      </c>
      <c r="H284">
        <v>407.61</v>
      </c>
      <c r="I284" t="s">
        <v>26</v>
      </c>
      <c r="J284" s="11">
        <v>1</v>
      </c>
      <c r="L284" t="s">
        <v>22</v>
      </c>
      <c r="M284" t="s">
        <v>19</v>
      </c>
    </row>
    <row r="285" spans="1:14">
      <c r="A285" t="s">
        <v>317</v>
      </c>
      <c r="B285">
        <v>6745</v>
      </c>
      <c r="C285">
        <v>58.89</v>
      </c>
      <c r="D285" t="s">
        <v>28</v>
      </c>
      <c r="E285">
        <v>96234</v>
      </c>
      <c r="F285">
        <v>8387</v>
      </c>
      <c r="G285">
        <v>4.7500000000000001E-2</v>
      </c>
      <c r="H285">
        <v>24.48</v>
      </c>
      <c r="I285" t="s">
        <v>17</v>
      </c>
      <c r="K285">
        <v>62</v>
      </c>
      <c r="L285" t="s">
        <v>31</v>
      </c>
      <c r="M285" t="s">
        <v>45</v>
      </c>
    </row>
    <row r="286" spans="1:14">
      <c r="A286" t="s">
        <v>318</v>
      </c>
      <c r="B286">
        <v>9264</v>
      </c>
      <c r="C286">
        <v>72.98</v>
      </c>
      <c r="D286" t="s">
        <v>28</v>
      </c>
      <c r="E286">
        <v>68113</v>
      </c>
      <c r="F286">
        <v>5357</v>
      </c>
      <c r="G286">
        <v>0.12920000000000001</v>
      </c>
      <c r="H286">
        <v>402.48</v>
      </c>
      <c r="I286" t="s">
        <v>17</v>
      </c>
      <c r="J286" s="11">
        <v>1</v>
      </c>
      <c r="K286">
        <v>39</v>
      </c>
      <c r="L286" t="s">
        <v>37</v>
      </c>
      <c r="M286" t="s">
        <v>23</v>
      </c>
      <c r="N286">
        <v>3</v>
      </c>
    </row>
    <row r="287" spans="1:14">
      <c r="A287" t="s">
        <v>319</v>
      </c>
      <c r="B287">
        <v>3154</v>
      </c>
      <c r="D287" t="s">
        <v>15</v>
      </c>
      <c r="E287">
        <v>48918</v>
      </c>
      <c r="F287">
        <v>7704</v>
      </c>
      <c r="G287">
        <v>0.1072</v>
      </c>
      <c r="H287">
        <v>433.69</v>
      </c>
      <c r="I287" t="s">
        <v>34</v>
      </c>
      <c r="K287">
        <v>47</v>
      </c>
      <c r="L287" t="s">
        <v>22</v>
      </c>
      <c r="M287" t="s">
        <v>32</v>
      </c>
      <c r="N287">
        <v>1</v>
      </c>
    </row>
    <row r="288" spans="1:14">
      <c r="A288" t="s">
        <v>320</v>
      </c>
      <c r="B288">
        <v>6257</v>
      </c>
      <c r="C288">
        <v>154.26</v>
      </c>
      <c r="D288" t="s">
        <v>28</v>
      </c>
      <c r="E288">
        <v>16090</v>
      </c>
      <c r="F288">
        <v>1465</v>
      </c>
      <c r="G288">
        <v>0.17730000000000001</v>
      </c>
      <c r="H288">
        <v>37.119999999999997</v>
      </c>
      <c r="I288" t="s">
        <v>21</v>
      </c>
      <c r="K288">
        <v>57</v>
      </c>
      <c r="L288" t="s">
        <v>22</v>
      </c>
      <c r="M288" t="s">
        <v>32</v>
      </c>
      <c r="N288">
        <v>1</v>
      </c>
    </row>
    <row r="289" spans="1:14">
      <c r="A289" t="s">
        <v>321</v>
      </c>
      <c r="B289">
        <v>5494</v>
      </c>
      <c r="C289">
        <v>69.319999999999993</v>
      </c>
      <c r="D289" t="s">
        <v>28</v>
      </c>
      <c r="E289">
        <v>49497</v>
      </c>
      <c r="F289">
        <v>364</v>
      </c>
      <c r="G289">
        <v>0.1555</v>
      </c>
      <c r="H289">
        <v>244.4</v>
      </c>
      <c r="I289" t="s">
        <v>21</v>
      </c>
      <c r="J289" s="11">
        <v>1</v>
      </c>
      <c r="K289">
        <v>19</v>
      </c>
      <c r="L289" t="s">
        <v>31</v>
      </c>
      <c r="M289" t="s">
        <v>19</v>
      </c>
      <c r="N289">
        <v>5</v>
      </c>
    </row>
    <row r="290" spans="1:14">
      <c r="A290" t="s">
        <v>322</v>
      </c>
      <c r="B290">
        <v>4861</v>
      </c>
      <c r="C290">
        <v>6.68</v>
      </c>
      <c r="D290" t="s">
        <v>15</v>
      </c>
      <c r="E290">
        <v>65933</v>
      </c>
      <c r="F290">
        <v>8582</v>
      </c>
      <c r="G290">
        <v>0.14940000000000001</v>
      </c>
      <c r="H290">
        <v>400.48</v>
      </c>
      <c r="I290" t="s">
        <v>34</v>
      </c>
      <c r="K290">
        <v>36</v>
      </c>
      <c r="L290" t="s">
        <v>22</v>
      </c>
      <c r="M290" t="s">
        <v>32</v>
      </c>
      <c r="N290">
        <v>4</v>
      </c>
    </row>
    <row r="291" spans="1:14">
      <c r="A291" t="s">
        <v>323</v>
      </c>
      <c r="B291">
        <v>4822</v>
      </c>
      <c r="D291" t="s">
        <v>25</v>
      </c>
      <c r="E291">
        <v>89352</v>
      </c>
      <c r="F291">
        <v>6326</v>
      </c>
      <c r="G291">
        <v>0.1983</v>
      </c>
      <c r="H291">
        <v>214.94</v>
      </c>
      <c r="I291" t="s">
        <v>29</v>
      </c>
      <c r="K291">
        <v>46</v>
      </c>
      <c r="L291" t="s">
        <v>22</v>
      </c>
      <c r="M291" t="s">
        <v>32</v>
      </c>
      <c r="N291">
        <v>3</v>
      </c>
    </row>
    <row r="292" spans="1:14">
      <c r="A292" t="s">
        <v>324</v>
      </c>
      <c r="B292">
        <v>2952</v>
      </c>
      <c r="C292">
        <v>44.52</v>
      </c>
      <c r="D292" t="s">
        <v>25</v>
      </c>
      <c r="E292">
        <v>32799</v>
      </c>
      <c r="F292">
        <v>8563</v>
      </c>
      <c r="G292">
        <v>0.1542</v>
      </c>
      <c r="H292">
        <v>298.2</v>
      </c>
      <c r="I292" t="s">
        <v>29</v>
      </c>
      <c r="J292" s="11">
        <v>1</v>
      </c>
      <c r="K292">
        <v>30</v>
      </c>
      <c r="L292" t="s">
        <v>31</v>
      </c>
      <c r="M292" t="s">
        <v>32</v>
      </c>
      <c r="N292">
        <v>2</v>
      </c>
    </row>
    <row r="293" spans="1:14">
      <c r="A293" t="s">
        <v>325</v>
      </c>
      <c r="B293">
        <v>5219</v>
      </c>
      <c r="C293">
        <v>76.099999999999994</v>
      </c>
      <c r="D293" t="s">
        <v>28</v>
      </c>
      <c r="E293">
        <v>56165</v>
      </c>
      <c r="F293">
        <v>6085</v>
      </c>
      <c r="G293">
        <v>1.89E-2</v>
      </c>
      <c r="H293">
        <v>305.68</v>
      </c>
      <c r="I293" t="s">
        <v>34</v>
      </c>
      <c r="J293" s="11">
        <v>1</v>
      </c>
      <c r="K293">
        <v>31</v>
      </c>
      <c r="L293" t="s">
        <v>18</v>
      </c>
      <c r="M293" t="s">
        <v>32</v>
      </c>
      <c r="N293">
        <v>2</v>
      </c>
    </row>
    <row r="294" spans="1:14">
      <c r="A294" t="s">
        <v>326</v>
      </c>
      <c r="B294">
        <v>3099</v>
      </c>
      <c r="C294">
        <v>195.22</v>
      </c>
      <c r="D294" t="s">
        <v>15</v>
      </c>
      <c r="E294">
        <v>82907</v>
      </c>
      <c r="F294">
        <v>7640</v>
      </c>
      <c r="G294">
        <v>1.4500000000000001E-2</v>
      </c>
      <c r="H294">
        <v>305.12</v>
      </c>
      <c r="I294" t="s">
        <v>34</v>
      </c>
      <c r="J294" s="11">
        <v>1</v>
      </c>
      <c r="K294">
        <v>29</v>
      </c>
      <c r="L294" t="s">
        <v>37</v>
      </c>
      <c r="M294" t="s">
        <v>19</v>
      </c>
      <c r="N294">
        <v>2</v>
      </c>
    </row>
    <row r="295" spans="1:14">
      <c r="A295" t="s">
        <v>327</v>
      </c>
      <c r="B295">
        <v>2012</v>
      </c>
      <c r="C295">
        <v>59.52</v>
      </c>
      <c r="D295" t="s">
        <v>15</v>
      </c>
      <c r="E295">
        <v>50557</v>
      </c>
      <c r="F295">
        <v>2500</v>
      </c>
      <c r="G295">
        <v>1.9699999999999999E-2</v>
      </c>
      <c r="H295">
        <v>375.83</v>
      </c>
      <c r="I295" t="s">
        <v>34</v>
      </c>
      <c r="K295">
        <v>45</v>
      </c>
      <c r="L295" t="s">
        <v>22</v>
      </c>
      <c r="M295" t="s">
        <v>19</v>
      </c>
      <c r="N295">
        <v>1</v>
      </c>
    </row>
    <row r="296" spans="1:14">
      <c r="A296" t="s">
        <v>328</v>
      </c>
      <c r="B296">
        <v>1330</v>
      </c>
      <c r="C296">
        <v>90.56</v>
      </c>
      <c r="D296" t="s">
        <v>15</v>
      </c>
      <c r="E296">
        <v>71524</v>
      </c>
      <c r="F296">
        <v>9866</v>
      </c>
      <c r="G296">
        <v>0.13980000000000001</v>
      </c>
      <c r="H296">
        <v>477.3</v>
      </c>
      <c r="I296" t="s">
        <v>17</v>
      </c>
      <c r="K296">
        <v>22</v>
      </c>
      <c r="L296" t="s">
        <v>18</v>
      </c>
      <c r="M296" t="s">
        <v>45</v>
      </c>
    </row>
    <row r="297" spans="1:14">
      <c r="A297" t="s">
        <v>329</v>
      </c>
      <c r="B297">
        <v>8263</v>
      </c>
      <c r="C297">
        <v>118.18</v>
      </c>
      <c r="D297" t="s">
        <v>32</v>
      </c>
      <c r="E297">
        <v>18288</v>
      </c>
      <c r="F297">
        <v>8624</v>
      </c>
      <c r="G297">
        <v>6.7400000000000002E-2</v>
      </c>
      <c r="H297">
        <v>236.37</v>
      </c>
      <c r="I297" t="s">
        <v>49</v>
      </c>
      <c r="J297" s="11">
        <v>0</v>
      </c>
      <c r="K297">
        <v>25</v>
      </c>
      <c r="L297" t="s">
        <v>22</v>
      </c>
      <c r="M297" t="s">
        <v>23</v>
      </c>
      <c r="N297">
        <v>1</v>
      </c>
    </row>
    <row r="298" spans="1:14">
      <c r="A298" t="s">
        <v>330</v>
      </c>
      <c r="B298">
        <v>9970</v>
      </c>
      <c r="C298">
        <v>163.54</v>
      </c>
      <c r="D298" t="s">
        <v>28</v>
      </c>
      <c r="E298">
        <v>51932</v>
      </c>
      <c r="F298">
        <v>2846</v>
      </c>
      <c r="G298">
        <v>9.2700000000000005E-2</v>
      </c>
      <c r="H298">
        <v>261.86</v>
      </c>
      <c r="I298" t="s">
        <v>49</v>
      </c>
      <c r="J298" s="11">
        <v>1</v>
      </c>
      <c r="K298">
        <v>44</v>
      </c>
      <c r="L298" t="s">
        <v>18</v>
      </c>
      <c r="N298">
        <v>5</v>
      </c>
    </row>
    <row r="299" spans="1:14">
      <c r="A299" t="s">
        <v>331</v>
      </c>
      <c r="B299">
        <v>2176</v>
      </c>
      <c r="D299" t="s">
        <v>40</v>
      </c>
      <c r="E299">
        <v>65549</v>
      </c>
      <c r="F299">
        <v>4434</v>
      </c>
      <c r="G299">
        <v>0.10050000000000001</v>
      </c>
      <c r="H299">
        <v>87.96</v>
      </c>
      <c r="I299" t="s">
        <v>29</v>
      </c>
      <c r="J299" s="11">
        <v>1</v>
      </c>
      <c r="K299">
        <v>64</v>
      </c>
      <c r="L299" t="s">
        <v>37</v>
      </c>
      <c r="M299" t="s">
        <v>32</v>
      </c>
      <c r="N299">
        <v>5</v>
      </c>
    </row>
    <row r="300" spans="1:14">
      <c r="A300" t="s">
        <v>332</v>
      </c>
      <c r="B300">
        <v>7765</v>
      </c>
      <c r="C300">
        <v>102.53</v>
      </c>
      <c r="D300" t="s">
        <v>32</v>
      </c>
      <c r="E300">
        <v>84667</v>
      </c>
      <c r="F300">
        <v>5790</v>
      </c>
      <c r="G300">
        <v>0.1386</v>
      </c>
      <c r="H300">
        <v>438.23</v>
      </c>
      <c r="I300" t="s">
        <v>21</v>
      </c>
      <c r="K300">
        <v>32</v>
      </c>
      <c r="L300" t="s">
        <v>37</v>
      </c>
      <c r="M300" t="s">
        <v>19</v>
      </c>
      <c r="N300">
        <v>2</v>
      </c>
    </row>
    <row r="301" spans="1:14">
      <c r="A301" t="s">
        <v>333</v>
      </c>
      <c r="B301">
        <v>7532</v>
      </c>
      <c r="C301">
        <v>111.74</v>
      </c>
      <c r="D301" t="s">
        <v>45</v>
      </c>
      <c r="E301">
        <v>84415</v>
      </c>
      <c r="F301">
        <v>3111</v>
      </c>
      <c r="G301">
        <v>0.17330000000000001</v>
      </c>
      <c r="H301">
        <v>296.95999999999998</v>
      </c>
      <c r="I301" t="s">
        <v>17</v>
      </c>
      <c r="J301" s="11">
        <v>1</v>
      </c>
      <c r="L301" t="s">
        <v>18</v>
      </c>
      <c r="M301" t="s">
        <v>23</v>
      </c>
      <c r="N301">
        <v>5</v>
      </c>
    </row>
    <row r="302" spans="1:14">
      <c r="A302" t="s">
        <v>334</v>
      </c>
      <c r="B302">
        <v>7534</v>
      </c>
      <c r="C302">
        <v>37.96</v>
      </c>
      <c r="D302" t="s">
        <v>25</v>
      </c>
      <c r="E302">
        <v>12437</v>
      </c>
      <c r="F302">
        <v>4632</v>
      </c>
      <c r="G302">
        <v>1.9599999999999999E-2</v>
      </c>
      <c r="H302">
        <v>107.74</v>
      </c>
      <c r="I302" t="s">
        <v>26</v>
      </c>
      <c r="K302">
        <v>54</v>
      </c>
      <c r="L302" t="s">
        <v>31</v>
      </c>
      <c r="N302">
        <v>3</v>
      </c>
    </row>
    <row r="303" spans="1:14">
      <c r="A303" t="s">
        <v>335</v>
      </c>
      <c r="B303">
        <v>1605</v>
      </c>
      <c r="C303">
        <v>82.55</v>
      </c>
      <c r="D303" t="s">
        <v>40</v>
      </c>
      <c r="E303">
        <v>76146</v>
      </c>
      <c r="F303">
        <v>704</v>
      </c>
      <c r="G303">
        <v>0.11840000000000001</v>
      </c>
      <c r="H303">
        <v>419.19</v>
      </c>
      <c r="I303" t="s">
        <v>17</v>
      </c>
      <c r="J303" s="11">
        <v>0</v>
      </c>
      <c r="K303">
        <v>27</v>
      </c>
      <c r="L303" t="s">
        <v>31</v>
      </c>
      <c r="M303" t="s">
        <v>23</v>
      </c>
      <c r="N303">
        <v>5</v>
      </c>
    </row>
    <row r="304" spans="1:14">
      <c r="A304" t="s">
        <v>336</v>
      </c>
      <c r="B304">
        <v>2878</v>
      </c>
      <c r="C304">
        <v>182.72</v>
      </c>
      <c r="D304" t="s">
        <v>32</v>
      </c>
      <c r="E304">
        <v>12562</v>
      </c>
      <c r="F304">
        <v>7967</v>
      </c>
      <c r="G304">
        <v>8.8400000000000006E-2</v>
      </c>
      <c r="I304" t="s">
        <v>21</v>
      </c>
      <c r="J304" s="11">
        <v>1</v>
      </c>
      <c r="K304">
        <v>57</v>
      </c>
      <c r="L304" t="s">
        <v>22</v>
      </c>
      <c r="N304">
        <v>4</v>
      </c>
    </row>
    <row r="305" spans="1:14">
      <c r="A305" t="s">
        <v>337</v>
      </c>
      <c r="B305">
        <v>7238</v>
      </c>
      <c r="D305" t="s">
        <v>25</v>
      </c>
      <c r="E305">
        <v>35161</v>
      </c>
      <c r="F305">
        <v>3094</v>
      </c>
      <c r="G305">
        <v>8.0600000000000005E-2</v>
      </c>
      <c r="H305">
        <v>377.44</v>
      </c>
      <c r="I305" t="s">
        <v>17</v>
      </c>
      <c r="J305" s="11">
        <v>1</v>
      </c>
      <c r="K305">
        <v>24</v>
      </c>
      <c r="L305" t="s">
        <v>31</v>
      </c>
      <c r="M305" t="s">
        <v>32</v>
      </c>
      <c r="N305">
        <v>3</v>
      </c>
    </row>
    <row r="306" spans="1:14">
      <c r="A306" t="s">
        <v>338</v>
      </c>
      <c r="B306">
        <v>5300</v>
      </c>
      <c r="C306">
        <v>127.36</v>
      </c>
      <c r="D306" t="s">
        <v>40</v>
      </c>
      <c r="E306">
        <v>12039</v>
      </c>
      <c r="F306">
        <v>3621</v>
      </c>
      <c r="G306">
        <v>7.1199999999999999E-2</v>
      </c>
      <c r="H306">
        <v>297.74</v>
      </c>
      <c r="I306" t="s">
        <v>34</v>
      </c>
      <c r="K306">
        <v>20</v>
      </c>
      <c r="L306" t="s">
        <v>31</v>
      </c>
      <c r="M306" t="s">
        <v>19</v>
      </c>
      <c r="N306">
        <v>3</v>
      </c>
    </row>
    <row r="307" spans="1:14">
      <c r="A307" t="s">
        <v>339</v>
      </c>
      <c r="B307">
        <v>7424</v>
      </c>
      <c r="C307">
        <v>35.39</v>
      </c>
      <c r="D307" t="s">
        <v>15</v>
      </c>
      <c r="E307">
        <v>87917</v>
      </c>
      <c r="F307">
        <v>2196</v>
      </c>
      <c r="G307">
        <v>0.16969999999999999</v>
      </c>
      <c r="H307">
        <v>424.87</v>
      </c>
      <c r="I307" t="s">
        <v>49</v>
      </c>
      <c r="J307" s="11">
        <v>0</v>
      </c>
      <c r="K307">
        <v>37</v>
      </c>
      <c r="L307" t="s">
        <v>37</v>
      </c>
      <c r="N307">
        <v>1</v>
      </c>
    </row>
    <row r="308" spans="1:14">
      <c r="A308" t="s">
        <v>340</v>
      </c>
      <c r="B308">
        <v>2418</v>
      </c>
      <c r="C308">
        <v>199.86</v>
      </c>
      <c r="D308" t="s">
        <v>28</v>
      </c>
      <c r="E308">
        <v>85515</v>
      </c>
      <c r="F308">
        <v>1477</v>
      </c>
      <c r="G308">
        <v>4.7199999999999999E-2</v>
      </c>
      <c r="H308">
        <v>250.04</v>
      </c>
      <c r="I308" t="s">
        <v>29</v>
      </c>
      <c r="K308">
        <v>18</v>
      </c>
      <c r="L308" t="s">
        <v>37</v>
      </c>
      <c r="M308" t="s">
        <v>38</v>
      </c>
      <c r="N308">
        <v>3</v>
      </c>
    </row>
    <row r="309" spans="1:14">
      <c r="A309" t="s">
        <v>341</v>
      </c>
      <c r="B309">
        <v>8849</v>
      </c>
      <c r="C309">
        <v>175.99</v>
      </c>
      <c r="D309" t="s">
        <v>28</v>
      </c>
      <c r="E309">
        <v>90164</v>
      </c>
      <c r="F309">
        <v>5724</v>
      </c>
      <c r="G309">
        <v>1.2699999999999999E-2</v>
      </c>
      <c r="I309" t="s">
        <v>29</v>
      </c>
      <c r="J309" s="11">
        <v>1</v>
      </c>
      <c r="K309">
        <v>33</v>
      </c>
      <c r="L309" t="s">
        <v>37</v>
      </c>
      <c r="M309" t="s">
        <v>38</v>
      </c>
      <c r="N309">
        <v>2</v>
      </c>
    </row>
    <row r="310" spans="1:14">
      <c r="A310" t="s">
        <v>342</v>
      </c>
      <c r="B310">
        <v>4202</v>
      </c>
      <c r="D310" t="s">
        <v>25</v>
      </c>
      <c r="E310">
        <v>80117</v>
      </c>
      <c r="F310">
        <v>4032</v>
      </c>
      <c r="G310">
        <v>7.5399999999999995E-2</v>
      </c>
      <c r="H310">
        <v>335.73</v>
      </c>
      <c r="I310" t="s">
        <v>49</v>
      </c>
      <c r="K310">
        <v>44</v>
      </c>
      <c r="L310" t="s">
        <v>31</v>
      </c>
      <c r="N310">
        <v>4</v>
      </c>
    </row>
    <row r="311" spans="1:14">
      <c r="A311" t="s">
        <v>343</v>
      </c>
      <c r="B311">
        <v>9324</v>
      </c>
      <c r="C311">
        <v>170.39</v>
      </c>
      <c r="D311" t="s">
        <v>32</v>
      </c>
      <c r="E311">
        <v>62574</v>
      </c>
      <c r="F311">
        <v>8461</v>
      </c>
      <c r="G311">
        <v>8.0799999999999997E-2</v>
      </c>
      <c r="H311">
        <v>202</v>
      </c>
      <c r="I311" t="s">
        <v>26</v>
      </c>
      <c r="J311" s="11">
        <v>1</v>
      </c>
      <c r="K311">
        <v>38</v>
      </c>
      <c r="L311" t="s">
        <v>18</v>
      </c>
      <c r="M311" t="s">
        <v>32</v>
      </c>
      <c r="N311">
        <v>2</v>
      </c>
    </row>
    <row r="312" spans="1:14">
      <c r="A312" t="s">
        <v>344</v>
      </c>
      <c r="B312">
        <v>6159</v>
      </c>
      <c r="C312">
        <v>186.99</v>
      </c>
      <c r="D312" t="s">
        <v>15</v>
      </c>
      <c r="E312">
        <v>16018</v>
      </c>
      <c r="F312">
        <v>876</v>
      </c>
      <c r="G312">
        <v>9.7100000000000006E-2</v>
      </c>
      <c r="H312">
        <v>175.68</v>
      </c>
      <c r="I312" t="s">
        <v>34</v>
      </c>
      <c r="K312">
        <v>25</v>
      </c>
      <c r="L312" t="s">
        <v>31</v>
      </c>
      <c r="M312" t="s">
        <v>19</v>
      </c>
      <c r="N312">
        <v>4</v>
      </c>
    </row>
    <row r="313" spans="1:14">
      <c r="A313" t="s">
        <v>345</v>
      </c>
      <c r="B313">
        <v>8678</v>
      </c>
      <c r="C313">
        <v>6.38</v>
      </c>
      <c r="D313" t="s">
        <v>32</v>
      </c>
      <c r="E313">
        <v>13687</v>
      </c>
      <c r="F313">
        <v>990</v>
      </c>
      <c r="G313">
        <v>9.9900000000000003E-2</v>
      </c>
      <c r="I313" t="s">
        <v>34</v>
      </c>
      <c r="J313" s="11">
        <v>1</v>
      </c>
      <c r="K313">
        <v>39</v>
      </c>
      <c r="L313" t="s">
        <v>37</v>
      </c>
      <c r="N313">
        <v>3</v>
      </c>
    </row>
    <row r="314" spans="1:14">
      <c r="A314" t="s">
        <v>346</v>
      </c>
      <c r="B314">
        <v>1179</v>
      </c>
      <c r="C314">
        <v>160.06</v>
      </c>
      <c r="D314" t="s">
        <v>45</v>
      </c>
      <c r="E314">
        <v>16551</v>
      </c>
      <c r="F314">
        <v>5516</v>
      </c>
      <c r="G314">
        <v>6.54E-2</v>
      </c>
      <c r="H314">
        <v>222.63</v>
      </c>
      <c r="I314" t="s">
        <v>21</v>
      </c>
      <c r="K314">
        <v>45</v>
      </c>
      <c r="L314" t="s">
        <v>31</v>
      </c>
      <c r="M314" t="s">
        <v>19</v>
      </c>
      <c r="N314">
        <v>1</v>
      </c>
    </row>
    <row r="315" spans="1:14">
      <c r="A315" t="s">
        <v>347</v>
      </c>
      <c r="B315">
        <v>8302</v>
      </c>
      <c r="C315">
        <v>131.88999999999999</v>
      </c>
      <c r="D315" t="s">
        <v>40</v>
      </c>
      <c r="E315">
        <v>38454</v>
      </c>
      <c r="F315">
        <v>5818</v>
      </c>
      <c r="G315">
        <v>0.14560000000000001</v>
      </c>
      <c r="H315">
        <v>219.5</v>
      </c>
      <c r="I315" t="s">
        <v>17</v>
      </c>
      <c r="K315">
        <v>57</v>
      </c>
      <c r="L315" t="s">
        <v>18</v>
      </c>
      <c r="M315" t="s">
        <v>32</v>
      </c>
      <c r="N315">
        <v>1</v>
      </c>
    </row>
    <row r="316" spans="1:14">
      <c r="A316" t="s">
        <v>348</v>
      </c>
      <c r="B316">
        <v>8400</v>
      </c>
      <c r="C316">
        <v>47.21</v>
      </c>
      <c r="D316" t="s">
        <v>45</v>
      </c>
      <c r="E316">
        <v>82791</v>
      </c>
      <c r="F316">
        <v>6210</v>
      </c>
      <c r="G316">
        <v>2.4899999999999999E-2</v>
      </c>
      <c r="H316">
        <v>182.05</v>
      </c>
      <c r="I316" t="s">
        <v>29</v>
      </c>
      <c r="K316">
        <v>60</v>
      </c>
      <c r="L316" t="s">
        <v>37</v>
      </c>
      <c r="M316" t="s">
        <v>32</v>
      </c>
      <c r="N316">
        <v>3</v>
      </c>
    </row>
    <row r="317" spans="1:14">
      <c r="A317" t="s">
        <v>349</v>
      </c>
      <c r="B317">
        <v>6688</v>
      </c>
      <c r="D317" t="s">
        <v>28</v>
      </c>
      <c r="E317">
        <v>3373</v>
      </c>
      <c r="F317">
        <v>3362</v>
      </c>
      <c r="G317">
        <v>0.1203</v>
      </c>
      <c r="I317" t="s">
        <v>17</v>
      </c>
      <c r="J317" s="11">
        <v>0</v>
      </c>
      <c r="K317">
        <v>21</v>
      </c>
      <c r="L317" t="s">
        <v>18</v>
      </c>
      <c r="N317">
        <v>2</v>
      </c>
    </row>
    <row r="318" spans="1:14">
      <c r="A318" t="s">
        <v>350</v>
      </c>
      <c r="B318">
        <v>7770</v>
      </c>
      <c r="D318" t="s">
        <v>25</v>
      </c>
      <c r="E318">
        <v>15051</v>
      </c>
      <c r="F318">
        <v>2041</v>
      </c>
      <c r="G318">
        <v>0.14199999999999999</v>
      </c>
      <c r="H318">
        <v>493.98</v>
      </c>
      <c r="I318" t="s">
        <v>29</v>
      </c>
      <c r="J318" s="11">
        <v>1</v>
      </c>
      <c r="K318">
        <v>53</v>
      </c>
      <c r="L318" t="s">
        <v>18</v>
      </c>
      <c r="N318">
        <v>4</v>
      </c>
    </row>
    <row r="319" spans="1:14">
      <c r="A319" t="s">
        <v>351</v>
      </c>
      <c r="B319">
        <v>7037</v>
      </c>
      <c r="C319">
        <v>17.59</v>
      </c>
      <c r="D319" t="s">
        <v>15</v>
      </c>
      <c r="E319">
        <v>17901</v>
      </c>
      <c r="F319">
        <v>793</v>
      </c>
      <c r="H319">
        <v>423.91</v>
      </c>
      <c r="I319" t="s">
        <v>49</v>
      </c>
      <c r="K319">
        <v>35</v>
      </c>
      <c r="L319" t="s">
        <v>37</v>
      </c>
      <c r="M319" t="s">
        <v>23</v>
      </c>
    </row>
    <row r="320" spans="1:14">
      <c r="A320" t="s">
        <v>352</v>
      </c>
      <c r="B320">
        <v>6462</v>
      </c>
      <c r="D320" t="s">
        <v>32</v>
      </c>
      <c r="E320">
        <v>18204</v>
      </c>
      <c r="F320">
        <v>1038</v>
      </c>
      <c r="G320">
        <v>6.2300000000000001E-2</v>
      </c>
      <c r="H320">
        <v>297.51</v>
      </c>
      <c r="I320" t="s">
        <v>21</v>
      </c>
      <c r="J320" s="11">
        <v>0</v>
      </c>
      <c r="K320">
        <v>57</v>
      </c>
      <c r="L320" t="s">
        <v>37</v>
      </c>
      <c r="N320">
        <v>3</v>
      </c>
    </row>
    <row r="321" spans="1:14">
      <c r="A321" t="s">
        <v>353</v>
      </c>
      <c r="B321">
        <v>9508</v>
      </c>
      <c r="C321">
        <v>154.65</v>
      </c>
      <c r="D321" t="s">
        <v>28</v>
      </c>
      <c r="E321">
        <v>68883</v>
      </c>
      <c r="F321">
        <v>9799</v>
      </c>
      <c r="H321">
        <v>494.83</v>
      </c>
      <c r="I321" t="s">
        <v>29</v>
      </c>
      <c r="J321" s="11">
        <v>0</v>
      </c>
      <c r="K321">
        <v>52</v>
      </c>
      <c r="L321" t="s">
        <v>37</v>
      </c>
      <c r="M321" t="s">
        <v>32</v>
      </c>
      <c r="N321">
        <v>2</v>
      </c>
    </row>
    <row r="322" spans="1:14">
      <c r="A322" t="s">
        <v>354</v>
      </c>
      <c r="B322">
        <v>3578</v>
      </c>
      <c r="C322">
        <v>164.95</v>
      </c>
      <c r="D322" t="s">
        <v>15</v>
      </c>
      <c r="E322">
        <v>51550</v>
      </c>
      <c r="F322">
        <v>3260</v>
      </c>
      <c r="G322">
        <v>0.1822</v>
      </c>
      <c r="H322">
        <v>177.47</v>
      </c>
      <c r="I322" t="s">
        <v>34</v>
      </c>
      <c r="K322">
        <v>42</v>
      </c>
      <c r="L322" t="s">
        <v>18</v>
      </c>
      <c r="M322" t="s">
        <v>38</v>
      </c>
      <c r="N322">
        <v>4</v>
      </c>
    </row>
    <row r="323" spans="1:14">
      <c r="A323" t="s">
        <v>355</v>
      </c>
      <c r="B323">
        <v>1956</v>
      </c>
      <c r="C323">
        <v>56.5</v>
      </c>
      <c r="D323" t="s">
        <v>25</v>
      </c>
      <c r="E323">
        <v>44820</v>
      </c>
      <c r="F323">
        <v>5827</v>
      </c>
      <c r="G323">
        <v>5.33E-2</v>
      </c>
      <c r="H323">
        <v>232.02</v>
      </c>
      <c r="I323" t="s">
        <v>26</v>
      </c>
      <c r="J323" s="11">
        <v>1</v>
      </c>
      <c r="K323">
        <v>43</v>
      </c>
      <c r="L323" t="s">
        <v>22</v>
      </c>
      <c r="M323" t="s">
        <v>45</v>
      </c>
      <c r="N323">
        <v>4</v>
      </c>
    </row>
    <row r="324" spans="1:14">
      <c r="A324" t="s">
        <v>356</v>
      </c>
      <c r="B324">
        <v>7093</v>
      </c>
      <c r="C324">
        <v>63.83</v>
      </c>
      <c r="D324" t="s">
        <v>40</v>
      </c>
      <c r="E324">
        <v>67810</v>
      </c>
      <c r="F324">
        <v>8177</v>
      </c>
      <c r="G324">
        <v>0.13900000000000001</v>
      </c>
      <c r="I324" t="s">
        <v>26</v>
      </c>
      <c r="K324">
        <v>41</v>
      </c>
      <c r="L324" t="s">
        <v>18</v>
      </c>
      <c r="M324" t="s">
        <v>32</v>
      </c>
    </row>
    <row r="325" spans="1:14">
      <c r="A325" t="s">
        <v>357</v>
      </c>
      <c r="B325">
        <v>6719</v>
      </c>
      <c r="C325">
        <v>88.15</v>
      </c>
      <c r="D325" t="s">
        <v>28</v>
      </c>
      <c r="E325">
        <v>9681</v>
      </c>
      <c r="F325">
        <v>5374</v>
      </c>
      <c r="G325">
        <v>0.18329999999999999</v>
      </c>
      <c r="H325">
        <v>303.36</v>
      </c>
      <c r="I325" t="s">
        <v>21</v>
      </c>
      <c r="J325" s="11">
        <v>0</v>
      </c>
      <c r="K325">
        <v>40</v>
      </c>
      <c r="L325" t="s">
        <v>22</v>
      </c>
      <c r="N325">
        <v>5</v>
      </c>
    </row>
    <row r="326" spans="1:14">
      <c r="A326" t="s">
        <v>358</v>
      </c>
      <c r="B326">
        <v>7452</v>
      </c>
      <c r="C326">
        <v>39.159999999999997</v>
      </c>
      <c r="D326" t="s">
        <v>32</v>
      </c>
      <c r="E326">
        <v>17565</v>
      </c>
      <c r="F326">
        <v>2663</v>
      </c>
      <c r="G326">
        <v>8.6900000000000005E-2</v>
      </c>
      <c r="H326">
        <v>456.9</v>
      </c>
      <c r="I326" t="s">
        <v>29</v>
      </c>
      <c r="K326">
        <v>26</v>
      </c>
      <c r="L326" t="s">
        <v>18</v>
      </c>
      <c r="M326" t="s">
        <v>23</v>
      </c>
      <c r="N326">
        <v>4</v>
      </c>
    </row>
    <row r="327" spans="1:14">
      <c r="A327" t="s">
        <v>359</v>
      </c>
      <c r="B327">
        <v>9578</v>
      </c>
      <c r="C327">
        <v>83.14</v>
      </c>
      <c r="D327" t="s">
        <v>32</v>
      </c>
      <c r="E327">
        <v>81158</v>
      </c>
      <c r="F327">
        <v>4013</v>
      </c>
      <c r="G327">
        <v>1.9300000000000001E-2</v>
      </c>
      <c r="H327">
        <v>252.23</v>
      </c>
      <c r="I327" t="s">
        <v>29</v>
      </c>
      <c r="L327" t="s">
        <v>31</v>
      </c>
      <c r="M327" t="s">
        <v>23</v>
      </c>
      <c r="N327">
        <v>3</v>
      </c>
    </row>
    <row r="328" spans="1:14">
      <c r="A328" t="s">
        <v>360</v>
      </c>
      <c r="B328">
        <v>7582</v>
      </c>
      <c r="C328">
        <v>51.25</v>
      </c>
      <c r="D328" t="s">
        <v>25</v>
      </c>
      <c r="E328">
        <v>94142</v>
      </c>
      <c r="F328">
        <v>2224</v>
      </c>
      <c r="G328">
        <v>8.2199999999999995E-2</v>
      </c>
      <c r="H328">
        <v>108.79</v>
      </c>
      <c r="I328" t="s">
        <v>17</v>
      </c>
      <c r="J328" s="11">
        <v>1</v>
      </c>
      <c r="L328" t="s">
        <v>22</v>
      </c>
      <c r="M328" t="s">
        <v>32</v>
      </c>
      <c r="N328">
        <v>1</v>
      </c>
    </row>
    <row r="329" spans="1:14">
      <c r="A329" t="s">
        <v>361</v>
      </c>
      <c r="B329">
        <v>2832</v>
      </c>
      <c r="C329">
        <v>74.52</v>
      </c>
      <c r="D329" t="s">
        <v>40</v>
      </c>
      <c r="E329">
        <v>81406</v>
      </c>
      <c r="F329">
        <v>9279</v>
      </c>
      <c r="G329">
        <v>0.1676</v>
      </c>
      <c r="H329">
        <v>201.81</v>
      </c>
      <c r="I329" t="s">
        <v>26</v>
      </c>
      <c r="K329">
        <v>44</v>
      </c>
      <c r="L329" t="s">
        <v>18</v>
      </c>
      <c r="M329" t="s">
        <v>23</v>
      </c>
      <c r="N329">
        <v>2</v>
      </c>
    </row>
    <row r="330" spans="1:14">
      <c r="A330" t="s">
        <v>362</v>
      </c>
      <c r="B330">
        <v>7614</v>
      </c>
      <c r="C330">
        <v>151.16</v>
      </c>
      <c r="D330" t="s">
        <v>45</v>
      </c>
      <c r="E330">
        <v>32687</v>
      </c>
      <c r="F330">
        <v>7968</v>
      </c>
      <c r="G330">
        <v>0.1343</v>
      </c>
      <c r="H330">
        <v>45.64</v>
      </c>
      <c r="I330" t="s">
        <v>29</v>
      </c>
      <c r="K330">
        <v>43</v>
      </c>
      <c r="L330" t="s">
        <v>18</v>
      </c>
      <c r="M330" t="s">
        <v>19</v>
      </c>
      <c r="N330">
        <v>4</v>
      </c>
    </row>
    <row r="331" spans="1:14">
      <c r="A331" t="s">
        <v>363</v>
      </c>
      <c r="B331">
        <v>4157</v>
      </c>
      <c r="C331">
        <v>95.54</v>
      </c>
      <c r="D331" t="s">
        <v>40</v>
      </c>
      <c r="E331">
        <v>72217</v>
      </c>
      <c r="F331">
        <v>7598</v>
      </c>
      <c r="G331">
        <v>0.18279999999999999</v>
      </c>
      <c r="H331">
        <v>482.01</v>
      </c>
      <c r="I331" t="s">
        <v>17</v>
      </c>
      <c r="J331" s="11">
        <v>0</v>
      </c>
      <c r="K331">
        <v>39</v>
      </c>
      <c r="L331" t="s">
        <v>18</v>
      </c>
      <c r="M331" t="s">
        <v>23</v>
      </c>
      <c r="N331">
        <v>4</v>
      </c>
    </row>
    <row r="332" spans="1:14">
      <c r="A332" t="s">
        <v>364</v>
      </c>
      <c r="B332">
        <v>5292</v>
      </c>
      <c r="C332">
        <v>182.28</v>
      </c>
      <c r="D332" t="s">
        <v>40</v>
      </c>
      <c r="E332">
        <v>27235</v>
      </c>
      <c r="F332">
        <v>3969</v>
      </c>
      <c r="G332">
        <v>0.1908</v>
      </c>
      <c r="H332">
        <v>266.49</v>
      </c>
      <c r="I332" t="s">
        <v>29</v>
      </c>
      <c r="K332">
        <v>43</v>
      </c>
      <c r="L332" t="s">
        <v>18</v>
      </c>
      <c r="M332" t="s">
        <v>19</v>
      </c>
      <c r="N332">
        <v>2</v>
      </c>
    </row>
    <row r="333" spans="1:14">
      <c r="A333" t="s">
        <v>365</v>
      </c>
      <c r="B333">
        <v>5666</v>
      </c>
      <c r="C333">
        <v>78.650000000000006</v>
      </c>
      <c r="D333" t="s">
        <v>25</v>
      </c>
      <c r="E333">
        <v>71836</v>
      </c>
      <c r="F333">
        <v>8976</v>
      </c>
      <c r="G333">
        <v>6.6100000000000006E-2</v>
      </c>
      <c r="I333" t="s">
        <v>34</v>
      </c>
      <c r="J333" s="11">
        <v>1</v>
      </c>
      <c r="K333">
        <v>54</v>
      </c>
      <c r="L333" t="s">
        <v>22</v>
      </c>
      <c r="M333" t="s">
        <v>38</v>
      </c>
      <c r="N333">
        <v>3</v>
      </c>
    </row>
    <row r="334" spans="1:14">
      <c r="A334" t="s">
        <v>366</v>
      </c>
      <c r="B334">
        <v>5962</v>
      </c>
      <c r="C334">
        <v>66.87</v>
      </c>
      <c r="D334" t="s">
        <v>28</v>
      </c>
      <c r="E334">
        <v>9606</v>
      </c>
      <c r="F334">
        <v>6264</v>
      </c>
      <c r="I334" t="s">
        <v>21</v>
      </c>
      <c r="J334" s="11">
        <v>1</v>
      </c>
      <c r="K334">
        <v>47</v>
      </c>
      <c r="L334" t="s">
        <v>22</v>
      </c>
      <c r="M334" t="s">
        <v>38</v>
      </c>
      <c r="N334">
        <v>4</v>
      </c>
    </row>
    <row r="335" spans="1:14">
      <c r="A335" t="s">
        <v>367</v>
      </c>
      <c r="B335">
        <v>3821</v>
      </c>
      <c r="C335">
        <v>147.43</v>
      </c>
      <c r="D335" t="s">
        <v>25</v>
      </c>
      <c r="E335">
        <v>68070</v>
      </c>
      <c r="F335">
        <v>4765</v>
      </c>
      <c r="G335">
        <v>6.9500000000000006E-2</v>
      </c>
      <c r="H335">
        <v>254.62</v>
      </c>
      <c r="I335" t="s">
        <v>34</v>
      </c>
      <c r="J335" s="11">
        <v>0</v>
      </c>
      <c r="K335">
        <v>61</v>
      </c>
      <c r="L335" t="s">
        <v>22</v>
      </c>
      <c r="N335">
        <v>1</v>
      </c>
    </row>
    <row r="336" spans="1:14">
      <c r="A336" t="s">
        <v>368</v>
      </c>
      <c r="B336">
        <v>7219</v>
      </c>
      <c r="C336">
        <v>13.71</v>
      </c>
      <c r="D336" t="s">
        <v>40</v>
      </c>
      <c r="E336">
        <v>87894</v>
      </c>
      <c r="F336">
        <v>3596</v>
      </c>
      <c r="G336">
        <v>8.6099999999999996E-2</v>
      </c>
      <c r="H336">
        <v>479.44</v>
      </c>
      <c r="I336" t="s">
        <v>26</v>
      </c>
      <c r="J336" s="11">
        <v>1</v>
      </c>
      <c r="K336">
        <v>42</v>
      </c>
      <c r="L336" t="s">
        <v>37</v>
      </c>
      <c r="M336" t="s">
        <v>19</v>
      </c>
      <c r="N336">
        <v>1</v>
      </c>
    </row>
    <row r="337" spans="1:14">
      <c r="A337" t="s">
        <v>369</v>
      </c>
      <c r="B337">
        <v>3448</v>
      </c>
      <c r="C337">
        <v>72.650000000000006</v>
      </c>
      <c r="D337" t="s">
        <v>40</v>
      </c>
      <c r="E337">
        <v>44027</v>
      </c>
      <c r="F337">
        <v>6101</v>
      </c>
      <c r="G337">
        <v>2.1700000000000001E-2</v>
      </c>
      <c r="H337">
        <v>406.76</v>
      </c>
      <c r="I337" t="s">
        <v>26</v>
      </c>
      <c r="J337" s="11">
        <v>0</v>
      </c>
      <c r="K337">
        <v>50</v>
      </c>
      <c r="L337" t="s">
        <v>22</v>
      </c>
      <c r="N337">
        <v>5</v>
      </c>
    </row>
    <row r="338" spans="1:14">
      <c r="A338" t="s">
        <v>370</v>
      </c>
      <c r="B338">
        <v>8831</v>
      </c>
      <c r="C338">
        <v>145.31</v>
      </c>
      <c r="D338" t="s">
        <v>15</v>
      </c>
      <c r="E338">
        <v>28784</v>
      </c>
      <c r="F338">
        <v>3268</v>
      </c>
      <c r="G338">
        <v>0.13270000000000001</v>
      </c>
      <c r="H338">
        <v>184.82</v>
      </c>
      <c r="I338" t="s">
        <v>49</v>
      </c>
      <c r="K338">
        <v>38</v>
      </c>
      <c r="L338" t="s">
        <v>18</v>
      </c>
      <c r="M338" t="s">
        <v>23</v>
      </c>
      <c r="N338">
        <v>2</v>
      </c>
    </row>
    <row r="339" spans="1:14">
      <c r="A339" t="s">
        <v>371</v>
      </c>
      <c r="B339">
        <v>7792</v>
      </c>
      <c r="D339" t="s">
        <v>40</v>
      </c>
      <c r="E339">
        <v>98483</v>
      </c>
      <c r="F339">
        <v>3426</v>
      </c>
      <c r="G339">
        <v>0.16850000000000001</v>
      </c>
      <c r="I339" t="s">
        <v>29</v>
      </c>
      <c r="J339" s="11">
        <v>0</v>
      </c>
      <c r="K339">
        <v>21</v>
      </c>
      <c r="L339" t="s">
        <v>18</v>
      </c>
      <c r="M339" t="s">
        <v>19</v>
      </c>
      <c r="N339">
        <v>1</v>
      </c>
    </row>
    <row r="340" spans="1:14">
      <c r="A340" t="s">
        <v>372</v>
      </c>
      <c r="B340">
        <v>6077</v>
      </c>
      <c r="C340">
        <v>184.04</v>
      </c>
      <c r="D340" t="s">
        <v>40</v>
      </c>
      <c r="E340">
        <v>41957</v>
      </c>
      <c r="F340">
        <v>5045</v>
      </c>
      <c r="G340">
        <v>0.1532</v>
      </c>
      <c r="H340">
        <v>360.06</v>
      </c>
      <c r="I340" t="s">
        <v>34</v>
      </c>
      <c r="K340">
        <v>48</v>
      </c>
      <c r="L340" t="s">
        <v>18</v>
      </c>
      <c r="N340">
        <v>2</v>
      </c>
    </row>
    <row r="341" spans="1:14">
      <c r="A341" t="s">
        <v>373</v>
      </c>
      <c r="B341">
        <v>4265</v>
      </c>
      <c r="C341">
        <v>199.34</v>
      </c>
      <c r="D341" t="s">
        <v>28</v>
      </c>
      <c r="E341">
        <v>94649</v>
      </c>
      <c r="F341">
        <v>9809</v>
      </c>
      <c r="G341">
        <v>0.15590000000000001</v>
      </c>
      <c r="H341">
        <v>413.91</v>
      </c>
      <c r="I341" t="s">
        <v>17</v>
      </c>
      <c r="K341">
        <v>38</v>
      </c>
      <c r="L341" t="s">
        <v>22</v>
      </c>
      <c r="M341" t="s">
        <v>38</v>
      </c>
      <c r="N341">
        <v>3</v>
      </c>
    </row>
    <row r="342" spans="1:14">
      <c r="A342" t="s">
        <v>374</v>
      </c>
      <c r="B342">
        <v>5905</v>
      </c>
      <c r="C342">
        <v>110.01</v>
      </c>
      <c r="D342" t="s">
        <v>45</v>
      </c>
      <c r="E342">
        <v>62928</v>
      </c>
      <c r="F342">
        <v>5463</v>
      </c>
      <c r="G342">
        <v>0.1825</v>
      </c>
      <c r="H342">
        <v>186.67</v>
      </c>
      <c r="I342" t="s">
        <v>34</v>
      </c>
      <c r="J342" s="11">
        <v>0</v>
      </c>
      <c r="L342" t="s">
        <v>22</v>
      </c>
      <c r="M342" t="s">
        <v>38</v>
      </c>
      <c r="N342">
        <v>5</v>
      </c>
    </row>
    <row r="343" spans="1:14">
      <c r="A343" t="s">
        <v>375</v>
      </c>
      <c r="B343">
        <v>7546</v>
      </c>
      <c r="C343">
        <v>128.94</v>
      </c>
      <c r="D343" t="s">
        <v>32</v>
      </c>
      <c r="E343">
        <v>25551</v>
      </c>
      <c r="F343">
        <v>4932</v>
      </c>
      <c r="G343">
        <v>5.8200000000000002E-2</v>
      </c>
      <c r="H343">
        <v>249.19</v>
      </c>
      <c r="I343" t="s">
        <v>34</v>
      </c>
      <c r="J343" s="11">
        <v>1</v>
      </c>
      <c r="L343" t="s">
        <v>18</v>
      </c>
      <c r="M343" t="s">
        <v>32</v>
      </c>
    </row>
    <row r="344" spans="1:14">
      <c r="A344" t="s">
        <v>376</v>
      </c>
      <c r="B344">
        <v>1231</v>
      </c>
      <c r="D344" t="s">
        <v>28</v>
      </c>
      <c r="E344">
        <v>51130</v>
      </c>
      <c r="F344">
        <v>6790</v>
      </c>
      <c r="G344">
        <v>6.9900000000000004E-2</v>
      </c>
      <c r="H344">
        <v>331.17</v>
      </c>
      <c r="I344" t="s">
        <v>34</v>
      </c>
      <c r="K344">
        <v>53</v>
      </c>
      <c r="L344" t="s">
        <v>18</v>
      </c>
      <c r="N344">
        <v>2</v>
      </c>
    </row>
    <row r="345" spans="1:14">
      <c r="A345" t="s">
        <v>377</v>
      </c>
      <c r="B345">
        <v>9974</v>
      </c>
      <c r="D345" t="s">
        <v>45</v>
      </c>
      <c r="E345">
        <v>96209</v>
      </c>
      <c r="F345">
        <v>5182</v>
      </c>
      <c r="G345">
        <v>3.9E-2</v>
      </c>
      <c r="H345">
        <v>473.91</v>
      </c>
      <c r="I345" t="s">
        <v>26</v>
      </c>
      <c r="K345">
        <v>61</v>
      </c>
      <c r="L345" t="s">
        <v>22</v>
      </c>
      <c r="M345" t="s">
        <v>32</v>
      </c>
      <c r="N345">
        <v>1</v>
      </c>
    </row>
    <row r="346" spans="1:14">
      <c r="A346" t="s">
        <v>378</v>
      </c>
      <c r="B346">
        <v>7186</v>
      </c>
      <c r="C346">
        <v>18.5</v>
      </c>
      <c r="D346" t="s">
        <v>45</v>
      </c>
      <c r="E346">
        <v>73039</v>
      </c>
      <c r="F346">
        <v>9343</v>
      </c>
      <c r="G346">
        <v>8.5800000000000001E-2</v>
      </c>
      <c r="H346">
        <v>390.59</v>
      </c>
      <c r="I346" t="s">
        <v>21</v>
      </c>
      <c r="K346">
        <v>48</v>
      </c>
      <c r="L346" t="s">
        <v>31</v>
      </c>
      <c r="M346" t="s">
        <v>19</v>
      </c>
      <c r="N346">
        <v>1</v>
      </c>
    </row>
    <row r="347" spans="1:14">
      <c r="A347" t="s">
        <v>379</v>
      </c>
      <c r="B347">
        <v>9905</v>
      </c>
      <c r="C347">
        <v>31.34</v>
      </c>
      <c r="D347" t="s">
        <v>28</v>
      </c>
      <c r="E347">
        <v>40613</v>
      </c>
      <c r="F347">
        <v>7066</v>
      </c>
      <c r="G347">
        <v>0.17080000000000001</v>
      </c>
      <c r="I347" t="s">
        <v>21</v>
      </c>
      <c r="J347" s="11">
        <v>1</v>
      </c>
      <c r="K347">
        <v>29</v>
      </c>
      <c r="L347" t="s">
        <v>31</v>
      </c>
      <c r="M347" t="s">
        <v>38</v>
      </c>
      <c r="N347">
        <v>5</v>
      </c>
    </row>
    <row r="348" spans="1:14">
      <c r="A348" t="s">
        <v>380</v>
      </c>
      <c r="B348">
        <v>5731</v>
      </c>
      <c r="C348">
        <v>77.709999999999994</v>
      </c>
      <c r="D348" t="s">
        <v>25</v>
      </c>
      <c r="E348">
        <v>46790</v>
      </c>
      <c r="F348">
        <v>1921</v>
      </c>
      <c r="G348">
        <v>0.12709999999999999</v>
      </c>
      <c r="H348">
        <v>147.69999999999999</v>
      </c>
      <c r="I348" t="s">
        <v>17</v>
      </c>
      <c r="K348">
        <v>60</v>
      </c>
      <c r="L348" t="s">
        <v>37</v>
      </c>
      <c r="N348">
        <v>5</v>
      </c>
    </row>
    <row r="349" spans="1:14">
      <c r="A349" t="s">
        <v>381</v>
      </c>
      <c r="B349">
        <v>9029</v>
      </c>
      <c r="C349">
        <v>32.590000000000003</v>
      </c>
      <c r="D349" t="s">
        <v>28</v>
      </c>
      <c r="E349">
        <v>73405</v>
      </c>
      <c r="F349">
        <v>9738</v>
      </c>
      <c r="G349">
        <v>9.0499999999999997E-2</v>
      </c>
      <c r="H349">
        <v>16.89</v>
      </c>
      <c r="I349" t="s">
        <v>21</v>
      </c>
      <c r="K349">
        <v>55</v>
      </c>
      <c r="L349" t="s">
        <v>31</v>
      </c>
    </row>
    <row r="350" spans="1:14">
      <c r="A350" t="s">
        <v>382</v>
      </c>
      <c r="B350">
        <v>2240</v>
      </c>
      <c r="C350">
        <v>134.63999999999999</v>
      </c>
      <c r="D350" t="s">
        <v>45</v>
      </c>
      <c r="E350">
        <v>48877</v>
      </c>
      <c r="F350">
        <v>9207</v>
      </c>
      <c r="G350">
        <v>0.159</v>
      </c>
      <c r="H350">
        <v>24.98</v>
      </c>
      <c r="I350" t="s">
        <v>17</v>
      </c>
      <c r="J350" s="11">
        <v>0</v>
      </c>
      <c r="K350">
        <v>24</v>
      </c>
      <c r="L350" t="s">
        <v>31</v>
      </c>
      <c r="N350">
        <v>4</v>
      </c>
    </row>
    <row r="351" spans="1:14">
      <c r="A351" t="s">
        <v>383</v>
      </c>
      <c r="B351">
        <v>2520</v>
      </c>
      <c r="C351">
        <v>15.28</v>
      </c>
      <c r="D351" t="s">
        <v>40</v>
      </c>
      <c r="E351">
        <v>69111</v>
      </c>
      <c r="F351">
        <v>3287</v>
      </c>
      <c r="G351">
        <v>2.1100000000000001E-2</v>
      </c>
      <c r="H351">
        <v>292.93</v>
      </c>
      <c r="I351" t="s">
        <v>21</v>
      </c>
      <c r="J351" s="11">
        <v>1</v>
      </c>
      <c r="K351">
        <v>49</v>
      </c>
      <c r="L351" t="s">
        <v>18</v>
      </c>
      <c r="M351" t="s">
        <v>19</v>
      </c>
      <c r="N351">
        <v>2</v>
      </c>
    </row>
    <row r="352" spans="1:14">
      <c r="A352" t="s">
        <v>384</v>
      </c>
      <c r="B352">
        <v>1577</v>
      </c>
      <c r="C352">
        <v>150.52000000000001</v>
      </c>
      <c r="D352" t="s">
        <v>45</v>
      </c>
      <c r="E352">
        <v>17537</v>
      </c>
      <c r="F352">
        <v>6534</v>
      </c>
      <c r="G352">
        <v>1.1299999999999999E-2</v>
      </c>
      <c r="H352">
        <v>107.77</v>
      </c>
      <c r="I352" t="s">
        <v>34</v>
      </c>
      <c r="J352" s="11">
        <v>1</v>
      </c>
      <c r="K352">
        <v>18</v>
      </c>
      <c r="L352" t="s">
        <v>37</v>
      </c>
      <c r="M352" t="s">
        <v>45</v>
      </c>
    </row>
    <row r="353" spans="1:14">
      <c r="A353" t="s">
        <v>385</v>
      </c>
      <c r="B353">
        <v>9721</v>
      </c>
      <c r="C353">
        <v>128.22</v>
      </c>
      <c r="D353" t="s">
        <v>28</v>
      </c>
      <c r="E353">
        <v>13446</v>
      </c>
      <c r="F353">
        <v>4911</v>
      </c>
      <c r="G353">
        <v>0.12820000000000001</v>
      </c>
      <c r="H353">
        <v>122.12</v>
      </c>
      <c r="I353" t="s">
        <v>29</v>
      </c>
      <c r="K353">
        <v>43</v>
      </c>
      <c r="L353" t="s">
        <v>31</v>
      </c>
      <c r="M353" t="s">
        <v>32</v>
      </c>
      <c r="N353">
        <v>4</v>
      </c>
    </row>
    <row r="354" spans="1:14">
      <c r="A354" t="s">
        <v>386</v>
      </c>
      <c r="B354">
        <v>5291</v>
      </c>
      <c r="C354">
        <v>170.68</v>
      </c>
      <c r="D354" t="s">
        <v>28</v>
      </c>
      <c r="E354">
        <v>34670</v>
      </c>
      <c r="F354">
        <v>1583</v>
      </c>
      <c r="G354">
        <v>3.2800000000000003E-2</v>
      </c>
      <c r="H354">
        <v>429.01</v>
      </c>
      <c r="I354" t="s">
        <v>29</v>
      </c>
      <c r="K354">
        <v>30</v>
      </c>
      <c r="L354" t="s">
        <v>31</v>
      </c>
      <c r="M354" t="s">
        <v>38</v>
      </c>
      <c r="N354">
        <v>4</v>
      </c>
    </row>
    <row r="355" spans="1:14">
      <c r="A355" t="s">
        <v>387</v>
      </c>
      <c r="B355">
        <v>3471</v>
      </c>
      <c r="C355">
        <v>99.93</v>
      </c>
      <c r="D355" t="s">
        <v>28</v>
      </c>
      <c r="E355">
        <v>69442</v>
      </c>
      <c r="F355">
        <v>8548</v>
      </c>
      <c r="G355">
        <v>1.84E-2</v>
      </c>
      <c r="H355">
        <v>122.92</v>
      </c>
      <c r="I355" t="s">
        <v>17</v>
      </c>
      <c r="J355" s="11">
        <v>1</v>
      </c>
      <c r="K355">
        <v>56</v>
      </c>
      <c r="L355" t="s">
        <v>18</v>
      </c>
      <c r="M355" t="s">
        <v>32</v>
      </c>
      <c r="N355">
        <v>4</v>
      </c>
    </row>
    <row r="356" spans="1:14">
      <c r="A356" t="s">
        <v>388</v>
      </c>
      <c r="B356">
        <v>4000</v>
      </c>
      <c r="C356">
        <v>168.13</v>
      </c>
      <c r="D356" t="s">
        <v>40</v>
      </c>
      <c r="E356">
        <v>56434</v>
      </c>
      <c r="F356">
        <v>4744</v>
      </c>
      <c r="H356">
        <v>419.58</v>
      </c>
      <c r="I356" t="s">
        <v>17</v>
      </c>
      <c r="K356">
        <v>24</v>
      </c>
      <c r="L356" t="s">
        <v>37</v>
      </c>
    </row>
    <row r="357" spans="1:14">
      <c r="A357" t="s">
        <v>389</v>
      </c>
      <c r="B357">
        <v>6266</v>
      </c>
      <c r="C357">
        <v>16.57</v>
      </c>
      <c r="D357" t="s">
        <v>40</v>
      </c>
      <c r="E357">
        <v>14911</v>
      </c>
      <c r="F357">
        <v>6426</v>
      </c>
      <c r="H357">
        <v>251.11</v>
      </c>
      <c r="I357" t="s">
        <v>34</v>
      </c>
      <c r="K357">
        <v>21</v>
      </c>
      <c r="L357" t="s">
        <v>18</v>
      </c>
      <c r="M357" t="s">
        <v>23</v>
      </c>
      <c r="N357">
        <v>3</v>
      </c>
    </row>
    <row r="358" spans="1:14">
      <c r="A358" t="s">
        <v>390</v>
      </c>
      <c r="B358">
        <v>9368</v>
      </c>
      <c r="D358" t="s">
        <v>28</v>
      </c>
      <c r="E358">
        <v>87201</v>
      </c>
      <c r="F358">
        <v>196</v>
      </c>
      <c r="G358">
        <v>9.11E-2</v>
      </c>
      <c r="H358">
        <v>17.43</v>
      </c>
      <c r="I358" t="s">
        <v>26</v>
      </c>
      <c r="J358" s="11">
        <v>1</v>
      </c>
      <c r="K358">
        <v>49</v>
      </c>
      <c r="L358" t="s">
        <v>31</v>
      </c>
      <c r="N358">
        <v>3</v>
      </c>
    </row>
    <row r="359" spans="1:14">
      <c r="A359" t="s">
        <v>391</v>
      </c>
      <c r="B359">
        <v>1425</v>
      </c>
      <c r="C359">
        <v>42.92</v>
      </c>
      <c r="D359" t="s">
        <v>25</v>
      </c>
      <c r="E359">
        <v>51522</v>
      </c>
      <c r="F359">
        <v>7038</v>
      </c>
      <c r="G359">
        <v>0.10539999999999999</v>
      </c>
      <c r="H359">
        <v>415.35</v>
      </c>
      <c r="I359" t="s">
        <v>26</v>
      </c>
      <c r="J359" s="11">
        <v>1</v>
      </c>
      <c r="K359">
        <v>46</v>
      </c>
      <c r="L359" t="s">
        <v>22</v>
      </c>
      <c r="M359" t="s">
        <v>38</v>
      </c>
      <c r="N359">
        <v>1</v>
      </c>
    </row>
    <row r="360" spans="1:14">
      <c r="A360" t="s">
        <v>392</v>
      </c>
      <c r="B360">
        <v>6448</v>
      </c>
      <c r="C360">
        <v>133.76</v>
      </c>
      <c r="D360" t="s">
        <v>25</v>
      </c>
      <c r="E360">
        <v>43942</v>
      </c>
      <c r="F360">
        <v>5942</v>
      </c>
      <c r="G360">
        <v>0.18060000000000001</v>
      </c>
      <c r="H360">
        <v>11.78</v>
      </c>
      <c r="I360" t="s">
        <v>21</v>
      </c>
      <c r="J360" s="11">
        <v>0</v>
      </c>
      <c r="K360">
        <v>40</v>
      </c>
      <c r="L360" t="s">
        <v>37</v>
      </c>
      <c r="M360" t="s">
        <v>23</v>
      </c>
      <c r="N360">
        <v>2</v>
      </c>
    </row>
    <row r="361" spans="1:14">
      <c r="A361" t="s">
        <v>393</v>
      </c>
      <c r="B361">
        <v>2057</v>
      </c>
      <c r="C361">
        <v>112.03</v>
      </c>
      <c r="D361" t="s">
        <v>40</v>
      </c>
      <c r="E361">
        <v>28775</v>
      </c>
      <c r="F361">
        <v>7987</v>
      </c>
      <c r="G361">
        <v>0.12180000000000001</v>
      </c>
      <c r="H361">
        <v>454.69</v>
      </c>
      <c r="I361" t="s">
        <v>26</v>
      </c>
      <c r="K361">
        <v>36</v>
      </c>
      <c r="L361" t="s">
        <v>37</v>
      </c>
      <c r="M361" t="s">
        <v>23</v>
      </c>
      <c r="N361">
        <v>3</v>
      </c>
    </row>
    <row r="362" spans="1:14">
      <c r="A362" t="s">
        <v>394</v>
      </c>
      <c r="B362">
        <v>1056</v>
      </c>
      <c r="C362">
        <v>54.79</v>
      </c>
      <c r="D362" t="s">
        <v>45</v>
      </c>
      <c r="E362">
        <v>5249</v>
      </c>
      <c r="F362">
        <v>4235</v>
      </c>
      <c r="G362">
        <v>0.18579999999999999</v>
      </c>
      <c r="H362">
        <v>392.54</v>
      </c>
      <c r="I362" t="s">
        <v>17</v>
      </c>
      <c r="J362" s="11">
        <v>1</v>
      </c>
      <c r="K362">
        <v>33</v>
      </c>
      <c r="L362" t="s">
        <v>22</v>
      </c>
      <c r="M362" t="s">
        <v>38</v>
      </c>
      <c r="N362">
        <v>5</v>
      </c>
    </row>
    <row r="363" spans="1:14">
      <c r="A363" t="s">
        <v>395</v>
      </c>
      <c r="B363">
        <v>2101</v>
      </c>
      <c r="C363">
        <v>173.55</v>
      </c>
      <c r="D363" t="s">
        <v>32</v>
      </c>
      <c r="E363">
        <v>48420</v>
      </c>
      <c r="F363">
        <v>1471</v>
      </c>
      <c r="G363">
        <v>0.11940000000000001</v>
      </c>
      <c r="H363">
        <v>245.05</v>
      </c>
      <c r="I363" t="s">
        <v>34</v>
      </c>
      <c r="J363" s="11">
        <v>0</v>
      </c>
      <c r="K363">
        <v>58</v>
      </c>
      <c r="L363" t="s">
        <v>37</v>
      </c>
      <c r="M363" t="s">
        <v>19</v>
      </c>
    </row>
    <row r="364" spans="1:14">
      <c r="A364" t="s">
        <v>396</v>
      </c>
      <c r="B364">
        <v>8254</v>
      </c>
      <c r="C364">
        <v>41.74</v>
      </c>
      <c r="D364" t="s">
        <v>45</v>
      </c>
      <c r="E364">
        <v>22956</v>
      </c>
      <c r="F364">
        <v>9637</v>
      </c>
      <c r="H364">
        <v>136.81</v>
      </c>
      <c r="I364" t="s">
        <v>29</v>
      </c>
      <c r="J364" s="11">
        <v>1</v>
      </c>
      <c r="K364">
        <v>64</v>
      </c>
      <c r="L364" t="s">
        <v>31</v>
      </c>
      <c r="M364" t="s">
        <v>23</v>
      </c>
      <c r="N364">
        <v>3</v>
      </c>
    </row>
    <row r="365" spans="1:14">
      <c r="A365" t="s">
        <v>397</v>
      </c>
      <c r="B365">
        <v>3539</v>
      </c>
      <c r="C365">
        <v>17.66</v>
      </c>
      <c r="D365" t="s">
        <v>15</v>
      </c>
      <c r="E365">
        <v>70645</v>
      </c>
      <c r="F365">
        <v>3375</v>
      </c>
      <c r="G365">
        <v>0.1439</v>
      </c>
      <c r="H365">
        <v>54.52</v>
      </c>
      <c r="I365" t="s">
        <v>49</v>
      </c>
      <c r="K365">
        <v>43</v>
      </c>
      <c r="L365" t="s">
        <v>37</v>
      </c>
      <c r="M365" t="s">
        <v>32</v>
      </c>
    </row>
    <row r="366" spans="1:14">
      <c r="A366" t="s">
        <v>398</v>
      </c>
      <c r="B366">
        <v>7857</v>
      </c>
      <c r="C366">
        <v>102.1</v>
      </c>
      <c r="D366" t="s">
        <v>25</v>
      </c>
      <c r="E366">
        <v>65884</v>
      </c>
      <c r="F366">
        <v>8511</v>
      </c>
      <c r="H366">
        <v>111.78</v>
      </c>
      <c r="I366" t="s">
        <v>49</v>
      </c>
      <c r="J366" s="11">
        <v>1</v>
      </c>
      <c r="K366">
        <v>36</v>
      </c>
      <c r="L366" t="s">
        <v>22</v>
      </c>
      <c r="M366" t="s">
        <v>38</v>
      </c>
      <c r="N366">
        <v>3</v>
      </c>
    </row>
    <row r="367" spans="1:14">
      <c r="A367" t="s">
        <v>399</v>
      </c>
      <c r="B367">
        <v>2152</v>
      </c>
      <c r="C367">
        <v>18.59</v>
      </c>
      <c r="D367" t="s">
        <v>25</v>
      </c>
      <c r="E367">
        <v>21747</v>
      </c>
      <c r="F367">
        <v>5484</v>
      </c>
      <c r="G367">
        <v>0.1595</v>
      </c>
      <c r="I367" t="s">
        <v>26</v>
      </c>
      <c r="K367">
        <v>28</v>
      </c>
      <c r="L367" t="s">
        <v>18</v>
      </c>
      <c r="M367" t="s">
        <v>19</v>
      </c>
    </row>
    <row r="368" spans="1:14">
      <c r="A368" t="s">
        <v>400</v>
      </c>
      <c r="B368">
        <v>4915</v>
      </c>
      <c r="C368">
        <v>7.82</v>
      </c>
      <c r="D368" t="s">
        <v>32</v>
      </c>
      <c r="E368">
        <v>26067</v>
      </c>
      <c r="F368">
        <v>1748</v>
      </c>
      <c r="G368">
        <v>9.9000000000000005E-2</v>
      </c>
      <c r="H368">
        <v>304.19</v>
      </c>
      <c r="I368" t="s">
        <v>29</v>
      </c>
      <c r="J368" s="11">
        <v>0</v>
      </c>
      <c r="K368">
        <v>19</v>
      </c>
      <c r="L368" t="s">
        <v>22</v>
      </c>
      <c r="M368" t="s">
        <v>19</v>
      </c>
      <c r="N368">
        <v>2</v>
      </c>
    </row>
    <row r="369" spans="1:14">
      <c r="A369" t="s">
        <v>401</v>
      </c>
      <c r="B369">
        <v>7484</v>
      </c>
      <c r="C369">
        <v>182.74</v>
      </c>
      <c r="D369" t="s">
        <v>32</v>
      </c>
      <c r="E369">
        <v>54682</v>
      </c>
      <c r="F369">
        <v>571</v>
      </c>
      <c r="G369">
        <v>0.19520000000000001</v>
      </c>
      <c r="H369">
        <v>218.09</v>
      </c>
      <c r="I369" t="s">
        <v>17</v>
      </c>
      <c r="J369" s="11">
        <v>1</v>
      </c>
      <c r="K369">
        <v>49</v>
      </c>
      <c r="L369" t="s">
        <v>18</v>
      </c>
      <c r="M369" t="s">
        <v>19</v>
      </c>
      <c r="N369">
        <v>1</v>
      </c>
    </row>
    <row r="370" spans="1:14">
      <c r="A370" t="s">
        <v>402</v>
      </c>
      <c r="B370">
        <v>3230</v>
      </c>
      <c r="C370">
        <v>137.57</v>
      </c>
      <c r="D370" t="s">
        <v>25</v>
      </c>
      <c r="E370">
        <v>54388</v>
      </c>
      <c r="F370">
        <v>4741</v>
      </c>
      <c r="G370">
        <v>7.2599999999999998E-2</v>
      </c>
      <c r="H370">
        <v>171.75</v>
      </c>
      <c r="I370" t="s">
        <v>49</v>
      </c>
      <c r="K370">
        <v>28</v>
      </c>
      <c r="L370" t="s">
        <v>18</v>
      </c>
      <c r="M370" t="s">
        <v>19</v>
      </c>
      <c r="N370">
        <v>1</v>
      </c>
    </row>
    <row r="371" spans="1:14">
      <c r="A371" t="s">
        <v>403</v>
      </c>
      <c r="B371">
        <v>9313</v>
      </c>
      <c r="D371" t="s">
        <v>28</v>
      </c>
      <c r="E371">
        <v>73521</v>
      </c>
      <c r="F371">
        <v>976</v>
      </c>
      <c r="G371">
        <v>0.1729</v>
      </c>
      <c r="H371">
        <v>263.08</v>
      </c>
      <c r="I371" t="s">
        <v>29</v>
      </c>
      <c r="J371" s="11">
        <v>0</v>
      </c>
      <c r="K371">
        <v>61</v>
      </c>
      <c r="L371" t="s">
        <v>31</v>
      </c>
      <c r="M371" t="s">
        <v>38</v>
      </c>
      <c r="N371">
        <v>2</v>
      </c>
    </row>
    <row r="372" spans="1:14">
      <c r="A372" t="s">
        <v>404</v>
      </c>
      <c r="B372">
        <v>1704</v>
      </c>
      <c r="D372" t="s">
        <v>32</v>
      </c>
      <c r="E372">
        <v>75468</v>
      </c>
      <c r="F372">
        <v>4391</v>
      </c>
      <c r="I372" t="s">
        <v>26</v>
      </c>
      <c r="J372" s="11">
        <v>0</v>
      </c>
      <c r="K372">
        <v>34</v>
      </c>
      <c r="L372" t="s">
        <v>37</v>
      </c>
      <c r="M372" t="s">
        <v>19</v>
      </c>
      <c r="N372">
        <v>4</v>
      </c>
    </row>
    <row r="373" spans="1:14">
      <c r="A373" t="s">
        <v>405</v>
      </c>
      <c r="B373">
        <v>1014</v>
      </c>
      <c r="C373">
        <v>108.36</v>
      </c>
      <c r="D373" t="s">
        <v>45</v>
      </c>
      <c r="E373">
        <v>27930</v>
      </c>
      <c r="F373">
        <v>118</v>
      </c>
      <c r="G373">
        <v>0.1361</v>
      </c>
      <c r="H373">
        <v>87.98</v>
      </c>
      <c r="I373" t="s">
        <v>34</v>
      </c>
      <c r="K373">
        <v>57</v>
      </c>
      <c r="L373" t="s">
        <v>22</v>
      </c>
      <c r="M373" t="s">
        <v>32</v>
      </c>
      <c r="N373">
        <v>4</v>
      </c>
    </row>
    <row r="374" spans="1:14">
      <c r="A374" t="s">
        <v>406</v>
      </c>
      <c r="B374">
        <v>8909</v>
      </c>
      <c r="C374">
        <v>79.03</v>
      </c>
      <c r="D374" t="s">
        <v>15</v>
      </c>
      <c r="E374">
        <v>63834</v>
      </c>
      <c r="F374">
        <v>6724</v>
      </c>
      <c r="G374">
        <v>2.41E-2</v>
      </c>
      <c r="H374">
        <v>451.2</v>
      </c>
      <c r="I374" t="s">
        <v>34</v>
      </c>
      <c r="J374" s="11">
        <v>0</v>
      </c>
      <c r="K374">
        <v>48</v>
      </c>
      <c r="L374" t="s">
        <v>18</v>
      </c>
      <c r="M374" t="s">
        <v>23</v>
      </c>
    </row>
    <row r="375" spans="1:14">
      <c r="A375" t="s">
        <v>407</v>
      </c>
      <c r="B375">
        <v>4276</v>
      </c>
      <c r="C375">
        <v>23.01</v>
      </c>
      <c r="D375" t="s">
        <v>45</v>
      </c>
      <c r="E375">
        <v>27560</v>
      </c>
      <c r="F375">
        <v>5845</v>
      </c>
      <c r="G375">
        <v>0.1673</v>
      </c>
      <c r="H375">
        <v>390.58</v>
      </c>
      <c r="I375" t="s">
        <v>21</v>
      </c>
      <c r="J375" s="11">
        <v>0</v>
      </c>
      <c r="K375">
        <v>64</v>
      </c>
      <c r="L375" t="s">
        <v>37</v>
      </c>
      <c r="M375" t="s">
        <v>23</v>
      </c>
      <c r="N375">
        <v>1</v>
      </c>
    </row>
    <row r="376" spans="1:14">
      <c r="A376" t="s">
        <v>408</v>
      </c>
      <c r="B376">
        <v>2386</v>
      </c>
      <c r="C376">
        <v>193.17</v>
      </c>
      <c r="D376" t="s">
        <v>15</v>
      </c>
      <c r="E376">
        <v>79973</v>
      </c>
      <c r="F376">
        <v>7140</v>
      </c>
      <c r="G376">
        <v>0.14410000000000001</v>
      </c>
      <c r="H376">
        <v>86.86</v>
      </c>
      <c r="I376" t="s">
        <v>26</v>
      </c>
      <c r="J376" s="11">
        <v>1</v>
      </c>
      <c r="L376" t="s">
        <v>22</v>
      </c>
      <c r="M376" t="s">
        <v>32</v>
      </c>
      <c r="N376">
        <v>5</v>
      </c>
    </row>
    <row r="377" spans="1:14">
      <c r="A377" t="s">
        <v>409</v>
      </c>
      <c r="B377">
        <v>3384</v>
      </c>
      <c r="C377">
        <v>46.79</v>
      </c>
      <c r="D377" t="s">
        <v>15</v>
      </c>
      <c r="E377">
        <v>84890</v>
      </c>
      <c r="F377">
        <v>1739</v>
      </c>
      <c r="G377">
        <v>0.1971</v>
      </c>
      <c r="I377" t="s">
        <v>26</v>
      </c>
      <c r="J377" s="11">
        <v>0</v>
      </c>
      <c r="K377">
        <v>44</v>
      </c>
      <c r="L377" t="s">
        <v>22</v>
      </c>
      <c r="M377" t="s">
        <v>38</v>
      </c>
      <c r="N377">
        <v>1</v>
      </c>
    </row>
    <row r="378" spans="1:14">
      <c r="A378" t="s">
        <v>410</v>
      </c>
      <c r="B378">
        <v>6880</v>
      </c>
      <c r="D378" t="s">
        <v>25</v>
      </c>
      <c r="E378">
        <v>18691</v>
      </c>
      <c r="F378">
        <v>2182</v>
      </c>
      <c r="G378">
        <v>0.19159999999999999</v>
      </c>
      <c r="H378">
        <v>307.55</v>
      </c>
      <c r="I378" t="s">
        <v>17</v>
      </c>
      <c r="K378">
        <v>61</v>
      </c>
      <c r="L378" t="s">
        <v>37</v>
      </c>
    </row>
    <row r="379" spans="1:14">
      <c r="A379" t="s">
        <v>411</v>
      </c>
      <c r="B379">
        <v>6097</v>
      </c>
      <c r="C379">
        <v>192.82</v>
      </c>
      <c r="D379" t="s">
        <v>40</v>
      </c>
      <c r="E379">
        <v>53532</v>
      </c>
      <c r="F379">
        <v>8407</v>
      </c>
      <c r="G379">
        <v>6.4799999999999996E-2</v>
      </c>
      <c r="H379">
        <v>267.19</v>
      </c>
      <c r="I379" t="s">
        <v>17</v>
      </c>
      <c r="K379">
        <v>57</v>
      </c>
      <c r="L379" t="s">
        <v>18</v>
      </c>
      <c r="M379" t="s">
        <v>23</v>
      </c>
      <c r="N379">
        <v>4</v>
      </c>
    </row>
    <row r="380" spans="1:14">
      <c r="A380" t="s">
        <v>412</v>
      </c>
      <c r="B380">
        <v>8314</v>
      </c>
      <c r="C380">
        <v>96.28</v>
      </c>
      <c r="D380" t="s">
        <v>28</v>
      </c>
      <c r="E380">
        <v>25902</v>
      </c>
      <c r="F380">
        <v>5054</v>
      </c>
      <c r="G380">
        <v>2.4E-2</v>
      </c>
      <c r="H380">
        <v>439.03</v>
      </c>
      <c r="I380" t="s">
        <v>34</v>
      </c>
      <c r="J380" s="11">
        <v>0</v>
      </c>
      <c r="K380">
        <v>27</v>
      </c>
      <c r="L380" t="s">
        <v>22</v>
      </c>
      <c r="M380" t="s">
        <v>23</v>
      </c>
      <c r="N380">
        <v>2</v>
      </c>
    </row>
    <row r="381" spans="1:14">
      <c r="A381" t="s">
        <v>413</v>
      </c>
      <c r="B381">
        <v>9880</v>
      </c>
      <c r="C381">
        <v>88.64</v>
      </c>
      <c r="D381" t="s">
        <v>15</v>
      </c>
      <c r="E381">
        <v>31708</v>
      </c>
      <c r="F381">
        <v>3893</v>
      </c>
      <c r="G381">
        <v>0.14610000000000001</v>
      </c>
      <c r="I381" t="s">
        <v>21</v>
      </c>
      <c r="J381" s="11">
        <v>1</v>
      </c>
      <c r="K381">
        <v>24</v>
      </c>
      <c r="L381" t="s">
        <v>18</v>
      </c>
      <c r="M381" t="s">
        <v>19</v>
      </c>
      <c r="N381">
        <v>4</v>
      </c>
    </row>
    <row r="382" spans="1:14">
      <c r="A382" t="s">
        <v>414</v>
      </c>
      <c r="B382">
        <v>4669</v>
      </c>
      <c r="D382" t="s">
        <v>40</v>
      </c>
      <c r="E382">
        <v>59809</v>
      </c>
      <c r="F382">
        <v>4721</v>
      </c>
      <c r="G382">
        <v>0.16370000000000001</v>
      </c>
      <c r="H382">
        <v>40.07</v>
      </c>
      <c r="I382" t="s">
        <v>17</v>
      </c>
      <c r="K382">
        <v>30</v>
      </c>
      <c r="L382" t="s">
        <v>22</v>
      </c>
      <c r="M382" t="s">
        <v>23</v>
      </c>
      <c r="N382">
        <v>1</v>
      </c>
    </row>
    <row r="383" spans="1:14">
      <c r="A383" t="s">
        <v>415</v>
      </c>
      <c r="B383">
        <v>3961</v>
      </c>
      <c r="D383" t="s">
        <v>25</v>
      </c>
      <c r="E383">
        <v>58644</v>
      </c>
      <c r="F383">
        <v>6796</v>
      </c>
      <c r="G383">
        <v>0.19059999999999999</v>
      </c>
      <c r="H383">
        <v>223.61</v>
      </c>
      <c r="I383" t="s">
        <v>29</v>
      </c>
      <c r="K383">
        <v>23</v>
      </c>
      <c r="L383" t="s">
        <v>22</v>
      </c>
      <c r="M383" t="s">
        <v>23</v>
      </c>
      <c r="N383">
        <v>3</v>
      </c>
    </row>
    <row r="384" spans="1:14">
      <c r="A384" t="s">
        <v>416</v>
      </c>
      <c r="B384">
        <v>6990</v>
      </c>
      <c r="C384">
        <v>18.04</v>
      </c>
      <c r="D384" t="s">
        <v>15</v>
      </c>
      <c r="E384">
        <v>85805</v>
      </c>
      <c r="F384">
        <v>3391</v>
      </c>
      <c r="G384">
        <v>9.2799999999999994E-2</v>
      </c>
      <c r="H384">
        <v>283.99</v>
      </c>
      <c r="I384" t="s">
        <v>21</v>
      </c>
      <c r="K384">
        <v>35</v>
      </c>
      <c r="L384" t="s">
        <v>18</v>
      </c>
      <c r="M384" t="s">
        <v>38</v>
      </c>
      <c r="N384">
        <v>2</v>
      </c>
    </row>
    <row r="385" spans="1:14">
      <c r="A385" t="s">
        <v>417</v>
      </c>
      <c r="B385">
        <v>3009</v>
      </c>
      <c r="C385">
        <v>117.45</v>
      </c>
      <c r="D385" t="s">
        <v>28</v>
      </c>
      <c r="E385">
        <v>20864</v>
      </c>
      <c r="F385">
        <v>5033</v>
      </c>
      <c r="G385">
        <v>0.12609999999999999</v>
      </c>
      <c r="H385">
        <v>215.57</v>
      </c>
      <c r="I385" t="s">
        <v>17</v>
      </c>
      <c r="J385" s="11">
        <v>0</v>
      </c>
      <c r="K385">
        <v>20</v>
      </c>
      <c r="L385" t="s">
        <v>31</v>
      </c>
      <c r="M385" t="s">
        <v>23</v>
      </c>
      <c r="N385">
        <v>5</v>
      </c>
    </row>
    <row r="386" spans="1:14">
      <c r="A386" t="s">
        <v>418</v>
      </c>
      <c r="B386">
        <v>5216</v>
      </c>
      <c r="C386">
        <v>46.67</v>
      </c>
      <c r="D386" t="s">
        <v>15</v>
      </c>
      <c r="E386">
        <v>89337</v>
      </c>
      <c r="F386">
        <v>7794</v>
      </c>
      <c r="G386">
        <v>0.19350000000000001</v>
      </c>
      <c r="H386">
        <v>209.62</v>
      </c>
      <c r="I386" t="s">
        <v>34</v>
      </c>
      <c r="K386">
        <v>47</v>
      </c>
      <c r="L386" t="s">
        <v>37</v>
      </c>
      <c r="M386" t="s">
        <v>23</v>
      </c>
      <c r="N386">
        <v>1</v>
      </c>
    </row>
    <row r="387" spans="1:14">
      <c r="A387" t="s">
        <v>419</v>
      </c>
      <c r="B387">
        <v>6072</v>
      </c>
      <c r="D387" t="s">
        <v>45</v>
      </c>
      <c r="E387">
        <v>30510</v>
      </c>
      <c r="F387">
        <v>4657</v>
      </c>
      <c r="G387">
        <v>0.13009999999999999</v>
      </c>
      <c r="H387">
        <v>296.8</v>
      </c>
      <c r="I387" t="s">
        <v>26</v>
      </c>
      <c r="J387" s="11">
        <v>1</v>
      </c>
      <c r="K387">
        <v>62</v>
      </c>
      <c r="L387" t="s">
        <v>18</v>
      </c>
    </row>
    <row r="388" spans="1:14">
      <c r="A388" t="s">
        <v>420</v>
      </c>
      <c r="B388">
        <v>1677</v>
      </c>
      <c r="C388">
        <v>137.41</v>
      </c>
      <c r="D388" t="s">
        <v>40</v>
      </c>
      <c r="E388">
        <v>87121</v>
      </c>
      <c r="F388">
        <v>4078</v>
      </c>
      <c r="G388">
        <v>6.3E-2</v>
      </c>
      <c r="H388">
        <v>36</v>
      </c>
      <c r="I388" t="s">
        <v>17</v>
      </c>
      <c r="K388">
        <v>45</v>
      </c>
      <c r="L388" t="s">
        <v>18</v>
      </c>
      <c r="M388" t="s">
        <v>38</v>
      </c>
      <c r="N388">
        <v>4</v>
      </c>
    </row>
    <row r="389" spans="1:14">
      <c r="A389" t="s">
        <v>421</v>
      </c>
      <c r="B389">
        <v>8070</v>
      </c>
      <c r="C389">
        <v>23.55</v>
      </c>
      <c r="D389" t="s">
        <v>40</v>
      </c>
      <c r="E389">
        <v>58066</v>
      </c>
      <c r="F389">
        <v>4474</v>
      </c>
      <c r="G389">
        <v>7.9000000000000001E-2</v>
      </c>
      <c r="I389" t="s">
        <v>17</v>
      </c>
      <c r="K389">
        <v>43</v>
      </c>
      <c r="L389" t="s">
        <v>22</v>
      </c>
      <c r="M389" t="s">
        <v>19</v>
      </c>
      <c r="N389">
        <v>5</v>
      </c>
    </row>
    <row r="390" spans="1:14">
      <c r="A390" t="s">
        <v>422</v>
      </c>
      <c r="B390">
        <v>4264</v>
      </c>
      <c r="D390" t="s">
        <v>32</v>
      </c>
      <c r="E390">
        <v>33341</v>
      </c>
      <c r="F390">
        <v>6307</v>
      </c>
      <c r="G390">
        <v>5.7700000000000001E-2</v>
      </c>
      <c r="H390">
        <v>154.66</v>
      </c>
      <c r="I390" t="s">
        <v>17</v>
      </c>
      <c r="J390" s="11">
        <v>1</v>
      </c>
      <c r="K390">
        <v>60</v>
      </c>
      <c r="L390" t="s">
        <v>18</v>
      </c>
      <c r="N390">
        <v>2</v>
      </c>
    </row>
    <row r="391" spans="1:14">
      <c r="A391" t="s">
        <v>423</v>
      </c>
      <c r="B391">
        <v>4921</v>
      </c>
      <c r="C391">
        <v>64.86</v>
      </c>
      <c r="D391" t="s">
        <v>45</v>
      </c>
      <c r="E391">
        <v>63193</v>
      </c>
      <c r="F391">
        <v>2527</v>
      </c>
      <c r="G391">
        <v>0.17519999999999999</v>
      </c>
      <c r="H391">
        <v>198.41</v>
      </c>
      <c r="I391" t="s">
        <v>17</v>
      </c>
      <c r="K391">
        <v>30</v>
      </c>
      <c r="L391" t="s">
        <v>31</v>
      </c>
      <c r="N391">
        <v>1</v>
      </c>
    </row>
    <row r="392" spans="1:14">
      <c r="A392" t="s">
        <v>424</v>
      </c>
      <c r="B392">
        <v>4403</v>
      </c>
      <c r="C392">
        <v>173.59</v>
      </c>
      <c r="D392" t="s">
        <v>25</v>
      </c>
      <c r="E392">
        <v>33180</v>
      </c>
      <c r="F392">
        <v>3751</v>
      </c>
      <c r="G392">
        <v>0.1016</v>
      </c>
      <c r="H392">
        <v>187.9</v>
      </c>
      <c r="I392" t="s">
        <v>29</v>
      </c>
      <c r="K392">
        <v>33</v>
      </c>
      <c r="L392" t="s">
        <v>22</v>
      </c>
      <c r="M392" t="s">
        <v>23</v>
      </c>
      <c r="N392">
        <v>5</v>
      </c>
    </row>
    <row r="393" spans="1:14">
      <c r="A393" t="s">
        <v>425</v>
      </c>
      <c r="B393">
        <v>4410</v>
      </c>
      <c r="C393">
        <v>151.80000000000001</v>
      </c>
      <c r="D393" t="s">
        <v>28</v>
      </c>
      <c r="E393">
        <v>45002</v>
      </c>
      <c r="F393">
        <v>8438</v>
      </c>
      <c r="H393">
        <v>89.76</v>
      </c>
      <c r="I393" t="s">
        <v>34</v>
      </c>
      <c r="J393" s="11">
        <v>0</v>
      </c>
      <c r="K393">
        <v>29</v>
      </c>
      <c r="L393" t="s">
        <v>37</v>
      </c>
      <c r="N393">
        <v>2</v>
      </c>
    </row>
    <row r="394" spans="1:14">
      <c r="A394" t="s">
        <v>426</v>
      </c>
      <c r="B394">
        <v>4249</v>
      </c>
      <c r="C394">
        <v>74.459999999999994</v>
      </c>
      <c r="D394" t="s">
        <v>28</v>
      </c>
      <c r="E394">
        <v>27856</v>
      </c>
      <c r="F394">
        <v>2605</v>
      </c>
      <c r="G394">
        <v>0.19689999999999999</v>
      </c>
      <c r="H394">
        <v>121.59</v>
      </c>
      <c r="I394" t="s">
        <v>29</v>
      </c>
      <c r="J394" s="11">
        <v>1</v>
      </c>
      <c r="K394">
        <v>37</v>
      </c>
      <c r="L394" t="s">
        <v>31</v>
      </c>
      <c r="M394" t="s">
        <v>19</v>
      </c>
      <c r="N394">
        <v>4</v>
      </c>
    </row>
    <row r="395" spans="1:14">
      <c r="A395" t="s">
        <v>427</v>
      </c>
      <c r="B395">
        <v>4734</v>
      </c>
      <c r="C395">
        <v>87.81</v>
      </c>
      <c r="D395" t="s">
        <v>40</v>
      </c>
      <c r="E395">
        <v>2323</v>
      </c>
      <c r="F395">
        <v>4580</v>
      </c>
      <c r="H395">
        <v>435.3</v>
      </c>
      <c r="I395" t="s">
        <v>49</v>
      </c>
      <c r="K395">
        <v>32</v>
      </c>
      <c r="L395" t="s">
        <v>31</v>
      </c>
      <c r="M395" t="s">
        <v>38</v>
      </c>
      <c r="N395">
        <v>1</v>
      </c>
    </row>
    <row r="396" spans="1:14">
      <c r="A396" t="s">
        <v>428</v>
      </c>
      <c r="B396">
        <v>7507</v>
      </c>
      <c r="D396" t="s">
        <v>28</v>
      </c>
      <c r="E396">
        <v>3650</v>
      </c>
      <c r="F396">
        <v>1191</v>
      </c>
      <c r="G396">
        <v>9.0499999999999997E-2</v>
      </c>
      <c r="H396">
        <v>42.39</v>
      </c>
      <c r="I396" t="s">
        <v>17</v>
      </c>
      <c r="K396">
        <v>20</v>
      </c>
      <c r="L396" t="s">
        <v>37</v>
      </c>
      <c r="M396" t="s">
        <v>19</v>
      </c>
    </row>
    <row r="397" spans="1:14">
      <c r="A397" t="s">
        <v>429</v>
      </c>
      <c r="B397">
        <v>4606</v>
      </c>
      <c r="C397">
        <v>20.239999999999998</v>
      </c>
      <c r="D397" t="s">
        <v>32</v>
      </c>
      <c r="E397">
        <v>47343</v>
      </c>
      <c r="F397">
        <v>9808</v>
      </c>
      <c r="G397">
        <v>0.1431</v>
      </c>
      <c r="H397">
        <v>314.02999999999997</v>
      </c>
      <c r="I397" t="s">
        <v>21</v>
      </c>
      <c r="J397" s="11">
        <v>0</v>
      </c>
      <c r="K397">
        <v>28</v>
      </c>
      <c r="L397" t="s">
        <v>18</v>
      </c>
      <c r="N397">
        <v>4</v>
      </c>
    </row>
    <row r="398" spans="1:14">
      <c r="A398" t="s">
        <v>430</v>
      </c>
      <c r="B398">
        <v>6251</v>
      </c>
      <c r="C398">
        <v>15.35</v>
      </c>
      <c r="D398" t="s">
        <v>40</v>
      </c>
      <c r="E398">
        <v>9002</v>
      </c>
      <c r="F398">
        <v>2041</v>
      </c>
      <c r="G398">
        <v>0.1003</v>
      </c>
      <c r="H398">
        <v>305.07</v>
      </c>
      <c r="I398" t="s">
        <v>34</v>
      </c>
      <c r="J398" s="11">
        <v>1</v>
      </c>
      <c r="K398">
        <v>41</v>
      </c>
      <c r="L398" t="s">
        <v>22</v>
      </c>
      <c r="M398" t="s">
        <v>19</v>
      </c>
      <c r="N398">
        <v>2</v>
      </c>
    </row>
    <row r="399" spans="1:14">
      <c r="A399" t="s">
        <v>431</v>
      </c>
      <c r="B399">
        <v>9201</v>
      </c>
      <c r="C399">
        <v>148.32</v>
      </c>
      <c r="D399" t="s">
        <v>28</v>
      </c>
      <c r="E399">
        <v>17393</v>
      </c>
      <c r="F399">
        <v>7968</v>
      </c>
      <c r="H399">
        <v>26.94</v>
      </c>
      <c r="I399" t="s">
        <v>26</v>
      </c>
      <c r="K399">
        <v>19</v>
      </c>
      <c r="L399" t="s">
        <v>18</v>
      </c>
      <c r="M399" t="s">
        <v>23</v>
      </c>
      <c r="N399">
        <v>1</v>
      </c>
    </row>
    <row r="400" spans="1:14">
      <c r="A400" t="s">
        <v>432</v>
      </c>
      <c r="B400">
        <v>2779</v>
      </c>
      <c r="C400">
        <v>76.66</v>
      </c>
      <c r="D400" t="s">
        <v>25</v>
      </c>
      <c r="E400">
        <v>34529</v>
      </c>
      <c r="F400">
        <v>1156</v>
      </c>
      <c r="G400">
        <v>0.16489999999999999</v>
      </c>
      <c r="H400">
        <v>187.77</v>
      </c>
      <c r="I400" t="s">
        <v>29</v>
      </c>
      <c r="J400" s="11">
        <v>1</v>
      </c>
      <c r="K400">
        <v>27</v>
      </c>
      <c r="L400" t="s">
        <v>18</v>
      </c>
      <c r="M400" t="s">
        <v>23</v>
      </c>
    </row>
    <row r="401" spans="1:14">
      <c r="A401" t="s">
        <v>433</v>
      </c>
      <c r="B401">
        <v>3277</v>
      </c>
      <c r="C401">
        <v>145.13</v>
      </c>
      <c r="D401" t="s">
        <v>15</v>
      </c>
      <c r="E401">
        <v>57426</v>
      </c>
      <c r="F401">
        <v>4946</v>
      </c>
      <c r="G401">
        <v>0.1028</v>
      </c>
      <c r="H401">
        <v>150.30000000000001</v>
      </c>
      <c r="I401" t="s">
        <v>21</v>
      </c>
      <c r="K401">
        <v>51</v>
      </c>
      <c r="L401" t="s">
        <v>18</v>
      </c>
      <c r="M401" t="s">
        <v>19</v>
      </c>
      <c r="N401">
        <v>1</v>
      </c>
    </row>
    <row r="402" spans="1:14">
      <c r="A402" t="s">
        <v>434</v>
      </c>
      <c r="B402">
        <v>5671</v>
      </c>
      <c r="C402">
        <v>160.13999999999999</v>
      </c>
      <c r="D402" t="s">
        <v>32</v>
      </c>
      <c r="E402">
        <v>47491</v>
      </c>
      <c r="F402">
        <v>1555</v>
      </c>
      <c r="G402">
        <v>0.17219999999999999</v>
      </c>
      <c r="H402">
        <v>457.82</v>
      </c>
      <c r="I402" t="s">
        <v>29</v>
      </c>
      <c r="K402">
        <v>42</v>
      </c>
      <c r="L402" t="s">
        <v>22</v>
      </c>
      <c r="M402" t="s">
        <v>32</v>
      </c>
      <c r="N402">
        <v>2</v>
      </c>
    </row>
    <row r="403" spans="1:14">
      <c r="A403" t="s">
        <v>435</v>
      </c>
      <c r="B403">
        <v>3521</v>
      </c>
      <c r="C403">
        <v>180.09</v>
      </c>
      <c r="D403" t="s">
        <v>32</v>
      </c>
      <c r="E403">
        <v>26794</v>
      </c>
      <c r="F403">
        <v>1082</v>
      </c>
      <c r="G403">
        <v>7.4099999999999999E-2</v>
      </c>
      <c r="H403">
        <v>173.93</v>
      </c>
      <c r="I403" t="s">
        <v>26</v>
      </c>
      <c r="J403" s="11">
        <v>1</v>
      </c>
      <c r="K403">
        <v>21</v>
      </c>
      <c r="L403" t="s">
        <v>37</v>
      </c>
      <c r="M403" t="s">
        <v>45</v>
      </c>
      <c r="N403">
        <v>2</v>
      </c>
    </row>
    <row r="404" spans="1:14">
      <c r="A404" t="s">
        <v>436</v>
      </c>
      <c r="B404">
        <v>3580</v>
      </c>
      <c r="D404" t="s">
        <v>32</v>
      </c>
      <c r="E404">
        <v>89746</v>
      </c>
      <c r="F404">
        <v>2982</v>
      </c>
      <c r="G404">
        <v>1.67E-2</v>
      </c>
      <c r="H404">
        <v>458.11</v>
      </c>
      <c r="I404" t="s">
        <v>21</v>
      </c>
      <c r="K404">
        <v>42</v>
      </c>
      <c r="L404" t="s">
        <v>22</v>
      </c>
      <c r="M404" t="s">
        <v>19</v>
      </c>
      <c r="N404">
        <v>2</v>
      </c>
    </row>
    <row r="405" spans="1:14">
      <c r="A405" t="s">
        <v>437</v>
      </c>
      <c r="B405">
        <v>4813</v>
      </c>
      <c r="D405" t="s">
        <v>40</v>
      </c>
      <c r="E405">
        <v>82774</v>
      </c>
      <c r="F405">
        <v>3667</v>
      </c>
      <c r="G405">
        <v>4.3299999999999998E-2</v>
      </c>
      <c r="H405">
        <v>252.57</v>
      </c>
      <c r="I405" t="s">
        <v>34</v>
      </c>
      <c r="J405" s="11">
        <v>0</v>
      </c>
      <c r="K405">
        <v>37</v>
      </c>
      <c r="L405" t="s">
        <v>18</v>
      </c>
      <c r="M405" t="s">
        <v>23</v>
      </c>
    </row>
    <row r="406" spans="1:14">
      <c r="A406" t="s">
        <v>438</v>
      </c>
      <c r="B406">
        <v>7857</v>
      </c>
      <c r="C406">
        <v>42.09</v>
      </c>
      <c r="D406" t="s">
        <v>32</v>
      </c>
      <c r="E406">
        <v>85761</v>
      </c>
      <c r="F406">
        <v>4255</v>
      </c>
      <c r="G406">
        <v>1.7500000000000002E-2</v>
      </c>
      <c r="I406" t="s">
        <v>17</v>
      </c>
      <c r="J406" s="11">
        <v>1</v>
      </c>
      <c r="K406">
        <v>63</v>
      </c>
      <c r="L406" t="s">
        <v>37</v>
      </c>
      <c r="M406" t="s">
        <v>19</v>
      </c>
      <c r="N406">
        <v>2</v>
      </c>
    </row>
    <row r="407" spans="1:14">
      <c r="A407" t="s">
        <v>439</v>
      </c>
      <c r="B407">
        <v>4711</v>
      </c>
      <c r="C407">
        <v>12.76</v>
      </c>
      <c r="D407" t="s">
        <v>25</v>
      </c>
      <c r="E407">
        <v>70643</v>
      </c>
      <c r="F407">
        <v>7043</v>
      </c>
      <c r="G407">
        <v>0.1741</v>
      </c>
      <c r="H407">
        <v>240.9</v>
      </c>
      <c r="I407" t="s">
        <v>17</v>
      </c>
      <c r="K407">
        <v>18</v>
      </c>
      <c r="L407" t="s">
        <v>18</v>
      </c>
      <c r="M407" t="s">
        <v>38</v>
      </c>
    </row>
    <row r="408" spans="1:14">
      <c r="A408" t="s">
        <v>440</v>
      </c>
      <c r="B408">
        <v>8509</v>
      </c>
      <c r="C408">
        <v>76.59</v>
      </c>
      <c r="D408" t="s">
        <v>32</v>
      </c>
      <c r="E408">
        <v>29397</v>
      </c>
      <c r="F408">
        <v>5422</v>
      </c>
      <c r="G408">
        <v>0.1193</v>
      </c>
      <c r="H408">
        <v>280.89</v>
      </c>
      <c r="I408" t="s">
        <v>26</v>
      </c>
      <c r="K408">
        <v>51</v>
      </c>
      <c r="L408" t="s">
        <v>18</v>
      </c>
      <c r="M408" t="s">
        <v>19</v>
      </c>
      <c r="N408">
        <v>1</v>
      </c>
    </row>
    <row r="409" spans="1:14">
      <c r="A409" t="s">
        <v>441</v>
      </c>
      <c r="B409">
        <v>9726</v>
      </c>
      <c r="C409">
        <v>14.42</v>
      </c>
      <c r="D409" t="s">
        <v>45</v>
      </c>
      <c r="E409">
        <v>2221</v>
      </c>
      <c r="F409">
        <v>9315</v>
      </c>
      <c r="G409">
        <v>0.1741</v>
      </c>
      <c r="H409">
        <v>342.12</v>
      </c>
      <c r="I409" t="s">
        <v>17</v>
      </c>
      <c r="J409" s="11">
        <v>0</v>
      </c>
      <c r="K409">
        <v>64</v>
      </c>
      <c r="L409" t="s">
        <v>37</v>
      </c>
      <c r="M409" t="s">
        <v>19</v>
      </c>
      <c r="N409">
        <v>1</v>
      </c>
    </row>
    <row r="410" spans="1:14">
      <c r="A410" t="s">
        <v>442</v>
      </c>
      <c r="B410">
        <v>3966</v>
      </c>
      <c r="D410" t="s">
        <v>32</v>
      </c>
      <c r="E410">
        <v>14578</v>
      </c>
      <c r="F410">
        <v>1153</v>
      </c>
      <c r="G410">
        <v>6.4500000000000002E-2</v>
      </c>
      <c r="H410">
        <v>230.74</v>
      </c>
      <c r="I410" t="s">
        <v>29</v>
      </c>
      <c r="J410" s="11">
        <v>1</v>
      </c>
      <c r="K410">
        <v>41</v>
      </c>
      <c r="L410" t="s">
        <v>31</v>
      </c>
      <c r="M410" t="s">
        <v>23</v>
      </c>
    </row>
    <row r="411" spans="1:14">
      <c r="A411" t="s">
        <v>443</v>
      </c>
      <c r="B411">
        <v>8742</v>
      </c>
      <c r="C411">
        <v>41.61</v>
      </c>
      <c r="D411" t="s">
        <v>40</v>
      </c>
      <c r="E411">
        <v>9366</v>
      </c>
      <c r="F411">
        <v>6553</v>
      </c>
      <c r="G411">
        <v>0.1384</v>
      </c>
      <c r="H411">
        <v>361.7</v>
      </c>
      <c r="I411" t="s">
        <v>17</v>
      </c>
      <c r="K411">
        <v>53</v>
      </c>
      <c r="L411" t="s">
        <v>31</v>
      </c>
      <c r="M411" t="s">
        <v>45</v>
      </c>
      <c r="N411">
        <v>3</v>
      </c>
    </row>
    <row r="412" spans="1:14">
      <c r="A412" t="s">
        <v>444</v>
      </c>
      <c r="B412">
        <v>8400</v>
      </c>
      <c r="C412">
        <v>156.61000000000001</v>
      </c>
      <c r="D412" t="s">
        <v>15</v>
      </c>
      <c r="E412">
        <v>44619</v>
      </c>
      <c r="F412" t="s">
        <v>16</v>
      </c>
      <c r="G412">
        <v>8.5400000000000004E-2</v>
      </c>
      <c r="I412" t="s">
        <v>17</v>
      </c>
      <c r="K412">
        <v>55</v>
      </c>
      <c r="L412" t="s">
        <v>31</v>
      </c>
      <c r="M412" t="s">
        <v>32</v>
      </c>
      <c r="N412">
        <v>1</v>
      </c>
    </row>
    <row r="413" spans="1:14">
      <c r="A413" t="s">
        <v>445</v>
      </c>
      <c r="B413">
        <v>3408</v>
      </c>
      <c r="C413">
        <v>97.81</v>
      </c>
      <c r="D413" t="s">
        <v>40</v>
      </c>
      <c r="E413">
        <v>67961</v>
      </c>
      <c r="F413">
        <v>8087</v>
      </c>
      <c r="G413">
        <v>2.7900000000000001E-2</v>
      </c>
      <c r="H413">
        <v>176.79</v>
      </c>
      <c r="I413" t="s">
        <v>34</v>
      </c>
      <c r="J413" s="11">
        <v>1</v>
      </c>
      <c r="K413">
        <v>45</v>
      </c>
      <c r="L413" t="s">
        <v>37</v>
      </c>
      <c r="M413" t="s">
        <v>19</v>
      </c>
      <c r="N413">
        <v>5</v>
      </c>
    </row>
    <row r="414" spans="1:14">
      <c r="A414" t="s">
        <v>446</v>
      </c>
      <c r="B414">
        <v>4072</v>
      </c>
      <c r="C414">
        <v>95.85</v>
      </c>
      <c r="D414" t="s">
        <v>28</v>
      </c>
      <c r="E414">
        <v>53174</v>
      </c>
      <c r="F414">
        <v>1983</v>
      </c>
      <c r="G414">
        <v>0.17180000000000001</v>
      </c>
      <c r="H414">
        <v>367.24</v>
      </c>
      <c r="I414" t="s">
        <v>26</v>
      </c>
      <c r="K414">
        <v>43</v>
      </c>
      <c r="L414" t="s">
        <v>18</v>
      </c>
      <c r="M414" t="s">
        <v>38</v>
      </c>
      <c r="N414">
        <v>1</v>
      </c>
    </row>
    <row r="415" spans="1:14">
      <c r="A415" t="s">
        <v>447</v>
      </c>
      <c r="B415">
        <v>6273</v>
      </c>
      <c r="D415" t="s">
        <v>45</v>
      </c>
      <c r="E415">
        <v>92202</v>
      </c>
      <c r="F415">
        <v>331</v>
      </c>
      <c r="G415">
        <v>0.19389999999999999</v>
      </c>
      <c r="H415">
        <v>374.07</v>
      </c>
      <c r="I415" t="s">
        <v>34</v>
      </c>
      <c r="J415" s="11">
        <v>1</v>
      </c>
      <c r="K415">
        <v>64</v>
      </c>
      <c r="L415" t="s">
        <v>22</v>
      </c>
      <c r="M415" t="s">
        <v>38</v>
      </c>
      <c r="N415">
        <v>5</v>
      </c>
    </row>
    <row r="416" spans="1:14">
      <c r="A416" t="s">
        <v>448</v>
      </c>
      <c r="B416">
        <v>6094</v>
      </c>
      <c r="C416">
        <v>61.03</v>
      </c>
      <c r="D416" t="s">
        <v>15</v>
      </c>
      <c r="E416">
        <v>94142</v>
      </c>
      <c r="F416">
        <v>8591</v>
      </c>
      <c r="I416" t="s">
        <v>21</v>
      </c>
      <c r="K416">
        <v>39</v>
      </c>
      <c r="L416" t="s">
        <v>31</v>
      </c>
      <c r="M416" t="s">
        <v>45</v>
      </c>
      <c r="N416">
        <v>1</v>
      </c>
    </row>
    <row r="417" spans="1:14">
      <c r="A417" t="s">
        <v>449</v>
      </c>
      <c r="B417">
        <v>8618</v>
      </c>
      <c r="C417">
        <v>36.75</v>
      </c>
      <c r="D417" t="s">
        <v>45</v>
      </c>
      <c r="E417">
        <v>44638</v>
      </c>
      <c r="F417">
        <v>2485</v>
      </c>
      <c r="G417">
        <v>7.7799999999999994E-2</v>
      </c>
      <c r="I417" t="s">
        <v>29</v>
      </c>
      <c r="J417" s="11">
        <v>0</v>
      </c>
      <c r="K417">
        <v>26</v>
      </c>
      <c r="L417" t="s">
        <v>22</v>
      </c>
      <c r="M417" t="s">
        <v>38</v>
      </c>
      <c r="N417">
        <v>1</v>
      </c>
    </row>
    <row r="418" spans="1:14">
      <c r="A418" t="s">
        <v>450</v>
      </c>
      <c r="B418">
        <v>9733</v>
      </c>
      <c r="C418">
        <v>43.94</v>
      </c>
      <c r="D418" t="s">
        <v>25</v>
      </c>
      <c r="E418">
        <v>40609</v>
      </c>
      <c r="F418">
        <v>9870</v>
      </c>
      <c r="G418">
        <v>6.0699999999999997E-2</v>
      </c>
      <c r="H418">
        <v>83.78</v>
      </c>
      <c r="I418" t="s">
        <v>34</v>
      </c>
      <c r="K418">
        <v>46</v>
      </c>
      <c r="L418" t="s">
        <v>18</v>
      </c>
      <c r="M418" t="s">
        <v>38</v>
      </c>
      <c r="N418">
        <v>1</v>
      </c>
    </row>
    <row r="419" spans="1:14">
      <c r="A419" t="s">
        <v>451</v>
      </c>
      <c r="B419">
        <v>8815</v>
      </c>
      <c r="C419">
        <v>127.04</v>
      </c>
      <c r="D419" t="s">
        <v>25</v>
      </c>
      <c r="E419">
        <v>33718</v>
      </c>
      <c r="F419">
        <v>5034</v>
      </c>
      <c r="G419">
        <v>0.14899999999999999</v>
      </c>
      <c r="I419" t="s">
        <v>29</v>
      </c>
      <c r="J419" s="11">
        <v>0</v>
      </c>
      <c r="K419">
        <v>41</v>
      </c>
      <c r="L419" t="s">
        <v>18</v>
      </c>
      <c r="M419" t="s">
        <v>32</v>
      </c>
      <c r="N419">
        <v>1</v>
      </c>
    </row>
    <row r="420" spans="1:14">
      <c r="A420" t="s">
        <v>452</v>
      </c>
      <c r="B420">
        <v>1466</v>
      </c>
      <c r="C420">
        <v>84.82</v>
      </c>
      <c r="D420" t="s">
        <v>25</v>
      </c>
      <c r="E420">
        <v>33450</v>
      </c>
      <c r="F420">
        <v>4702</v>
      </c>
      <c r="G420">
        <v>0.15110000000000001</v>
      </c>
      <c r="I420" t="s">
        <v>21</v>
      </c>
      <c r="K420">
        <v>20</v>
      </c>
      <c r="L420" t="s">
        <v>22</v>
      </c>
      <c r="M420" t="s">
        <v>38</v>
      </c>
    </row>
    <row r="421" spans="1:14">
      <c r="A421" t="s">
        <v>453</v>
      </c>
      <c r="B421">
        <v>1439</v>
      </c>
      <c r="C421">
        <v>141.97999999999999</v>
      </c>
      <c r="D421" t="s">
        <v>40</v>
      </c>
      <c r="E421">
        <v>63419</v>
      </c>
      <c r="F421">
        <v>7692</v>
      </c>
      <c r="G421">
        <v>0.1242</v>
      </c>
      <c r="H421">
        <v>212.18</v>
      </c>
      <c r="I421" t="s">
        <v>21</v>
      </c>
      <c r="J421" s="11">
        <v>1</v>
      </c>
      <c r="K421">
        <v>56</v>
      </c>
      <c r="L421" t="s">
        <v>37</v>
      </c>
      <c r="N421">
        <v>3</v>
      </c>
    </row>
    <row r="422" spans="1:14">
      <c r="A422" t="s">
        <v>454</v>
      </c>
      <c r="B422">
        <v>5507</v>
      </c>
      <c r="C422">
        <v>82.22</v>
      </c>
      <c r="D422" t="s">
        <v>15</v>
      </c>
      <c r="E422">
        <v>19328</v>
      </c>
      <c r="F422">
        <v>1414</v>
      </c>
      <c r="G422">
        <v>8.8499999999999995E-2</v>
      </c>
      <c r="H422">
        <v>137.46</v>
      </c>
      <c r="I422" t="s">
        <v>49</v>
      </c>
      <c r="J422" s="11">
        <v>0</v>
      </c>
      <c r="K422">
        <v>60</v>
      </c>
      <c r="L422" t="s">
        <v>37</v>
      </c>
      <c r="M422" t="s">
        <v>23</v>
      </c>
      <c r="N422">
        <v>1</v>
      </c>
    </row>
    <row r="423" spans="1:14">
      <c r="A423" t="s">
        <v>455</v>
      </c>
      <c r="B423">
        <v>6612</v>
      </c>
      <c r="D423" t="s">
        <v>32</v>
      </c>
      <c r="E423">
        <v>12955</v>
      </c>
      <c r="F423">
        <v>3003</v>
      </c>
      <c r="H423">
        <v>221.6</v>
      </c>
      <c r="I423" t="s">
        <v>29</v>
      </c>
      <c r="K423">
        <v>36</v>
      </c>
      <c r="L423" t="s">
        <v>31</v>
      </c>
      <c r="N423">
        <v>5</v>
      </c>
    </row>
    <row r="424" spans="1:14">
      <c r="A424" t="s">
        <v>456</v>
      </c>
      <c r="B424">
        <v>7713</v>
      </c>
      <c r="D424" t="s">
        <v>15</v>
      </c>
      <c r="E424">
        <v>42517</v>
      </c>
      <c r="F424">
        <v>309</v>
      </c>
      <c r="G424">
        <v>1.49E-2</v>
      </c>
      <c r="H424">
        <v>109.74</v>
      </c>
      <c r="I424" t="s">
        <v>34</v>
      </c>
      <c r="J424" s="11">
        <v>1</v>
      </c>
      <c r="K424">
        <v>35</v>
      </c>
      <c r="L424" t="s">
        <v>18</v>
      </c>
      <c r="M424" t="s">
        <v>19</v>
      </c>
    </row>
    <row r="425" spans="1:14">
      <c r="A425" t="s">
        <v>457</v>
      </c>
      <c r="B425">
        <v>3448</v>
      </c>
      <c r="C425">
        <v>117.61</v>
      </c>
      <c r="D425" t="s">
        <v>15</v>
      </c>
      <c r="E425">
        <v>36913</v>
      </c>
      <c r="F425">
        <v>8906</v>
      </c>
      <c r="G425">
        <v>0.19259999999999999</v>
      </c>
      <c r="H425">
        <v>122.09</v>
      </c>
      <c r="I425" t="s">
        <v>21</v>
      </c>
      <c r="J425" s="11">
        <v>1</v>
      </c>
      <c r="K425">
        <v>49</v>
      </c>
      <c r="L425" t="s">
        <v>31</v>
      </c>
      <c r="M425" t="s">
        <v>23</v>
      </c>
      <c r="N425">
        <v>4</v>
      </c>
    </row>
    <row r="426" spans="1:14">
      <c r="A426" t="s">
        <v>458</v>
      </c>
      <c r="B426">
        <v>7956</v>
      </c>
      <c r="D426" t="s">
        <v>40</v>
      </c>
      <c r="E426">
        <v>87451</v>
      </c>
      <c r="F426">
        <v>1175</v>
      </c>
      <c r="G426">
        <v>4.0800000000000003E-2</v>
      </c>
      <c r="H426">
        <v>37.89</v>
      </c>
      <c r="I426" t="s">
        <v>17</v>
      </c>
      <c r="J426" s="11">
        <v>1</v>
      </c>
      <c r="L426" t="s">
        <v>37</v>
      </c>
      <c r="M426" t="s">
        <v>19</v>
      </c>
      <c r="N426">
        <v>1</v>
      </c>
    </row>
    <row r="427" spans="1:14">
      <c r="A427" t="s">
        <v>459</v>
      </c>
      <c r="B427">
        <v>5022</v>
      </c>
      <c r="D427" t="s">
        <v>45</v>
      </c>
      <c r="E427">
        <v>72109</v>
      </c>
      <c r="F427">
        <v>3023</v>
      </c>
      <c r="G427">
        <v>0.1076</v>
      </c>
      <c r="H427">
        <v>403.91</v>
      </c>
      <c r="I427" t="s">
        <v>21</v>
      </c>
      <c r="K427">
        <v>56</v>
      </c>
      <c r="L427" t="s">
        <v>37</v>
      </c>
      <c r="M427" t="s">
        <v>19</v>
      </c>
      <c r="N427">
        <v>5</v>
      </c>
    </row>
    <row r="428" spans="1:14">
      <c r="A428" t="s">
        <v>460</v>
      </c>
      <c r="B428">
        <v>2346</v>
      </c>
      <c r="D428" t="s">
        <v>15</v>
      </c>
      <c r="E428">
        <v>19086</v>
      </c>
      <c r="F428">
        <v>904</v>
      </c>
      <c r="G428">
        <v>3.7699999999999997E-2</v>
      </c>
      <c r="H428">
        <v>33.840000000000003</v>
      </c>
      <c r="I428" t="s">
        <v>29</v>
      </c>
      <c r="K428">
        <v>21</v>
      </c>
      <c r="L428" t="s">
        <v>31</v>
      </c>
      <c r="M428" t="s">
        <v>19</v>
      </c>
      <c r="N428">
        <v>4</v>
      </c>
    </row>
    <row r="429" spans="1:14">
      <c r="A429" t="s">
        <v>461</v>
      </c>
      <c r="B429">
        <v>5394</v>
      </c>
      <c r="C429">
        <v>54.49</v>
      </c>
      <c r="D429" t="s">
        <v>28</v>
      </c>
      <c r="E429">
        <v>28921</v>
      </c>
      <c r="F429">
        <v>2078</v>
      </c>
      <c r="G429">
        <v>0.1676</v>
      </c>
      <c r="I429" t="s">
        <v>49</v>
      </c>
      <c r="J429" s="11">
        <v>0</v>
      </c>
      <c r="K429">
        <v>37</v>
      </c>
      <c r="L429" t="s">
        <v>18</v>
      </c>
      <c r="M429" t="s">
        <v>32</v>
      </c>
      <c r="N429">
        <v>5</v>
      </c>
    </row>
    <row r="430" spans="1:14">
      <c r="A430" t="s">
        <v>462</v>
      </c>
      <c r="B430">
        <v>3744</v>
      </c>
      <c r="C430">
        <v>35.61</v>
      </c>
      <c r="D430" t="s">
        <v>40</v>
      </c>
      <c r="E430">
        <v>16843</v>
      </c>
      <c r="F430">
        <v>2175</v>
      </c>
      <c r="G430">
        <v>0.13200000000000001</v>
      </c>
      <c r="I430" t="s">
        <v>29</v>
      </c>
      <c r="J430" s="11">
        <v>0</v>
      </c>
      <c r="K430">
        <v>47</v>
      </c>
      <c r="L430" t="s">
        <v>37</v>
      </c>
      <c r="M430" t="s">
        <v>38</v>
      </c>
      <c r="N430">
        <v>2</v>
      </c>
    </row>
    <row r="431" spans="1:14">
      <c r="A431" t="s">
        <v>463</v>
      </c>
      <c r="B431">
        <v>1604</v>
      </c>
      <c r="C431">
        <v>87.98</v>
      </c>
      <c r="D431" t="s">
        <v>25</v>
      </c>
      <c r="E431">
        <v>2056</v>
      </c>
      <c r="F431">
        <v>6581</v>
      </c>
      <c r="G431">
        <v>0.1079</v>
      </c>
      <c r="H431">
        <v>193.21</v>
      </c>
      <c r="I431" t="s">
        <v>29</v>
      </c>
      <c r="J431" s="11">
        <v>1</v>
      </c>
      <c r="K431">
        <v>62</v>
      </c>
      <c r="L431" t="s">
        <v>37</v>
      </c>
      <c r="N431">
        <v>1</v>
      </c>
    </row>
    <row r="432" spans="1:14">
      <c r="A432" t="s">
        <v>464</v>
      </c>
      <c r="B432">
        <v>6366</v>
      </c>
      <c r="D432" t="s">
        <v>40</v>
      </c>
      <c r="E432">
        <v>9713</v>
      </c>
      <c r="F432">
        <v>3141</v>
      </c>
      <c r="G432">
        <v>0.1749</v>
      </c>
      <c r="I432" t="s">
        <v>21</v>
      </c>
      <c r="K432">
        <v>62</v>
      </c>
      <c r="L432" t="s">
        <v>31</v>
      </c>
      <c r="M432" t="s">
        <v>38</v>
      </c>
      <c r="N432">
        <v>1</v>
      </c>
    </row>
    <row r="433" spans="1:14">
      <c r="A433" t="s">
        <v>465</v>
      </c>
      <c r="B433">
        <v>7542</v>
      </c>
      <c r="C433">
        <v>183.6</v>
      </c>
      <c r="D433" t="s">
        <v>15</v>
      </c>
      <c r="E433">
        <v>76606</v>
      </c>
      <c r="F433">
        <v>9202</v>
      </c>
      <c r="G433">
        <v>0.1406</v>
      </c>
      <c r="H433">
        <v>14.34</v>
      </c>
      <c r="I433" t="s">
        <v>34</v>
      </c>
      <c r="K433">
        <v>50</v>
      </c>
      <c r="L433" t="s">
        <v>22</v>
      </c>
      <c r="M433" t="s">
        <v>45</v>
      </c>
    </row>
    <row r="434" spans="1:14">
      <c r="A434" t="s">
        <v>466</v>
      </c>
      <c r="B434">
        <v>5126</v>
      </c>
      <c r="D434" t="s">
        <v>45</v>
      </c>
      <c r="E434">
        <v>9111</v>
      </c>
      <c r="F434">
        <v>963</v>
      </c>
      <c r="G434">
        <v>0.126</v>
      </c>
      <c r="H434">
        <v>408.5</v>
      </c>
      <c r="I434" t="s">
        <v>21</v>
      </c>
      <c r="L434" t="s">
        <v>18</v>
      </c>
      <c r="M434" t="s">
        <v>32</v>
      </c>
      <c r="N434">
        <v>2</v>
      </c>
    </row>
    <row r="435" spans="1:14">
      <c r="A435" t="s">
        <v>467</v>
      </c>
      <c r="B435">
        <v>6197</v>
      </c>
      <c r="C435">
        <v>76.89</v>
      </c>
      <c r="D435" t="s">
        <v>25</v>
      </c>
      <c r="E435">
        <v>61677</v>
      </c>
      <c r="F435">
        <v>1437</v>
      </c>
      <c r="H435">
        <v>98.61</v>
      </c>
      <c r="I435" t="s">
        <v>21</v>
      </c>
      <c r="J435" s="11">
        <v>1</v>
      </c>
      <c r="K435">
        <v>56</v>
      </c>
      <c r="L435" t="s">
        <v>22</v>
      </c>
      <c r="N435">
        <v>5</v>
      </c>
    </row>
    <row r="436" spans="1:14">
      <c r="A436" t="s">
        <v>468</v>
      </c>
      <c r="B436">
        <v>5543</v>
      </c>
      <c r="D436" t="s">
        <v>45</v>
      </c>
      <c r="E436">
        <v>36058</v>
      </c>
      <c r="F436">
        <v>2568</v>
      </c>
      <c r="G436">
        <v>0.16950000000000001</v>
      </c>
      <c r="H436">
        <v>409.67</v>
      </c>
      <c r="I436" t="s">
        <v>26</v>
      </c>
      <c r="K436">
        <v>44</v>
      </c>
      <c r="L436" t="s">
        <v>37</v>
      </c>
      <c r="M436" t="s">
        <v>32</v>
      </c>
      <c r="N436">
        <v>2</v>
      </c>
    </row>
    <row r="437" spans="1:14">
      <c r="A437" t="s">
        <v>469</v>
      </c>
      <c r="B437">
        <v>3192</v>
      </c>
      <c r="C437">
        <v>85.51</v>
      </c>
      <c r="D437" t="s">
        <v>28</v>
      </c>
      <c r="E437">
        <v>2065</v>
      </c>
      <c r="F437">
        <v>2718</v>
      </c>
      <c r="G437">
        <v>0.1386</v>
      </c>
      <c r="H437">
        <v>329.44</v>
      </c>
      <c r="I437" t="s">
        <v>17</v>
      </c>
      <c r="J437" s="11">
        <v>1</v>
      </c>
      <c r="K437">
        <v>22</v>
      </c>
      <c r="L437" t="s">
        <v>37</v>
      </c>
      <c r="N437">
        <v>2</v>
      </c>
    </row>
    <row r="438" spans="1:14">
      <c r="A438" t="s">
        <v>470</v>
      </c>
      <c r="B438">
        <v>2870</v>
      </c>
      <c r="C438">
        <v>151</v>
      </c>
      <c r="D438" t="s">
        <v>28</v>
      </c>
      <c r="E438">
        <v>43264</v>
      </c>
      <c r="F438">
        <v>540</v>
      </c>
      <c r="H438">
        <v>94.17</v>
      </c>
      <c r="I438" t="s">
        <v>29</v>
      </c>
      <c r="K438">
        <v>49</v>
      </c>
      <c r="L438" t="s">
        <v>31</v>
      </c>
      <c r="M438" t="s">
        <v>38</v>
      </c>
      <c r="N438">
        <v>4</v>
      </c>
    </row>
    <row r="439" spans="1:14">
      <c r="A439" t="s">
        <v>471</v>
      </c>
      <c r="B439">
        <v>2471</v>
      </c>
      <c r="C439">
        <v>134.26</v>
      </c>
      <c r="D439" t="s">
        <v>25</v>
      </c>
      <c r="E439">
        <v>19699</v>
      </c>
      <c r="F439">
        <v>829</v>
      </c>
      <c r="G439">
        <v>4.6800000000000001E-2</v>
      </c>
      <c r="H439">
        <v>197.04</v>
      </c>
      <c r="I439" t="s">
        <v>21</v>
      </c>
      <c r="K439">
        <v>56</v>
      </c>
      <c r="L439" t="s">
        <v>18</v>
      </c>
      <c r="M439" t="s">
        <v>19</v>
      </c>
      <c r="N439">
        <v>4</v>
      </c>
    </row>
    <row r="440" spans="1:14">
      <c r="A440" t="s">
        <v>472</v>
      </c>
      <c r="B440">
        <v>6774</v>
      </c>
      <c r="C440">
        <v>169.71</v>
      </c>
      <c r="D440" t="s">
        <v>25</v>
      </c>
      <c r="E440">
        <v>95598</v>
      </c>
      <c r="F440">
        <v>5711</v>
      </c>
      <c r="G440">
        <v>0.17599999999999999</v>
      </c>
      <c r="H440">
        <v>234.68</v>
      </c>
      <c r="I440" t="s">
        <v>17</v>
      </c>
      <c r="J440" s="11">
        <v>0</v>
      </c>
      <c r="K440">
        <v>62</v>
      </c>
      <c r="L440" t="s">
        <v>37</v>
      </c>
      <c r="M440" t="s">
        <v>32</v>
      </c>
    </row>
    <row r="441" spans="1:14">
      <c r="A441" t="s">
        <v>473</v>
      </c>
      <c r="B441">
        <v>9135</v>
      </c>
      <c r="C441">
        <v>45.7</v>
      </c>
      <c r="D441" t="s">
        <v>28</v>
      </c>
      <c r="E441">
        <v>38568</v>
      </c>
      <c r="F441">
        <v>4712</v>
      </c>
      <c r="G441">
        <v>3.6799999999999999E-2</v>
      </c>
      <c r="H441">
        <v>398.32</v>
      </c>
      <c r="I441" t="s">
        <v>34</v>
      </c>
      <c r="K441">
        <v>65</v>
      </c>
      <c r="L441" t="s">
        <v>37</v>
      </c>
      <c r="M441" t="s">
        <v>38</v>
      </c>
      <c r="N441">
        <v>4</v>
      </c>
    </row>
    <row r="442" spans="1:14">
      <c r="A442" t="s">
        <v>474</v>
      </c>
      <c r="B442">
        <v>4623</v>
      </c>
      <c r="C442">
        <v>163.52000000000001</v>
      </c>
      <c r="D442" t="s">
        <v>25</v>
      </c>
      <c r="E442">
        <v>56165</v>
      </c>
      <c r="F442">
        <v>3562</v>
      </c>
      <c r="G442">
        <v>3.5400000000000001E-2</v>
      </c>
      <c r="H442">
        <v>356.24</v>
      </c>
      <c r="I442" t="s">
        <v>34</v>
      </c>
      <c r="J442" s="11">
        <v>0</v>
      </c>
      <c r="K442">
        <v>18</v>
      </c>
      <c r="L442" t="s">
        <v>31</v>
      </c>
      <c r="M442" t="s">
        <v>32</v>
      </c>
      <c r="N442">
        <v>4</v>
      </c>
    </row>
    <row r="443" spans="1:14">
      <c r="A443" t="s">
        <v>475</v>
      </c>
      <c r="B443">
        <v>4800</v>
      </c>
      <c r="C443">
        <v>87.66</v>
      </c>
      <c r="D443" t="s">
        <v>45</v>
      </c>
      <c r="E443">
        <v>1476</v>
      </c>
      <c r="F443">
        <v>766</v>
      </c>
      <c r="G443">
        <v>0.1009</v>
      </c>
      <c r="H443">
        <v>326.77</v>
      </c>
      <c r="I443" t="s">
        <v>26</v>
      </c>
      <c r="J443" s="11">
        <v>0</v>
      </c>
      <c r="K443">
        <v>27</v>
      </c>
      <c r="L443" t="s">
        <v>31</v>
      </c>
      <c r="M443" t="s">
        <v>32</v>
      </c>
      <c r="N443">
        <v>2</v>
      </c>
    </row>
    <row r="444" spans="1:14">
      <c r="A444" t="s">
        <v>476</v>
      </c>
      <c r="B444">
        <v>8731</v>
      </c>
      <c r="C444">
        <v>130.24</v>
      </c>
      <c r="D444" t="s">
        <v>28</v>
      </c>
      <c r="E444">
        <v>78989</v>
      </c>
      <c r="F444">
        <v>1010</v>
      </c>
      <c r="G444">
        <v>9.5100000000000004E-2</v>
      </c>
      <c r="H444">
        <v>306.39999999999998</v>
      </c>
      <c r="I444" t="s">
        <v>26</v>
      </c>
      <c r="K444">
        <v>36</v>
      </c>
      <c r="L444" t="s">
        <v>31</v>
      </c>
      <c r="M444" t="s">
        <v>32</v>
      </c>
      <c r="N444">
        <v>5</v>
      </c>
    </row>
    <row r="445" spans="1:14">
      <c r="A445" t="s">
        <v>477</v>
      </c>
      <c r="B445">
        <v>8841</v>
      </c>
      <c r="C445">
        <v>176.43</v>
      </c>
      <c r="D445" t="s">
        <v>28</v>
      </c>
      <c r="E445">
        <v>24613</v>
      </c>
      <c r="F445">
        <v>3488</v>
      </c>
      <c r="G445">
        <v>0.11890000000000001</v>
      </c>
      <c r="H445">
        <v>84.43</v>
      </c>
      <c r="I445" t="s">
        <v>26</v>
      </c>
      <c r="L445" t="s">
        <v>18</v>
      </c>
      <c r="M445" t="s">
        <v>32</v>
      </c>
      <c r="N445">
        <v>2</v>
      </c>
    </row>
    <row r="446" spans="1:14">
      <c r="A446" t="s">
        <v>478</v>
      </c>
      <c r="B446">
        <v>5599</v>
      </c>
      <c r="C446">
        <v>143.16999999999999</v>
      </c>
      <c r="D446" t="s">
        <v>28</v>
      </c>
      <c r="E446">
        <v>78341</v>
      </c>
      <c r="F446">
        <v>8952</v>
      </c>
      <c r="G446">
        <v>0.1012</v>
      </c>
      <c r="H446">
        <v>326.95</v>
      </c>
      <c r="I446" t="s">
        <v>34</v>
      </c>
      <c r="K446">
        <v>45</v>
      </c>
      <c r="L446" t="s">
        <v>18</v>
      </c>
      <c r="N446">
        <v>2</v>
      </c>
    </row>
    <row r="447" spans="1:14">
      <c r="A447" t="s">
        <v>479</v>
      </c>
      <c r="B447">
        <v>3361</v>
      </c>
      <c r="C447">
        <v>69.010000000000005</v>
      </c>
      <c r="D447" t="s">
        <v>28</v>
      </c>
      <c r="E447">
        <v>88518</v>
      </c>
      <c r="F447">
        <v>9198</v>
      </c>
      <c r="G447">
        <v>7.9600000000000004E-2</v>
      </c>
      <c r="I447" t="s">
        <v>26</v>
      </c>
      <c r="J447" s="11">
        <v>1</v>
      </c>
      <c r="K447">
        <v>33</v>
      </c>
      <c r="L447" t="s">
        <v>37</v>
      </c>
      <c r="M447" t="s">
        <v>23</v>
      </c>
      <c r="N447">
        <v>1</v>
      </c>
    </row>
    <row r="448" spans="1:14">
      <c r="A448" t="s">
        <v>480</v>
      </c>
      <c r="B448">
        <v>9027</v>
      </c>
      <c r="D448" t="s">
        <v>25</v>
      </c>
      <c r="E448">
        <v>37350</v>
      </c>
      <c r="F448">
        <v>1048</v>
      </c>
      <c r="G448">
        <v>0.1198</v>
      </c>
      <c r="H448">
        <v>403.15</v>
      </c>
      <c r="I448" t="s">
        <v>34</v>
      </c>
      <c r="K448">
        <v>62</v>
      </c>
      <c r="L448" t="s">
        <v>37</v>
      </c>
      <c r="M448" t="s">
        <v>19</v>
      </c>
      <c r="N448">
        <v>1</v>
      </c>
    </row>
    <row r="449" spans="1:14">
      <c r="A449" t="s">
        <v>481</v>
      </c>
      <c r="B449">
        <v>2332</v>
      </c>
      <c r="C449">
        <v>125.13</v>
      </c>
      <c r="D449" t="s">
        <v>40</v>
      </c>
      <c r="E449">
        <v>15741</v>
      </c>
      <c r="F449">
        <v>4863</v>
      </c>
      <c r="G449">
        <v>0.1037</v>
      </c>
      <c r="H449">
        <v>370.41</v>
      </c>
      <c r="I449" t="s">
        <v>34</v>
      </c>
      <c r="J449" s="11">
        <v>1</v>
      </c>
      <c r="K449">
        <v>18</v>
      </c>
      <c r="L449" t="s">
        <v>22</v>
      </c>
      <c r="M449" t="s">
        <v>19</v>
      </c>
      <c r="N449">
        <v>2</v>
      </c>
    </row>
    <row r="450" spans="1:14">
      <c r="A450" t="s">
        <v>482</v>
      </c>
      <c r="B450">
        <v>7006</v>
      </c>
      <c r="C450">
        <v>8.06</v>
      </c>
      <c r="D450" t="s">
        <v>40</v>
      </c>
      <c r="E450">
        <v>14100</v>
      </c>
      <c r="F450">
        <v>6779</v>
      </c>
      <c r="G450">
        <v>5.6800000000000003E-2</v>
      </c>
      <c r="H450">
        <v>72.66</v>
      </c>
      <c r="I450" t="s">
        <v>21</v>
      </c>
      <c r="K450">
        <v>25</v>
      </c>
      <c r="L450" t="s">
        <v>37</v>
      </c>
      <c r="M450" t="s">
        <v>19</v>
      </c>
      <c r="N450">
        <v>1</v>
      </c>
    </row>
    <row r="451" spans="1:14">
      <c r="A451" t="s">
        <v>483</v>
      </c>
      <c r="B451">
        <v>9380</v>
      </c>
      <c r="C451">
        <v>152.94</v>
      </c>
      <c r="D451" t="s">
        <v>25</v>
      </c>
      <c r="E451">
        <v>33287</v>
      </c>
      <c r="F451">
        <v>2769</v>
      </c>
      <c r="G451">
        <v>5.5500000000000001E-2</v>
      </c>
      <c r="H451">
        <v>365.69</v>
      </c>
      <c r="I451" t="s">
        <v>29</v>
      </c>
      <c r="K451">
        <v>45</v>
      </c>
      <c r="L451" t="s">
        <v>37</v>
      </c>
      <c r="N451">
        <v>2</v>
      </c>
    </row>
    <row r="452" spans="1:14">
      <c r="A452" t="s">
        <v>484</v>
      </c>
      <c r="B452">
        <v>9977</v>
      </c>
      <c r="D452" t="s">
        <v>32</v>
      </c>
      <c r="E452">
        <v>31477</v>
      </c>
      <c r="F452">
        <v>7157</v>
      </c>
      <c r="G452">
        <v>1.8800000000000001E-2</v>
      </c>
      <c r="H452">
        <v>132.55000000000001</v>
      </c>
      <c r="I452" t="s">
        <v>29</v>
      </c>
      <c r="J452" s="11">
        <v>0</v>
      </c>
      <c r="K452">
        <v>19</v>
      </c>
      <c r="L452" t="s">
        <v>22</v>
      </c>
      <c r="M452" t="s">
        <v>32</v>
      </c>
      <c r="N452">
        <v>5</v>
      </c>
    </row>
    <row r="453" spans="1:14">
      <c r="A453" t="s">
        <v>485</v>
      </c>
      <c r="B453">
        <v>4372</v>
      </c>
      <c r="D453" t="s">
        <v>32</v>
      </c>
      <c r="E453">
        <v>69056</v>
      </c>
      <c r="F453">
        <v>4586</v>
      </c>
      <c r="G453">
        <v>0.19789999999999999</v>
      </c>
      <c r="H453">
        <v>93.24</v>
      </c>
      <c r="I453" t="s">
        <v>26</v>
      </c>
      <c r="L453" t="s">
        <v>22</v>
      </c>
      <c r="M453" t="s">
        <v>23</v>
      </c>
      <c r="N453">
        <v>1</v>
      </c>
    </row>
    <row r="454" spans="1:14">
      <c r="A454" t="s">
        <v>486</v>
      </c>
      <c r="B454">
        <v>5532</v>
      </c>
      <c r="C454">
        <v>9.81</v>
      </c>
      <c r="D454" t="s">
        <v>40</v>
      </c>
      <c r="E454">
        <v>87400</v>
      </c>
      <c r="F454">
        <v>9346</v>
      </c>
      <c r="I454" t="s">
        <v>34</v>
      </c>
      <c r="K454">
        <v>64</v>
      </c>
      <c r="L454" t="s">
        <v>18</v>
      </c>
      <c r="M454" t="s">
        <v>38</v>
      </c>
      <c r="N454">
        <v>3</v>
      </c>
    </row>
    <row r="455" spans="1:14">
      <c r="A455" t="s">
        <v>487</v>
      </c>
      <c r="B455">
        <v>7871</v>
      </c>
      <c r="D455" t="s">
        <v>25</v>
      </c>
      <c r="E455">
        <v>89041</v>
      </c>
      <c r="F455">
        <v>5329</v>
      </c>
      <c r="G455">
        <v>0.12520000000000001</v>
      </c>
      <c r="I455" t="s">
        <v>26</v>
      </c>
      <c r="J455" s="11">
        <v>0</v>
      </c>
      <c r="L455" t="s">
        <v>22</v>
      </c>
      <c r="M455" t="s">
        <v>19</v>
      </c>
      <c r="N455">
        <v>3</v>
      </c>
    </row>
    <row r="456" spans="1:14">
      <c r="A456" t="s">
        <v>488</v>
      </c>
      <c r="B456">
        <v>4850</v>
      </c>
      <c r="C456">
        <v>187.6</v>
      </c>
      <c r="D456" t="s">
        <v>40</v>
      </c>
      <c r="E456">
        <v>56846</v>
      </c>
      <c r="F456">
        <v>5840</v>
      </c>
      <c r="G456">
        <v>0.1358</v>
      </c>
      <c r="H456">
        <v>433</v>
      </c>
      <c r="I456" t="s">
        <v>21</v>
      </c>
      <c r="J456" s="11">
        <v>1</v>
      </c>
      <c r="K456">
        <v>57</v>
      </c>
      <c r="L456" t="s">
        <v>37</v>
      </c>
      <c r="N456">
        <v>3</v>
      </c>
    </row>
    <row r="457" spans="1:14">
      <c r="A457" t="s">
        <v>489</v>
      </c>
      <c r="B457">
        <v>3230</v>
      </c>
      <c r="C457">
        <v>163.61000000000001</v>
      </c>
      <c r="D457" t="s">
        <v>28</v>
      </c>
      <c r="E457">
        <v>26442</v>
      </c>
      <c r="F457">
        <v>8994</v>
      </c>
      <c r="G457">
        <v>1.5900000000000001E-2</v>
      </c>
      <c r="H457">
        <v>113.31</v>
      </c>
      <c r="I457" t="s">
        <v>21</v>
      </c>
      <c r="J457" s="11">
        <v>1</v>
      </c>
      <c r="L457" t="s">
        <v>22</v>
      </c>
      <c r="N457">
        <v>1</v>
      </c>
    </row>
    <row r="458" spans="1:14">
      <c r="A458" t="s">
        <v>490</v>
      </c>
      <c r="B458">
        <v>4423</v>
      </c>
      <c r="D458" t="s">
        <v>25</v>
      </c>
      <c r="E458">
        <v>1409</v>
      </c>
      <c r="F458">
        <v>2793</v>
      </c>
      <c r="G458">
        <v>9.7799999999999998E-2</v>
      </c>
      <c r="H458">
        <v>42.79</v>
      </c>
      <c r="I458" t="s">
        <v>26</v>
      </c>
      <c r="J458" s="11">
        <v>0</v>
      </c>
      <c r="K458">
        <v>27</v>
      </c>
      <c r="L458" t="s">
        <v>37</v>
      </c>
      <c r="M458" t="s">
        <v>19</v>
      </c>
      <c r="N458">
        <v>2</v>
      </c>
    </row>
    <row r="459" spans="1:14">
      <c r="A459" t="s">
        <v>491</v>
      </c>
      <c r="B459">
        <v>1353</v>
      </c>
      <c r="C459">
        <v>89.92</v>
      </c>
      <c r="D459" t="s">
        <v>45</v>
      </c>
      <c r="E459">
        <v>11308</v>
      </c>
      <c r="F459">
        <v>4850</v>
      </c>
      <c r="G459">
        <v>0.16189999999999999</v>
      </c>
      <c r="H459">
        <v>487.93</v>
      </c>
      <c r="I459" t="s">
        <v>17</v>
      </c>
      <c r="K459">
        <v>58</v>
      </c>
      <c r="L459" t="s">
        <v>31</v>
      </c>
      <c r="M459" t="s">
        <v>23</v>
      </c>
      <c r="N459">
        <v>5</v>
      </c>
    </row>
    <row r="460" spans="1:14">
      <c r="A460" t="s">
        <v>492</v>
      </c>
      <c r="B460">
        <v>5466</v>
      </c>
      <c r="C460">
        <v>73.010000000000005</v>
      </c>
      <c r="D460" t="s">
        <v>15</v>
      </c>
      <c r="E460">
        <v>73072</v>
      </c>
      <c r="F460">
        <v>5366</v>
      </c>
      <c r="G460">
        <v>0.104</v>
      </c>
      <c r="H460">
        <v>413.49</v>
      </c>
      <c r="I460" t="s">
        <v>17</v>
      </c>
      <c r="J460" s="11">
        <v>0</v>
      </c>
      <c r="K460">
        <v>19</v>
      </c>
      <c r="L460" t="s">
        <v>37</v>
      </c>
      <c r="M460" t="s">
        <v>32</v>
      </c>
      <c r="N460">
        <v>1</v>
      </c>
    </row>
    <row r="461" spans="1:14">
      <c r="A461" t="s">
        <v>493</v>
      </c>
      <c r="B461">
        <v>9379</v>
      </c>
      <c r="C461">
        <v>27.67</v>
      </c>
      <c r="D461" t="s">
        <v>40</v>
      </c>
      <c r="E461">
        <v>33972</v>
      </c>
      <c r="F461" t="s">
        <v>16</v>
      </c>
      <c r="G461">
        <v>5.0900000000000001E-2</v>
      </c>
      <c r="H461">
        <v>347.73</v>
      </c>
      <c r="I461" t="s">
        <v>21</v>
      </c>
      <c r="J461" s="11">
        <v>0</v>
      </c>
      <c r="K461">
        <v>61</v>
      </c>
      <c r="L461" t="s">
        <v>18</v>
      </c>
      <c r="M461" t="s">
        <v>45</v>
      </c>
      <c r="N461">
        <v>1</v>
      </c>
    </row>
    <row r="462" spans="1:14">
      <c r="A462" t="s">
        <v>494</v>
      </c>
      <c r="B462">
        <v>6035</v>
      </c>
      <c r="C462">
        <v>66.45</v>
      </c>
      <c r="D462" t="s">
        <v>25</v>
      </c>
      <c r="E462">
        <v>71605</v>
      </c>
      <c r="F462">
        <v>6845</v>
      </c>
      <c r="G462">
        <v>0.14169999999999999</v>
      </c>
      <c r="H462">
        <v>452.65</v>
      </c>
      <c r="I462" t="s">
        <v>34</v>
      </c>
      <c r="K462">
        <v>61</v>
      </c>
      <c r="L462" t="s">
        <v>31</v>
      </c>
      <c r="N462">
        <v>3</v>
      </c>
    </row>
    <row r="463" spans="1:14">
      <c r="A463" t="s">
        <v>495</v>
      </c>
      <c r="B463">
        <v>2380</v>
      </c>
      <c r="C463">
        <v>183.98</v>
      </c>
      <c r="D463" t="s">
        <v>28</v>
      </c>
      <c r="E463">
        <v>78738</v>
      </c>
      <c r="F463">
        <v>7603</v>
      </c>
      <c r="G463">
        <v>0.1201</v>
      </c>
      <c r="H463">
        <v>157.46</v>
      </c>
      <c r="I463" t="s">
        <v>34</v>
      </c>
      <c r="J463" s="11">
        <v>0</v>
      </c>
      <c r="K463">
        <v>52</v>
      </c>
      <c r="L463" t="s">
        <v>18</v>
      </c>
      <c r="M463" t="s">
        <v>19</v>
      </c>
      <c r="N463">
        <v>1</v>
      </c>
    </row>
    <row r="464" spans="1:14">
      <c r="A464" t="s">
        <v>496</v>
      </c>
      <c r="B464">
        <v>3419</v>
      </c>
      <c r="C464">
        <v>39.479999999999997</v>
      </c>
      <c r="D464" t="s">
        <v>32</v>
      </c>
      <c r="E464">
        <v>33849</v>
      </c>
      <c r="F464">
        <v>1963</v>
      </c>
      <c r="H464">
        <v>323.02</v>
      </c>
      <c r="I464" t="s">
        <v>34</v>
      </c>
      <c r="J464" s="11">
        <v>0</v>
      </c>
      <c r="K464">
        <v>47</v>
      </c>
      <c r="L464" t="s">
        <v>22</v>
      </c>
      <c r="M464" t="s">
        <v>38</v>
      </c>
      <c r="N464">
        <v>1</v>
      </c>
    </row>
    <row r="465" spans="1:14">
      <c r="A465" t="s">
        <v>497</v>
      </c>
      <c r="B465">
        <v>7405</v>
      </c>
      <c r="C465">
        <v>134.35</v>
      </c>
      <c r="D465" t="s">
        <v>28</v>
      </c>
      <c r="E465">
        <v>21144</v>
      </c>
      <c r="F465">
        <v>3245</v>
      </c>
      <c r="G465">
        <v>8.7900000000000006E-2</v>
      </c>
      <c r="H465">
        <v>29.32</v>
      </c>
      <c r="I465" t="s">
        <v>34</v>
      </c>
      <c r="J465" s="11">
        <v>1</v>
      </c>
      <c r="K465">
        <v>19</v>
      </c>
      <c r="L465" t="s">
        <v>18</v>
      </c>
      <c r="M465" t="s">
        <v>38</v>
      </c>
      <c r="N465">
        <v>5</v>
      </c>
    </row>
    <row r="466" spans="1:14">
      <c r="A466" t="s">
        <v>498</v>
      </c>
      <c r="B466">
        <v>4424</v>
      </c>
      <c r="C466">
        <v>12.41</v>
      </c>
      <c r="D466" t="s">
        <v>32</v>
      </c>
      <c r="E466">
        <v>89471</v>
      </c>
      <c r="F466">
        <v>1269</v>
      </c>
      <c r="G466">
        <v>0.1037</v>
      </c>
      <c r="H466">
        <v>418.86</v>
      </c>
      <c r="I466" t="s">
        <v>26</v>
      </c>
      <c r="J466" s="11">
        <v>0</v>
      </c>
      <c r="K466">
        <v>42</v>
      </c>
      <c r="L466" t="s">
        <v>22</v>
      </c>
      <c r="M466" t="s">
        <v>23</v>
      </c>
      <c r="N466">
        <v>4</v>
      </c>
    </row>
    <row r="467" spans="1:14">
      <c r="A467" t="s">
        <v>499</v>
      </c>
      <c r="B467">
        <v>9243</v>
      </c>
      <c r="D467" t="s">
        <v>40</v>
      </c>
      <c r="E467">
        <v>15016</v>
      </c>
      <c r="F467" t="s">
        <v>16</v>
      </c>
      <c r="G467">
        <v>1.9900000000000001E-2</v>
      </c>
      <c r="H467">
        <v>241.93</v>
      </c>
      <c r="I467" t="s">
        <v>21</v>
      </c>
      <c r="J467" s="11">
        <v>1</v>
      </c>
      <c r="K467">
        <v>50</v>
      </c>
      <c r="L467" t="s">
        <v>18</v>
      </c>
    </row>
    <row r="468" spans="1:14">
      <c r="A468" t="s">
        <v>500</v>
      </c>
      <c r="B468">
        <v>1342</v>
      </c>
      <c r="C468">
        <v>51.64</v>
      </c>
      <c r="D468" t="s">
        <v>45</v>
      </c>
      <c r="E468">
        <v>32820</v>
      </c>
      <c r="F468">
        <v>7313</v>
      </c>
      <c r="H468">
        <v>135.22</v>
      </c>
      <c r="I468" t="s">
        <v>49</v>
      </c>
      <c r="J468" s="11">
        <v>1</v>
      </c>
      <c r="K468">
        <v>23</v>
      </c>
      <c r="L468" t="s">
        <v>37</v>
      </c>
      <c r="M468" t="s">
        <v>32</v>
      </c>
      <c r="N468">
        <v>3</v>
      </c>
    </row>
    <row r="469" spans="1:14">
      <c r="A469" t="s">
        <v>501</v>
      </c>
      <c r="B469">
        <v>3340</v>
      </c>
      <c r="D469" t="s">
        <v>32</v>
      </c>
      <c r="E469">
        <v>51376</v>
      </c>
      <c r="F469">
        <v>645</v>
      </c>
      <c r="G469">
        <v>0.1241</v>
      </c>
      <c r="H469">
        <v>358.37</v>
      </c>
      <c r="I469" t="s">
        <v>21</v>
      </c>
      <c r="J469" s="11">
        <v>1</v>
      </c>
      <c r="K469">
        <v>25</v>
      </c>
      <c r="L469" t="s">
        <v>31</v>
      </c>
    </row>
    <row r="470" spans="1:14">
      <c r="A470" t="s">
        <v>502</v>
      </c>
      <c r="B470">
        <v>5994</v>
      </c>
      <c r="C470">
        <v>54.57</v>
      </c>
      <c r="D470" t="s">
        <v>28</v>
      </c>
      <c r="E470">
        <v>9469</v>
      </c>
      <c r="F470">
        <v>8598</v>
      </c>
      <c r="G470">
        <v>7.2599999999999998E-2</v>
      </c>
      <c r="H470">
        <v>416.51</v>
      </c>
      <c r="I470" t="s">
        <v>34</v>
      </c>
      <c r="J470" s="11">
        <v>1</v>
      </c>
      <c r="K470">
        <v>58</v>
      </c>
      <c r="L470" t="s">
        <v>18</v>
      </c>
      <c r="M470" t="s">
        <v>38</v>
      </c>
      <c r="N470">
        <v>4</v>
      </c>
    </row>
    <row r="471" spans="1:14">
      <c r="A471" t="s">
        <v>503</v>
      </c>
      <c r="B471">
        <v>3281</v>
      </c>
      <c r="D471" t="s">
        <v>45</v>
      </c>
      <c r="E471">
        <v>98798</v>
      </c>
      <c r="F471">
        <v>9112</v>
      </c>
      <c r="G471">
        <v>3.7699999999999997E-2</v>
      </c>
      <c r="H471">
        <v>172.53</v>
      </c>
      <c r="I471" t="s">
        <v>26</v>
      </c>
      <c r="J471" s="11">
        <v>0</v>
      </c>
      <c r="K471">
        <v>22</v>
      </c>
      <c r="L471" t="s">
        <v>22</v>
      </c>
      <c r="M471" t="s">
        <v>32</v>
      </c>
      <c r="N471">
        <v>3</v>
      </c>
    </row>
    <row r="472" spans="1:14">
      <c r="A472" t="s">
        <v>504</v>
      </c>
      <c r="B472">
        <v>3505</v>
      </c>
      <c r="C472">
        <v>147.52000000000001</v>
      </c>
      <c r="D472" t="s">
        <v>28</v>
      </c>
      <c r="E472">
        <v>8685</v>
      </c>
      <c r="F472">
        <v>6904</v>
      </c>
      <c r="G472">
        <v>8.72E-2</v>
      </c>
      <c r="I472" t="s">
        <v>29</v>
      </c>
      <c r="K472">
        <v>58</v>
      </c>
      <c r="L472" t="s">
        <v>31</v>
      </c>
      <c r="M472" t="s">
        <v>32</v>
      </c>
      <c r="N472">
        <v>3</v>
      </c>
    </row>
    <row r="473" spans="1:14">
      <c r="A473" t="s">
        <v>505</v>
      </c>
      <c r="B473">
        <v>7334</v>
      </c>
      <c r="C473">
        <v>116.98</v>
      </c>
      <c r="D473" t="s">
        <v>32</v>
      </c>
      <c r="E473">
        <v>99104</v>
      </c>
      <c r="F473">
        <v>545</v>
      </c>
      <c r="G473">
        <v>4.5499999999999999E-2</v>
      </c>
      <c r="H473">
        <v>195.53</v>
      </c>
      <c r="I473" t="s">
        <v>21</v>
      </c>
      <c r="K473">
        <v>45</v>
      </c>
      <c r="L473" t="s">
        <v>31</v>
      </c>
      <c r="M473" t="s">
        <v>23</v>
      </c>
      <c r="N473">
        <v>2</v>
      </c>
    </row>
    <row r="474" spans="1:14">
      <c r="A474" t="s">
        <v>506</v>
      </c>
      <c r="B474">
        <v>7028</v>
      </c>
      <c r="C474">
        <v>157.88999999999999</v>
      </c>
      <c r="D474" t="s">
        <v>25</v>
      </c>
      <c r="E474">
        <v>25776</v>
      </c>
      <c r="F474">
        <v>6946</v>
      </c>
      <c r="G474">
        <v>0.14810000000000001</v>
      </c>
      <c r="H474">
        <v>401.04</v>
      </c>
      <c r="I474" t="s">
        <v>29</v>
      </c>
      <c r="J474" s="11">
        <v>0</v>
      </c>
      <c r="K474">
        <v>32</v>
      </c>
      <c r="L474" t="s">
        <v>22</v>
      </c>
      <c r="M474" t="s">
        <v>45</v>
      </c>
      <c r="N474">
        <v>3</v>
      </c>
    </row>
    <row r="475" spans="1:14">
      <c r="A475" t="s">
        <v>507</v>
      </c>
      <c r="B475">
        <v>2874</v>
      </c>
      <c r="C475">
        <v>88.33</v>
      </c>
      <c r="D475" t="s">
        <v>15</v>
      </c>
      <c r="E475">
        <v>88126</v>
      </c>
      <c r="F475">
        <v>3049</v>
      </c>
      <c r="G475">
        <v>0.1181</v>
      </c>
      <c r="H475">
        <v>453.08</v>
      </c>
      <c r="I475" t="s">
        <v>49</v>
      </c>
      <c r="J475" s="11">
        <v>0</v>
      </c>
      <c r="K475">
        <v>22</v>
      </c>
      <c r="L475" t="s">
        <v>18</v>
      </c>
    </row>
    <row r="476" spans="1:14">
      <c r="A476" t="s">
        <v>508</v>
      </c>
      <c r="B476">
        <v>1452</v>
      </c>
      <c r="C476">
        <v>197.85</v>
      </c>
      <c r="D476" t="s">
        <v>15</v>
      </c>
      <c r="E476">
        <v>5713</v>
      </c>
      <c r="F476">
        <v>781</v>
      </c>
      <c r="H476">
        <v>89.19</v>
      </c>
      <c r="I476" t="s">
        <v>26</v>
      </c>
      <c r="J476" s="11">
        <v>1</v>
      </c>
      <c r="K476">
        <v>28</v>
      </c>
      <c r="L476" t="s">
        <v>18</v>
      </c>
      <c r="M476" t="s">
        <v>32</v>
      </c>
      <c r="N476">
        <v>5</v>
      </c>
    </row>
    <row r="477" spans="1:14">
      <c r="A477" t="s">
        <v>509</v>
      </c>
      <c r="B477">
        <v>4344</v>
      </c>
      <c r="C477">
        <v>104.89</v>
      </c>
      <c r="D477" t="s">
        <v>15</v>
      </c>
      <c r="E477">
        <v>45808</v>
      </c>
      <c r="F477">
        <v>861</v>
      </c>
      <c r="G477">
        <v>0.1842</v>
      </c>
      <c r="H477">
        <v>446.47</v>
      </c>
      <c r="I477" t="s">
        <v>29</v>
      </c>
      <c r="J477" s="11">
        <v>0</v>
      </c>
      <c r="K477">
        <v>33</v>
      </c>
      <c r="L477" t="s">
        <v>22</v>
      </c>
      <c r="M477" t="s">
        <v>32</v>
      </c>
      <c r="N477">
        <v>2</v>
      </c>
    </row>
    <row r="478" spans="1:14">
      <c r="A478" t="s">
        <v>510</v>
      </c>
      <c r="B478">
        <v>5187</v>
      </c>
      <c r="C478">
        <v>118.54</v>
      </c>
      <c r="D478" t="s">
        <v>15</v>
      </c>
      <c r="E478">
        <v>85818</v>
      </c>
      <c r="F478">
        <v>3386</v>
      </c>
      <c r="G478">
        <v>4.53E-2</v>
      </c>
      <c r="H478">
        <v>229.64</v>
      </c>
      <c r="I478" t="s">
        <v>21</v>
      </c>
      <c r="J478" s="11">
        <v>0</v>
      </c>
      <c r="K478">
        <v>58</v>
      </c>
      <c r="L478" t="s">
        <v>37</v>
      </c>
      <c r="M478" t="s">
        <v>32</v>
      </c>
      <c r="N478">
        <v>4</v>
      </c>
    </row>
    <row r="479" spans="1:14">
      <c r="A479" t="s">
        <v>511</v>
      </c>
      <c r="B479">
        <v>4077</v>
      </c>
      <c r="C479">
        <v>37.630000000000003</v>
      </c>
      <c r="D479" t="s">
        <v>15</v>
      </c>
      <c r="E479">
        <v>12785</v>
      </c>
      <c r="F479">
        <v>8580</v>
      </c>
      <c r="G479">
        <v>0.1021</v>
      </c>
      <c r="H479">
        <v>31.54</v>
      </c>
      <c r="I479" t="s">
        <v>26</v>
      </c>
      <c r="K479">
        <v>45</v>
      </c>
      <c r="L479" t="s">
        <v>18</v>
      </c>
      <c r="M479" t="s">
        <v>38</v>
      </c>
      <c r="N479">
        <v>2</v>
      </c>
    </row>
    <row r="480" spans="1:14">
      <c r="A480" t="s">
        <v>512</v>
      </c>
      <c r="B480">
        <v>1012</v>
      </c>
      <c r="C480">
        <v>80.75</v>
      </c>
      <c r="D480" t="s">
        <v>28</v>
      </c>
      <c r="E480">
        <v>75763</v>
      </c>
      <c r="F480">
        <v>6843</v>
      </c>
      <c r="G480">
        <v>0.1678</v>
      </c>
      <c r="I480" t="s">
        <v>26</v>
      </c>
      <c r="K480">
        <v>63</v>
      </c>
      <c r="L480" t="s">
        <v>18</v>
      </c>
      <c r="M480" t="s">
        <v>23</v>
      </c>
    </row>
    <row r="481" spans="1:14">
      <c r="A481" t="s">
        <v>513</v>
      </c>
      <c r="B481">
        <v>9765</v>
      </c>
      <c r="C481">
        <v>154</v>
      </c>
      <c r="D481" t="s">
        <v>28</v>
      </c>
      <c r="E481">
        <v>87592</v>
      </c>
      <c r="F481">
        <v>4106</v>
      </c>
      <c r="G481">
        <v>2.3900000000000001E-2</v>
      </c>
      <c r="H481">
        <v>352.55</v>
      </c>
      <c r="I481" t="s">
        <v>17</v>
      </c>
      <c r="K481">
        <v>56</v>
      </c>
      <c r="L481" t="s">
        <v>37</v>
      </c>
      <c r="M481" t="s">
        <v>23</v>
      </c>
    </row>
    <row r="482" spans="1:14">
      <c r="A482" t="s">
        <v>514</v>
      </c>
      <c r="B482">
        <v>2361</v>
      </c>
      <c r="C482">
        <v>158.58000000000001</v>
      </c>
      <c r="D482" t="s">
        <v>32</v>
      </c>
      <c r="E482">
        <v>68159</v>
      </c>
      <c r="F482">
        <v>7714</v>
      </c>
      <c r="G482">
        <v>5.0700000000000002E-2</v>
      </c>
      <c r="H482">
        <v>200.61</v>
      </c>
      <c r="I482" t="s">
        <v>49</v>
      </c>
      <c r="J482" s="11">
        <v>1</v>
      </c>
      <c r="K482">
        <v>28</v>
      </c>
      <c r="L482" t="s">
        <v>31</v>
      </c>
      <c r="N482">
        <v>3</v>
      </c>
    </row>
    <row r="483" spans="1:14">
      <c r="A483" t="s">
        <v>515</v>
      </c>
      <c r="B483">
        <v>4923</v>
      </c>
      <c r="C483">
        <v>129.79</v>
      </c>
      <c r="D483" t="s">
        <v>28</v>
      </c>
      <c r="E483">
        <v>29734</v>
      </c>
      <c r="F483">
        <v>7661</v>
      </c>
      <c r="G483">
        <v>6.9599999999999995E-2</v>
      </c>
      <c r="I483" t="s">
        <v>17</v>
      </c>
      <c r="J483" s="11">
        <v>1</v>
      </c>
      <c r="K483">
        <v>41</v>
      </c>
      <c r="L483" t="s">
        <v>31</v>
      </c>
      <c r="M483" t="s">
        <v>23</v>
      </c>
      <c r="N483">
        <v>5</v>
      </c>
    </row>
    <row r="484" spans="1:14">
      <c r="A484" t="s">
        <v>516</v>
      </c>
      <c r="B484">
        <v>2340</v>
      </c>
      <c r="C484">
        <v>93.65</v>
      </c>
      <c r="D484" t="s">
        <v>40</v>
      </c>
      <c r="E484">
        <v>67223</v>
      </c>
      <c r="F484">
        <v>4661</v>
      </c>
      <c r="G484">
        <v>0.1114</v>
      </c>
      <c r="H484">
        <v>140.24</v>
      </c>
      <c r="I484" t="s">
        <v>21</v>
      </c>
      <c r="J484" s="11">
        <v>1</v>
      </c>
      <c r="K484">
        <v>54</v>
      </c>
      <c r="L484" t="s">
        <v>22</v>
      </c>
      <c r="M484" t="s">
        <v>32</v>
      </c>
    </row>
    <row r="485" spans="1:14">
      <c r="A485" t="s">
        <v>517</v>
      </c>
      <c r="B485">
        <v>7768</v>
      </c>
      <c r="C485">
        <v>178.14</v>
      </c>
      <c r="D485" t="s">
        <v>32</v>
      </c>
      <c r="E485">
        <v>55322</v>
      </c>
      <c r="F485">
        <v>2533</v>
      </c>
      <c r="G485">
        <v>0.11219999999999999</v>
      </c>
      <c r="H485">
        <v>68</v>
      </c>
      <c r="I485" t="s">
        <v>17</v>
      </c>
      <c r="J485" s="11">
        <v>0</v>
      </c>
      <c r="K485">
        <v>38</v>
      </c>
      <c r="L485" t="s">
        <v>22</v>
      </c>
      <c r="M485" t="s">
        <v>23</v>
      </c>
      <c r="N485">
        <v>3</v>
      </c>
    </row>
    <row r="486" spans="1:14">
      <c r="A486" t="s">
        <v>518</v>
      </c>
      <c r="B486">
        <v>2023</v>
      </c>
      <c r="C486">
        <v>9.09</v>
      </c>
      <c r="D486" t="s">
        <v>25</v>
      </c>
      <c r="E486">
        <v>11673</v>
      </c>
      <c r="F486">
        <v>1441</v>
      </c>
      <c r="H486">
        <v>484.96</v>
      </c>
      <c r="I486" t="s">
        <v>29</v>
      </c>
      <c r="J486" s="11">
        <v>0</v>
      </c>
      <c r="K486">
        <v>24</v>
      </c>
      <c r="L486" t="s">
        <v>37</v>
      </c>
      <c r="M486" t="s">
        <v>38</v>
      </c>
      <c r="N486">
        <v>1</v>
      </c>
    </row>
    <row r="487" spans="1:14">
      <c r="A487" t="s">
        <v>519</v>
      </c>
      <c r="B487">
        <v>5180</v>
      </c>
      <c r="C487">
        <v>26.11</v>
      </c>
      <c r="D487" t="s">
        <v>40</v>
      </c>
      <c r="E487">
        <v>44499</v>
      </c>
      <c r="F487">
        <v>6571</v>
      </c>
      <c r="G487">
        <v>1.8200000000000001E-2</v>
      </c>
      <c r="H487">
        <v>362.16</v>
      </c>
      <c r="I487" t="s">
        <v>26</v>
      </c>
      <c r="J487" s="11">
        <v>0</v>
      </c>
      <c r="K487">
        <v>44</v>
      </c>
      <c r="L487" t="s">
        <v>18</v>
      </c>
      <c r="M487" t="s">
        <v>19</v>
      </c>
      <c r="N487">
        <v>2</v>
      </c>
    </row>
    <row r="488" spans="1:14">
      <c r="A488" t="s">
        <v>520</v>
      </c>
      <c r="B488">
        <v>7731</v>
      </c>
      <c r="C488">
        <v>160.63999999999999</v>
      </c>
      <c r="D488" t="s">
        <v>28</v>
      </c>
      <c r="E488">
        <v>68849</v>
      </c>
      <c r="F488">
        <v>1207</v>
      </c>
      <c r="G488">
        <v>0.1158</v>
      </c>
      <c r="H488">
        <v>161.28</v>
      </c>
      <c r="I488" t="s">
        <v>26</v>
      </c>
      <c r="J488" s="11">
        <v>1</v>
      </c>
      <c r="K488">
        <v>23</v>
      </c>
      <c r="L488" t="s">
        <v>18</v>
      </c>
      <c r="M488" t="s">
        <v>38</v>
      </c>
      <c r="N488">
        <v>3</v>
      </c>
    </row>
    <row r="489" spans="1:14">
      <c r="A489" t="s">
        <v>521</v>
      </c>
      <c r="B489">
        <v>7085</v>
      </c>
      <c r="D489" t="s">
        <v>25</v>
      </c>
      <c r="E489">
        <v>15359</v>
      </c>
      <c r="F489">
        <v>7025</v>
      </c>
      <c r="G489">
        <v>3.2800000000000003E-2</v>
      </c>
      <c r="H489">
        <v>419.02</v>
      </c>
      <c r="I489" t="s">
        <v>26</v>
      </c>
      <c r="J489" s="11">
        <v>0</v>
      </c>
      <c r="K489">
        <v>35</v>
      </c>
      <c r="L489" t="s">
        <v>31</v>
      </c>
      <c r="M489" t="s">
        <v>38</v>
      </c>
      <c r="N489">
        <v>5</v>
      </c>
    </row>
    <row r="490" spans="1:14">
      <c r="A490" t="s">
        <v>522</v>
      </c>
      <c r="B490">
        <v>8265</v>
      </c>
      <c r="C490">
        <v>18.97</v>
      </c>
      <c r="D490" t="s">
        <v>28</v>
      </c>
      <c r="E490">
        <v>5892</v>
      </c>
      <c r="F490">
        <v>2777</v>
      </c>
      <c r="G490">
        <v>0.19889999999999999</v>
      </c>
      <c r="H490">
        <v>330.97</v>
      </c>
      <c r="I490" t="s">
        <v>26</v>
      </c>
      <c r="J490" s="11">
        <v>1</v>
      </c>
      <c r="K490">
        <v>19</v>
      </c>
      <c r="L490" t="s">
        <v>18</v>
      </c>
      <c r="M490" t="s">
        <v>23</v>
      </c>
      <c r="N490">
        <v>1</v>
      </c>
    </row>
    <row r="491" spans="1:14">
      <c r="A491" t="s">
        <v>523</v>
      </c>
      <c r="B491">
        <v>2660</v>
      </c>
      <c r="C491">
        <v>118.89</v>
      </c>
      <c r="D491" t="s">
        <v>28</v>
      </c>
      <c r="E491">
        <v>32142</v>
      </c>
      <c r="F491">
        <v>6037</v>
      </c>
      <c r="G491">
        <v>0.14149999999999999</v>
      </c>
      <c r="H491">
        <v>359.87</v>
      </c>
      <c r="I491" t="s">
        <v>26</v>
      </c>
      <c r="K491">
        <v>18</v>
      </c>
      <c r="L491" t="s">
        <v>37</v>
      </c>
      <c r="N491">
        <v>1</v>
      </c>
    </row>
    <row r="492" spans="1:14">
      <c r="A492" t="s">
        <v>524</v>
      </c>
      <c r="B492">
        <v>5189</v>
      </c>
      <c r="C492">
        <v>112.66</v>
      </c>
      <c r="D492" t="s">
        <v>45</v>
      </c>
      <c r="E492">
        <v>18127</v>
      </c>
      <c r="F492">
        <v>1228</v>
      </c>
      <c r="H492">
        <v>76.87</v>
      </c>
      <c r="I492" t="s">
        <v>21</v>
      </c>
      <c r="K492">
        <v>50</v>
      </c>
      <c r="L492" t="s">
        <v>31</v>
      </c>
      <c r="M492" t="s">
        <v>45</v>
      </c>
      <c r="N492">
        <v>1</v>
      </c>
    </row>
    <row r="493" spans="1:14">
      <c r="A493" t="s">
        <v>525</v>
      </c>
      <c r="B493">
        <v>7324</v>
      </c>
      <c r="C493">
        <v>197.43</v>
      </c>
      <c r="D493" t="s">
        <v>15</v>
      </c>
      <c r="E493">
        <v>22386</v>
      </c>
      <c r="F493">
        <v>8280</v>
      </c>
      <c r="G493">
        <v>7.0300000000000001E-2</v>
      </c>
      <c r="I493" t="s">
        <v>26</v>
      </c>
      <c r="K493">
        <v>26</v>
      </c>
      <c r="L493" t="s">
        <v>37</v>
      </c>
      <c r="M493" t="s">
        <v>32</v>
      </c>
      <c r="N493">
        <v>2</v>
      </c>
    </row>
    <row r="494" spans="1:14">
      <c r="A494" t="s">
        <v>526</v>
      </c>
      <c r="B494">
        <v>1908</v>
      </c>
      <c r="D494" t="s">
        <v>25</v>
      </c>
      <c r="E494">
        <v>34212</v>
      </c>
      <c r="F494">
        <v>5152</v>
      </c>
      <c r="G494">
        <v>0.12740000000000001</v>
      </c>
      <c r="H494">
        <v>351.78</v>
      </c>
      <c r="I494" t="s">
        <v>21</v>
      </c>
      <c r="L494" t="s">
        <v>31</v>
      </c>
      <c r="M494" t="s">
        <v>38</v>
      </c>
      <c r="N494">
        <v>1</v>
      </c>
    </row>
    <row r="495" spans="1:14">
      <c r="A495" t="s">
        <v>527</v>
      </c>
      <c r="B495">
        <v>5808</v>
      </c>
      <c r="C495">
        <v>76</v>
      </c>
      <c r="D495" t="s">
        <v>40</v>
      </c>
      <c r="E495">
        <v>89945</v>
      </c>
      <c r="F495">
        <v>4152</v>
      </c>
      <c r="G495">
        <v>0.19889999999999999</v>
      </c>
      <c r="I495" t="s">
        <v>17</v>
      </c>
      <c r="K495">
        <v>28</v>
      </c>
      <c r="L495" t="s">
        <v>22</v>
      </c>
      <c r="M495" t="s">
        <v>23</v>
      </c>
      <c r="N495">
        <v>3</v>
      </c>
    </row>
    <row r="496" spans="1:14">
      <c r="A496" t="s">
        <v>528</v>
      </c>
      <c r="B496">
        <v>7735</v>
      </c>
      <c r="C496">
        <v>122.55</v>
      </c>
      <c r="D496" t="s">
        <v>40</v>
      </c>
      <c r="E496">
        <v>8138</v>
      </c>
      <c r="F496">
        <v>8939</v>
      </c>
      <c r="G496">
        <v>2.2499999999999999E-2</v>
      </c>
      <c r="H496">
        <v>494.8</v>
      </c>
      <c r="I496" t="s">
        <v>29</v>
      </c>
      <c r="K496">
        <v>53</v>
      </c>
      <c r="L496" t="s">
        <v>18</v>
      </c>
      <c r="M496" t="s">
        <v>23</v>
      </c>
      <c r="N496">
        <v>1</v>
      </c>
    </row>
    <row r="497" spans="1:14">
      <c r="A497" t="s">
        <v>529</v>
      </c>
      <c r="B497">
        <v>2086</v>
      </c>
      <c r="C497">
        <v>114.2</v>
      </c>
      <c r="D497" t="s">
        <v>40</v>
      </c>
      <c r="E497">
        <v>87416</v>
      </c>
      <c r="F497">
        <v>3431</v>
      </c>
      <c r="G497">
        <v>0.155</v>
      </c>
      <c r="H497">
        <v>175.49</v>
      </c>
      <c r="I497" t="s">
        <v>49</v>
      </c>
      <c r="K497">
        <v>27</v>
      </c>
      <c r="L497" t="s">
        <v>18</v>
      </c>
      <c r="M497" t="s">
        <v>19</v>
      </c>
      <c r="N497">
        <v>1</v>
      </c>
    </row>
    <row r="498" spans="1:14">
      <c r="A498" t="s">
        <v>530</v>
      </c>
      <c r="B498">
        <v>1202</v>
      </c>
      <c r="C498">
        <v>79.83</v>
      </c>
      <c r="D498" t="s">
        <v>25</v>
      </c>
      <c r="E498">
        <v>74377</v>
      </c>
      <c r="F498">
        <v>306</v>
      </c>
      <c r="H498">
        <v>396.63</v>
      </c>
      <c r="I498" t="s">
        <v>34</v>
      </c>
      <c r="K498">
        <v>22</v>
      </c>
      <c r="L498" t="s">
        <v>18</v>
      </c>
      <c r="M498" t="s">
        <v>23</v>
      </c>
      <c r="N498">
        <v>5</v>
      </c>
    </row>
    <row r="499" spans="1:14">
      <c r="A499" t="s">
        <v>531</v>
      </c>
      <c r="B499">
        <v>2857</v>
      </c>
      <c r="C499">
        <v>40.020000000000003</v>
      </c>
      <c r="D499" t="s">
        <v>40</v>
      </c>
      <c r="E499">
        <v>55909</v>
      </c>
      <c r="F499">
        <v>1839</v>
      </c>
      <c r="G499">
        <v>0.188</v>
      </c>
      <c r="H499">
        <v>85.5</v>
      </c>
      <c r="I499" t="s">
        <v>34</v>
      </c>
      <c r="J499" s="11">
        <v>1</v>
      </c>
      <c r="K499">
        <v>61</v>
      </c>
      <c r="L499" t="s">
        <v>22</v>
      </c>
      <c r="M499" t="s">
        <v>32</v>
      </c>
      <c r="N499">
        <v>5</v>
      </c>
    </row>
    <row r="500" spans="1:14">
      <c r="A500" t="s">
        <v>532</v>
      </c>
      <c r="B500">
        <v>7399</v>
      </c>
      <c r="C500">
        <v>25.43</v>
      </c>
      <c r="D500" t="s">
        <v>25</v>
      </c>
      <c r="E500">
        <v>92648</v>
      </c>
      <c r="F500">
        <v>1935</v>
      </c>
      <c r="G500">
        <v>0.15559999999999999</v>
      </c>
      <c r="H500">
        <v>106.42</v>
      </c>
      <c r="I500" t="s">
        <v>21</v>
      </c>
      <c r="J500" s="11">
        <v>0</v>
      </c>
      <c r="K500">
        <v>36</v>
      </c>
      <c r="L500" t="s">
        <v>18</v>
      </c>
      <c r="M500" t="s">
        <v>38</v>
      </c>
      <c r="N500">
        <v>4</v>
      </c>
    </row>
    <row r="501" spans="1:14">
      <c r="A501" t="s">
        <v>533</v>
      </c>
      <c r="B501">
        <v>7505</v>
      </c>
      <c r="C501">
        <v>196.4</v>
      </c>
      <c r="D501" t="s">
        <v>45</v>
      </c>
      <c r="E501">
        <v>87657</v>
      </c>
      <c r="F501">
        <v>7972</v>
      </c>
      <c r="H501">
        <v>485.83</v>
      </c>
      <c r="I501" t="s">
        <v>17</v>
      </c>
      <c r="J501" s="11">
        <v>0</v>
      </c>
      <c r="K501">
        <v>57</v>
      </c>
      <c r="L501" t="s">
        <v>22</v>
      </c>
      <c r="M501" t="s">
        <v>38</v>
      </c>
    </row>
    <row r="502" spans="1:14">
      <c r="A502" t="s">
        <v>534</v>
      </c>
      <c r="B502">
        <v>7121</v>
      </c>
      <c r="C502">
        <v>80.180000000000007</v>
      </c>
      <c r="D502" t="s">
        <v>32</v>
      </c>
      <c r="E502">
        <v>19661</v>
      </c>
      <c r="F502">
        <v>5057</v>
      </c>
      <c r="G502">
        <v>0.16070000000000001</v>
      </c>
      <c r="H502">
        <v>286.55</v>
      </c>
      <c r="I502" t="s">
        <v>26</v>
      </c>
      <c r="K502">
        <v>65</v>
      </c>
      <c r="L502" t="s">
        <v>18</v>
      </c>
      <c r="M502" t="s">
        <v>23</v>
      </c>
      <c r="N502">
        <v>5</v>
      </c>
    </row>
    <row r="503" spans="1:14">
      <c r="A503" t="s">
        <v>535</v>
      </c>
      <c r="B503">
        <v>3076</v>
      </c>
      <c r="C503">
        <v>158.47999999999999</v>
      </c>
      <c r="D503" t="s">
        <v>15</v>
      </c>
      <c r="E503">
        <v>55722</v>
      </c>
      <c r="F503">
        <v>1743</v>
      </c>
      <c r="H503">
        <v>258.94</v>
      </c>
      <c r="I503" t="s">
        <v>26</v>
      </c>
      <c r="K503">
        <v>24</v>
      </c>
      <c r="L503" t="s">
        <v>22</v>
      </c>
      <c r="M503" t="s">
        <v>38</v>
      </c>
      <c r="N503">
        <v>3</v>
      </c>
    </row>
    <row r="504" spans="1:14">
      <c r="A504" t="s">
        <v>536</v>
      </c>
      <c r="B504">
        <v>6066</v>
      </c>
      <c r="C504">
        <v>102.41</v>
      </c>
      <c r="D504" t="s">
        <v>40</v>
      </c>
      <c r="E504">
        <v>12445</v>
      </c>
      <c r="F504">
        <v>1723</v>
      </c>
      <c r="G504">
        <v>7.0199999999999999E-2</v>
      </c>
      <c r="H504">
        <v>143.61000000000001</v>
      </c>
      <c r="I504" t="s">
        <v>29</v>
      </c>
      <c r="K504">
        <v>27</v>
      </c>
      <c r="L504" t="s">
        <v>31</v>
      </c>
      <c r="M504" t="s">
        <v>23</v>
      </c>
      <c r="N504">
        <v>4</v>
      </c>
    </row>
    <row r="505" spans="1:14">
      <c r="A505" t="s">
        <v>537</v>
      </c>
      <c r="B505">
        <v>6571</v>
      </c>
      <c r="C505">
        <v>163.4</v>
      </c>
      <c r="D505" t="s">
        <v>15</v>
      </c>
      <c r="E505">
        <v>94587</v>
      </c>
      <c r="F505">
        <v>1039</v>
      </c>
      <c r="H505">
        <v>277.17</v>
      </c>
      <c r="I505" t="s">
        <v>34</v>
      </c>
      <c r="J505" s="11">
        <v>1</v>
      </c>
      <c r="K505">
        <v>38</v>
      </c>
      <c r="L505" t="s">
        <v>18</v>
      </c>
      <c r="N505">
        <v>3</v>
      </c>
    </row>
    <row r="506" spans="1:14">
      <c r="A506" t="s">
        <v>538</v>
      </c>
      <c r="B506">
        <v>5286</v>
      </c>
      <c r="D506" t="s">
        <v>25</v>
      </c>
      <c r="E506">
        <v>80228</v>
      </c>
      <c r="F506">
        <v>8506</v>
      </c>
      <c r="G506">
        <v>0.1444</v>
      </c>
      <c r="H506">
        <v>464.69</v>
      </c>
      <c r="I506" t="s">
        <v>29</v>
      </c>
      <c r="J506" s="11">
        <v>0</v>
      </c>
      <c r="K506">
        <v>37</v>
      </c>
      <c r="L506" t="s">
        <v>37</v>
      </c>
      <c r="M506" t="s">
        <v>23</v>
      </c>
      <c r="N506">
        <v>4</v>
      </c>
    </row>
    <row r="507" spans="1:14">
      <c r="A507" t="s">
        <v>539</v>
      </c>
      <c r="B507">
        <v>5315</v>
      </c>
      <c r="C507">
        <v>122.75</v>
      </c>
      <c r="D507" t="s">
        <v>28</v>
      </c>
      <c r="E507">
        <v>20162</v>
      </c>
      <c r="F507">
        <v>665</v>
      </c>
      <c r="G507">
        <v>8.6099999999999996E-2</v>
      </c>
      <c r="H507">
        <v>246.8</v>
      </c>
      <c r="I507" t="s">
        <v>34</v>
      </c>
      <c r="K507">
        <v>41</v>
      </c>
      <c r="L507" t="s">
        <v>18</v>
      </c>
      <c r="M507" t="s">
        <v>19</v>
      </c>
      <c r="N507">
        <v>5</v>
      </c>
    </row>
    <row r="508" spans="1:14">
      <c r="A508" t="s">
        <v>540</v>
      </c>
      <c r="B508">
        <v>9253</v>
      </c>
      <c r="C508">
        <v>107.59</v>
      </c>
      <c r="D508" t="s">
        <v>32</v>
      </c>
      <c r="E508">
        <v>42379</v>
      </c>
      <c r="F508">
        <v>3749</v>
      </c>
      <c r="G508">
        <v>9.1999999999999998E-2</v>
      </c>
      <c r="H508">
        <v>372.86</v>
      </c>
      <c r="I508" t="s">
        <v>17</v>
      </c>
      <c r="K508">
        <v>44</v>
      </c>
      <c r="L508" t="s">
        <v>18</v>
      </c>
      <c r="M508" t="s">
        <v>23</v>
      </c>
      <c r="N508">
        <v>4</v>
      </c>
    </row>
    <row r="509" spans="1:14">
      <c r="A509" t="s">
        <v>541</v>
      </c>
      <c r="B509">
        <v>5665</v>
      </c>
      <c r="C509">
        <v>44.7</v>
      </c>
      <c r="D509" t="s">
        <v>28</v>
      </c>
      <c r="E509">
        <v>78908</v>
      </c>
      <c r="F509">
        <v>4845</v>
      </c>
      <c r="G509">
        <v>0.19919999999999999</v>
      </c>
      <c r="H509">
        <v>289.52999999999997</v>
      </c>
      <c r="I509" t="s">
        <v>17</v>
      </c>
      <c r="K509">
        <v>60</v>
      </c>
      <c r="L509" t="s">
        <v>31</v>
      </c>
      <c r="M509" t="s">
        <v>19</v>
      </c>
    </row>
    <row r="510" spans="1:14">
      <c r="A510" t="s">
        <v>542</v>
      </c>
      <c r="B510">
        <v>8545</v>
      </c>
      <c r="C510">
        <v>167.73</v>
      </c>
      <c r="D510" t="s">
        <v>25</v>
      </c>
      <c r="E510">
        <v>29795</v>
      </c>
      <c r="F510">
        <v>2997</v>
      </c>
      <c r="G510">
        <v>6.4100000000000004E-2</v>
      </c>
      <c r="I510" t="s">
        <v>17</v>
      </c>
      <c r="K510">
        <v>51</v>
      </c>
      <c r="L510" t="s">
        <v>31</v>
      </c>
      <c r="M510" t="s">
        <v>38</v>
      </c>
      <c r="N510">
        <v>4</v>
      </c>
    </row>
    <row r="511" spans="1:14">
      <c r="A511" t="s">
        <v>543</v>
      </c>
      <c r="B511">
        <v>7834</v>
      </c>
      <c r="C511">
        <v>172.69</v>
      </c>
      <c r="D511" t="s">
        <v>32</v>
      </c>
      <c r="E511">
        <v>16177</v>
      </c>
      <c r="F511">
        <v>8326</v>
      </c>
      <c r="H511">
        <v>187.25</v>
      </c>
      <c r="I511" t="s">
        <v>21</v>
      </c>
      <c r="J511" s="11">
        <v>1</v>
      </c>
      <c r="L511" t="s">
        <v>22</v>
      </c>
      <c r="N511">
        <v>4</v>
      </c>
    </row>
    <row r="512" spans="1:14">
      <c r="A512" t="s">
        <v>544</v>
      </c>
      <c r="B512">
        <v>9293</v>
      </c>
      <c r="C512">
        <v>67.739999999999995</v>
      </c>
      <c r="D512" t="s">
        <v>15</v>
      </c>
      <c r="E512">
        <v>3540</v>
      </c>
      <c r="F512">
        <v>898</v>
      </c>
      <c r="G512">
        <v>0.12889999999999999</v>
      </c>
      <c r="H512">
        <v>146.68</v>
      </c>
      <c r="I512" t="s">
        <v>34</v>
      </c>
      <c r="K512">
        <v>59</v>
      </c>
      <c r="L512" t="s">
        <v>37</v>
      </c>
      <c r="M512" t="s">
        <v>32</v>
      </c>
      <c r="N512">
        <v>2</v>
      </c>
    </row>
    <row r="513" spans="1:14">
      <c r="A513" t="s">
        <v>545</v>
      </c>
      <c r="B513">
        <v>1959</v>
      </c>
      <c r="D513" t="s">
        <v>15</v>
      </c>
      <c r="E513">
        <v>84447</v>
      </c>
      <c r="F513">
        <v>174</v>
      </c>
      <c r="G513">
        <v>0.1958</v>
      </c>
      <c r="H513">
        <v>424.89</v>
      </c>
      <c r="I513" t="s">
        <v>26</v>
      </c>
      <c r="J513" s="11">
        <v>0</v>
      </c>
      <c r="K513">
        <v>24</v>
      </c>
      <c r="L513" t="s">
        <v>22</v>
      </c>
      <c r="M513" t="s">
        <v>19</v>
      </c>
    </row>
    <row r="514" spans="1:14">
      <c r="A514" t="s">
        <v>546</v>
      </c>
      <c r="B514">
        <v>9389</v>
      </c>
      <c r="C514">
        <v>106.05</v>
      </c>
      <c r="D514" t="s">
        <v>25</v>
      </c>
      <c r="E514">
        <v>92983</v>
      </c>
      <c r="F514">
        <v>1002</v>
      </c>
      <c r="G514">
        <v>0.16400000000000001</v>
      </c>
      <c r="H514">
        <v>59</v>
      </c>
      <c r="I514" t="s">
        <v>49</v>
      </c>
      <c r="K514">
        <v>45</v>
      </c>
      <c r="L514" t="s">
        <v>22</v>
      </c>
      <c r="M514" t="s">
        <v>23</v>
      </c>
    </row>
    <row r="515" spans="1:14">
      <c r="A515" t="s">
        <v>547</v>
      </c>
      <c r="B515">
        <v>4109</v>
      </c>
      <c r="D515" t="s">
        <v>25</v>
      </c>
      <c r="E515">
        <v>79864</v>
      </c>
      <c r="F515">
        <v>6232</v>
      </c>
      <c r="G515">
        <v>8.9599999999999999E-2</v>
      </c>
      <c r="H515">
        <v>364.11</v>
      </c>
      <c r="I515" t="s">
        <v>29</v>
      </c>
      <c r="K515">
        <v>39</v>
      </c>
      <c r="L515" t="s">
        <v>18</v>
      </c>
      <c r="M515" t="s">
        <v>19</v>
      </c>
      <c r="N515">
        <v>5</v>
      </c>
    </row>
    <row r="516" spans="1:14">
      <c r="A516" t="s">
        <v>548</v>
      </c>
      <c r="B516">
        <v>3866</v>
      </c>
      <c r="C516">
        <v>63.4</v>
      </c>
      <c r="D516" t="s">
        <v>25</v>
      </c>
      <c r="E516">
        <v>29812</v>
      </c>
      <c r="F516">
        <v>5186</v>
      </c>
      <c r="G516">
        <v>7.8299999999999995E-2</v>
      </c>
      <c r="H516">
        <v>110.69</v>
      </c>
      <c r="I516" t="s">
        <v>21</v>
      </c>
      <c r="K516">
        <v>22</v>
      </c>
      <c r="L516" t="s">
        <v>37</v>
      </c>
      <c r="M516" t="s">
        <v>19</v>
      </c>
      <c r="N516">
        <v>4</v>
      </c>
    </row>
    <row r="517" spans="1:14">
      <c r="A517" t="s">
        <v>549</v>
      </c>
      <c r="B517">
        <v>8157</v>
      </c>
      <c r="C517">
        <v>24.29</v>
      </c>
      <c r="D517" t="s">
        <v>40</v>
      </c>
      <c r="E517">
        <v>93244</v>
      </c>
      <c r="F517">
        <v>2569</v>
      </c>
      <c r="G517">
        <v>4.4400000000000002E-2</v>
      </c>
      <c r="I517" t="s">
        <v>49</v>
      </c>
      <c r="K517">
        <v>19</v>
      </c>
      <c r="L517" t="s">
        <v>31</v>
      </c>
      <c r="M517" t="s">
        <v>38</v>
      </c>
      <c r="N517">
        <v>3</v>
      </c>
    </row>
    <row r="518" spans="1:14">
      <c r="A518" t="s">
        <v>550</v>
      </c>
      <c r="B518">
        <v>3299</v>
      </c>
      <c r="D518" t="s">
        <v>45</v>
      </c>
      <c r="E518">
        <v>65461</v>
      </c>
      <c r="F518">
        <v>953</v>
      </c>
      <c r="G518">
        <v>4.7399999999999998E-2</v>
      </c>
      <c r="H518">
        <v>218.97</v>
      </c>
      <c r="I518" t="s">
        <v>26</v>
      </c>
      <c r="K518">
        <v>21</v>
      </c>
      <c r="L518" t="s">
        <v>22</v>
      </c>
      <c r="M518" t="s">
        <v>19</v>
      </c>
    </row>
    <row r="519" spans="1:14">
      <c r="A519" t="s">
        <v>551</v>
      </c>
      <c r="B519">
        <v>6588</v>
      </c>
      <c r="C519">
        <v>126.25</v>
      </c>
      <c r="D519" t="s">
        <v>28</v>
      </c>
      <c r="E519">
        <v>78658</v>
      </c>
      <c r="F519">
        <v>4866</v>
      </c>
      <c r="G519">
        <v>1.0500000000000001E-2</v>
      </c>
      <c r="I519" t="s">
        <v>26</v>
      </c>
      <c r="J519" s="11">
        <v>1</v>
      </c>
      <c r="K519">
        <v>51</v>
      </c>
      <c r="L519" t="s">
        <v>18</v>
      </c>
      <c r="M519" t="s">
        <v>32</v>
      </c>
      <c r="N519">
        <v>4</v>
      </c>
    </row>
    <row r="520" spans="1:14">
      <c r="A520" t="s">
        <v>552</v>
      </c>
      <c r="B520">
        <v>8189</v>
      </c>
      <c r="C520">
        <v>146.28</v>
      </c>
      <c r="D520" t="s">
        <v>40</v>
      </c>
      <c r="E520">
        <v>48973</v>
      </c>
      <c r="F520">
        <v>319</v>
      </c>
      <c r="G520">
        <v>0.1807</v>
      </c>
      <c r="I520" t="s">
        <v>34</v>
      </c>
      <c r="K520">
        <v>39</v>
      </c>
      <c r="L520" t="s">
        <v>18</v>
      </c>
      <c r="M520" t="s">
        <v>38</v>
      </c>
      <c r="N520">
        <v>3</v>
      </c>
    </row>
    <row r="521" spans="1:14">
      <c r="A521" t="s">
        <v>553</v>
      </c>
      <c r="B521">
        <v>9845</v>
      </c>
      <c r="D521" t="s">
        <v>40</v>
      </c>
      <c r="E521">
        <v>99881</v>
      </c>
      <c r="F521">
        <v>6696</v>
      </c>
      <c r="G521">
        <v>9.6000000000000002E-2</v>
      </c>
      <c r="H521">
        <v>178.42</v>
      </c>
      <c r="I521" t="s">
        <v>17</v>
      </c>
      <c r="K521">
        <v>53</v>
      </c>
      <c r="L521" t="s">
        <v>18</v>
      </c>
      <c r="M521" t="s">
        <v>19</v>
      </c>
      <c r="N521">
        <v>3</v>
      </c>
    </row>
    <row r="522" spans="1:14">
      <c r="A522" t="s">
        <v>554</v>
      </c>
      <c r="B522">
        <v>4425</v>
      </c>
      <c r="C522">
        <v>168.79</v>
      </c>
      <c r="D522" t="s">
        <v>28</v>
      </c>
      <c r="E522">
        <v>22742</v>
      </c>
      <c r="F522">
        <v>3800</v>
      </c>
      <c r="G522">
        <v>0.1636</v>
      </c>
      <c r="I522" t="s">
        <v>29</v>
      </c>
      <c r="K522">
        <v>45</v>
      </c>
      <c r="L522" t="s">
        <v>22</v>
      </c>
      <c r="M522" t="s">
        <v>23</v>
      </c>
    </row>
    <row r="523" spans="1:14">
      <c r="A523" t="s">
        <v>555</v>
      </c>
      <c r="B523">
        <v>1753</v>
      </c>
      <c r="C523">
        <v>126.39</v>
      </c>
      <c r="D523" t="s">
        <v>28</v>
      </c>
      <c r="E523">
        <v>20021</v>
      </c>
      <c r="F523">
        <v>5403</v>
      </c>
      <c r="G523">
        <v>0.12280000000000001</v>
      </c>
      <c r="H523">
        <v>155.08000000000001</v>
      </c>
      <c r="I523" t="s">
        <v>34</v>
      </c>
      <c r="J523" s="11">
        <v>0</v>
      </c>
      <c r="K523">
        <v>23</v>
      </c>
      <c r="L523" t="s">
        <v>22</v>
      </c>
      <c r="M523" t="s">
        <v>38</v>
      </c>
      <c r="N523">
        <v>2</v>
      </c>
    </row>
    <row r="524" spans="1:14">
      <c r="A524" t="s">
        <v>556</v>
      </c>
      <c r="B524">
        <v>2072</v>
      </c>
      <c r="D524" t="s">
        <v>25</v>
      </c>
      <c r="E524">
        <v>4313</v>
      </c>
      <c r="F524">
        <v>5819</v>
      </c>
      <c r="G524">
        <v>0.13200000000000001</v>
      </c>
      <c r="H524">
        <v>170.41</v>
      </c>
      <c r="I524" t="s">
        <v>29</v>
      </c>
      <c r="K524">
        <v>31</v>
      </c>
      <c r="L524" t="s">
        <v>37</v>
      </c>
      <c r="M524" t="s">
        <v>45</v>
      </c>
      <c r="N524">
        <v>3</v>
      </c>
    </row>
    <row r="525" spans="1:14">
      <c r="A525" t="s">
        <v>557</v>
      </c>
      <c r="B525">
        <v>3994</v>
      </c>
      <c r="C525">
        <v>91.11</v>
      </c>
      <c r="D525" t="s">
        <v>32</v>
      </c>
      <c r="E525">
        <v>23565</v>
      </c>
      <c r="F525">
        <v>8570</v>
      </c>
      <c r="G525">
        <v>0.14299999999999999</v>
      </c>
      <c r="H525">
        <v>439.81</v>
      </c>
      <c r="I525" t="s">
        <v>49</v>
      </c>
      <c r="J525" s="11">
        <v>0</v>
      </c>
      <c r="K525">
        <v>25</v>
      </c>
      <c r="L525" t="s">
        <v>18</v>
      </c>
      <c r="N525">
        <v>5</v>
      </c>
    </row>
    <row r="526" spans="1:14">
      <c r="A526" t="s">
        <v>558</v>
      </c>
      <c r="B526">
        <v>9537</v>
      </c>
      <c r="C526">
        <v>155.41999999999999</v>
      </c>
      <c r="D526" t="s">
        <v>25</v>
      </c>
      <c r="E526">
        <v>73692</v>
      </c>
      <c r="F526">
        <v>3379</v>
      </c>
      <c r="G526">
        <v>7.6300000000000007E-2</v>
      </c>
      <c r="H526">
        <v>117.5</v>
      </c>
      <c r="I526" t="s">
        <v>29</v>
      </c>
      <c r="K526">
        <v>49</v>
      </c>
      <c r="L526" t="s">
        <v>31</v>
      </c>
      <c r="M526" t="s">
        <v>19</v>
      </c>
      <c r="N526">
        <v>3</v>
      </c>
    </row>
    <row r="527" spans="1:14">
      <c r="A527" t="s">
        <v>559</v>
      </c>
      <c r="B527">
        <v>2117</v>
      </c>
      <c r="C527">
        <v>191.74</v>
      </c>
      <c r="D527" t="s">
        <v>32</v>
      </c>
      <c r="E527">
        <v>94309</v>
      </c>
      <c r="F527">
        <v>3496</v>
      </c>
      <c r="G527">
        <v>0.13420000000000001</v>
      </c>
      <c r="H527">
        <v>71.36</v>
      </c>
      <c r="I527" t="s">
        <v>34</v>
      </c>
      <c r="K527">
        <v>29</v>
      </c>
      <c r="L527" t="s">
        <v>22</v>
      </c>
      <c r="M527" t="s">
        <v>32</v>
      </c>
      <c r="N527">
        <v>1</v>
      </c>
    </row>
    <row r="528" spans="1:14">
      <c r="A528" t="s">
        <v>560</v>
      </c>
      <c r="B528">
        <v>9567</v>
      </c>
      <c r="D528" t="s">
        <v>25</v>
      </c>
      <c r="E528">
        <v>45185</v>
      </c>
      <c r="F528">
        <v>7355</v>
      </c>
      <c r="G528">
        <v>0.16350000000000001</v>
      </c>
      <c r="H528">
        <v>442.13</v>
      </c>
      <c r="I528" t="s">
        <v>21</v>
      </c>
      <c r="L528" t="s">
        <v>37</v>
      </c>
      <c r="M528" t="s">
        <v>38</v>
      </c>
      <c r="N528">
        <v>1</v>
      </c>
    </row>
    <row r="529" spans="1:14">
      <c r="A529" t="s">
        <v>561</v>
      </c>
      <c r="B529">
        <v>6329</v>
      </c>
      <c r="C529">
        <v>129.16</v>
      </c>
      <c r="D529" t="s">
        <v>32</v>
      </c>
      <c r="E529">
        <v>51439</v>
      </c>
      <c r="F529">
        <v>252</v>
      </c>
      <c r="G529">
        <v>0.13420000000000001</v>
      </c>
      <c r="H529">
        <v>493.12</v>
      </c>
      <c r="I529" t="s">
        <v>17</v>
      </c>
      <c r="J529" s="11">
        <v>0</v>
      </c>
      <c r="K529">
        <v>30</v>
      </c>
      <c r="L529" t="s">
        <v>31</v>
      </c>
      <c r="N529">
        <v>5</v>
      </c>
    </row>
    <row r="530" spans="1:14">
      <c r="A530" t="s">
        <v>562</v>
      </c>
      <c r="B530">
        <v>6655</v>
      </c>
      <c r="D530" t="s">
        <v>15</v>
      </c>
      <c r="E530">
        <v>99054</v>
      </c>
      <c r="F530">
        <v>8091</v>
      </c>
      <c r="G530">
        <v>1.38E-2</v>
      </c>
      <c r="H530">
        <v>34.090000000000003</v>
      </c>
      <c r="I530" t="s">
        <v>21</v>
      </c>
      <c r="J530" s="11">
        <v>1</v>
      </c>
      <c r="K530">
        <v>47</v>
      </c>
      <c r="L530" t="s">
        <v>31</v>
      </c>
      <c r="M530" t="s">
        <v>23</v>
      </c>
    </row>
    <row r="531" spans="1:14">
      <c r="A531" t="s">
        <v>563</v>
      </c>
      <c r="B531">
        <v>4990</v>
      </c>
      <c r="C531">
        <v>50.86</v>
      </c>
      <c r="D531" t="s">
        <v>32</v>
      </c>
      <c r="E531">
        <v>58614</v>
      </c>
      <c r="F531">
        <v>597</v>
      </c>
      <c r="G531">
        <v>0.13819999999999999</v>
      </c>
      <c r="H531">
        <v>13.48</v>
      </c>
      <c r="I531" t="s">
        <v>34</v>
      </c>
      <c r="J531" s="11">
        <v>0</v>
      </c>
      <c r="K531">
        <v>38</v>
      </c>
      <c r="L531" t="s">
        <v>31</v>
      </c>
      <c r="M531" t="s">
        <v>19</v>
      </c>
      <c r="N531">
        <v>2</v>
      </c>
    </row>
    <row r="532" spans="1:14">
      <c r="A532" t="s">
        <v>564</v>
      </c>
      <c r="B532">
        <v>7319</v>
      </c>
      <c r="C532">
        <v>155.83000000000001</v>
      </c>
      <c r="D532" t="s">
        <v>25</v>
      </c>
      <c r="E532">
        <v>29276</v>
      </c>
      <c r="F532">
        <v>9474</v>
      </c>
      <c r="G532">
        <v>0.111</v>
      </c>
      <c r="H532">
        <v>424.22</v>
      </c>
      <c r="I532" t="s">
        <v>26</v>
      </c>
      <c r="K532">
        <v>60</v>
      </c>
      <c r="L532" t="s">
        <v>18</v>
      </c>
      <c r="M532" t="s">
        <v>19</v>
      </c>
      <c r="N532">
        <v>4</v>
      </c>
    </row>
    <row r="533" spans="1:14">
      <c r="A533" t="s">
        <v>565</v>
      </c>
      <c r="B533">
        <v>4017</v>
      </c>
      <c r="C533">
        <v>166.58</v>
      </c>
      <c r="D533" t="s">
        <v>28</v>
      </c>
      <c r="E533">
        <v>37961</v>
      </c>
      <c r="F533">
        <v>6401</v>
      </c>
      <c r="G533">
        <v>1.7299999999999999E-2</v>
      </c>
      <c r="H533">
        <v>339.18</v>
      </c>
      <c r="I533" t="s">
        <v>21</v>
      </c>
      <c r="J533" s="11">
        <v>1</v>
      </c>
      <c r="K533">
        <v>24</v>
      </c>
      <c r="L533" t="s">
        <v>37</v>
      </c>
      <c r="M533" t="s">
        <v>38</v>
      </c>
      <c r="N533">
        <v>3</v>
      </c>
    </row>
    <row r="534" spans="1:14">
      <c r="A534" t="s">
        <v>566</v>
      </c>
      <c r="B534">
        <v>1956</v>
      </c>
      <c r="D534" t="s">
        <v>40</v>
      </c>
      <c r="E534">
        <v>64237</v>
      </c>
      <c r="F534">
        <v>4397</v>
      </c>
      <c r="G534">
        <v>3.8800000000000001E-2</v>
      </c>
      <c r="H534">
        <v>443.54</v>
      </c>
      <c r="I534" t="s">
        <v>49</v>
      </c>
      <c r="K534">
        <v>49</v>
      </c>
      <c r="L534" t="s">
        <v>18</v>
      </c>
      <c r="M534" t="s">
        <v>38</v>
      </c>
      <c r="N534">
        <v>2</v>
      </c>
    </row>
    <row r="535" spans="1:14">
      <c r="A535" t="s">
        <v>567</v>
      </c>
      <c r="B535">
        <v>2791</v>
      </c>
      <c r="D535" t="s">
        <v>28</v>
      </c>
      <c r="E535">
        <v>56040</v>
      </c>
      <c r="F535">
        <v>5894</v>
      </c>
      <c r="H535">
        <v>344.2</v>
      </c>
      <c r="I535" t="s">
        <v>29</v>
      </c>
      <c r="K535">
        <v>60</v>
      </c>
      <c r="L535" t="s">
        <v>31</v>
      </c>
      <c r="M535" t="s">
        <v>23</v>
      </c>
      <c r="N535">
        <v>2</v>
      </c>
    </row>
    <row r="536" spans="1:14">
      <c r="A536" t="s">
        <v>568</v>
      </c>
      <c r="B536">
        <v>8851</v>
      </c>
      <c r="C536">
        <v>85.64</v>
      </c>
      <c r="D536" t="s">
        <v>32</v>
      </c>
      <c r="E536">
        <v>14840</v>
      </c>
      <c r="F536">
        <v>814</v>
      </c>
      <c r="G536">
        <v>0.19550000000000001</v>
      </c>
      <c r="H536">
        <v>325.64</v>
      </c>
      <c r="I536" t="s">
        <v>29</v>
      </c>
      <c r="J536" s="11">
        <v>1</v>
      </c>
      <c r="K536">
        <v>31</v>
      </c>
      <c r="L536" t="s">
        <v>31</v>
      </c>
      <c r="M536" t="s">
        <v>23</v>
      </c>
      <c r="N536">
        <v>4</v>
      </c>
    </row>
    <row r="537" spans="1:14">
      <c r="A537" t="s">
        <v>569</v>
      </c>
      <c r="B537">
        <v>8179</v>
      </c>
      <c r="D537" t="s">
        <v>40</v>
      </c>
      <c r="E537">
        <v>67744</v>
      </c>
      <c r="F537">
        <v>6409</v>
      </c>
      <c r="G537">
        <v>2.5899999999999999E-2</v>
      </c>
      <c r="H537">
        <v>194.26</v>
      </c>
      <c r="I537" t="s">
        <v>34</v>
      </c>
      <c r="J537" s="11">
        <v>0</v>
      </c>
      <c r="K537">
        <v>18</v>
      </c>
      <c r="L537" t="s">
        <v>31</v>
      </c>
      <c r="N537">
        <v>5</v>
      </c>
    </row>
    <row r="538" spans="1:14">
      <c r="A538" t="s">
        <v>570</v>
      </c>
      <c r="B538">
        <v>2577</v>
      </c>
      <c r="C538">
        <v>92.18</v>
      </c>
      <c r="D538" t="s">
        <v>15</v>
      </c>
      <c r="E538">
        <v>97879</v>
      </c>
      <c r="F538">
        <v>2748</v>
      </c>
      <c r="G538">
        <v>9.4600000000000004E-2</v>
      </c>
      <c r="H538">
        <v>254.02</v>
      </c>
      <c r="I538" t="s">
        <v>26</v>
      </c>
      <c r="J538" s="11">
        <v>0</v>
      </c>
      <c r="L538" t="s">
        <v>22</v>
      </c>
      <c r="M538" t="s">
        <v>19</v>
      </c>
      <c r="N538">
        <v>2</v>
      </c>
    </row>
    <row r="539" spans="1:14">
      <c r="A539" t="s">
        <v>571</v>
      </c>
      <c r="B539">
        <v>7608</v>
      </c>
      <c r="C539">
        <v>147.33000000000001</v>
      </c>
      <c r="D539" t="s">
        <v>28</v>
      </c>
      <c r="E539">
        <v>64044</v>
      </c>
      <c r="F539">
        <v>1551</v>
      </c>
      <c r="G539">
        <v>0.02</v>
      </c>
      <c r="H539">
        <v>227.26</v>
      </c>
      <c r="I539" t="s">
        <v>17</v>
      </c>
      <c r="K539">
        <v>43</v>
      </c>
      <c r="L539" t="s">
        <v>22</v>
      </c>
      <c r="M539" t="s">
        <v>19</v>
      </c>
      <c r="N539">
        <v>5</v>
      </c>
    </row>
    <row r="540" spans="1:14">
      <c r="A540" t="s">
        <v>572</v>
      </c>
      <c r="B540">
        <v>7182</v>
      </c>
      <c r="C540">
        <v>110.04</v>
      </c>
      <c r="D540" t="s">
        <v>45</v>
      </c>
      <c r="E540">
        <v>97588</v>
      </c>
      <c r="F540">
        <v>6952</v>
      </c>
      <c r="G540">
        <v>7.7299999999999994E-2</v>
      </c>
      <c r="H540">
        <v>92.13</v>
      </c>
      <c r="I540" t="s">
        <v>26</v>
      </c>
      <c r="J540" s="11">
        <v>1</v>
      </c>
      <c r="K540">
        <v>63</v>
      </c>
      <c r="L540" t="s">
        <v>18</v>
      </c>
      <c r="M540" t="s">
        <v>19</v>
      </c>
      <c r="N540">
        <v>5</v>
      </c>
    </row>
    <row r="541" spans="1:14">
      <c r="A541" t="s">
        <v>573</v>
      </c>
      <c r="B541">
        <v>2293</v>
      </c>
      <c r="C541">
        <v>85.85</v>
      </c>
      <c r="D541" t="s">
        <v>15</v>
      </c>
      <c r="E541">
        <v>7340</v>
      </c>
      <c r="F541">
        <v>9232</v>
      </c>
      <c r="G541">
        <v>0.12889999999999999</v>
      </c>
      <c r="H541">
        <v>94.19</v>
      </c>
      <c r="I541" t="s">
        <v>34</v>
      </c>
      <c r="J541" s="11">
        <v>1</v>
      </c>
      <c r="K541">
        <v>33</v>
      </c>
      <c r="L541" t="s">
        <v>37</v>
      </c>
      <c r="M541" t="s">
        <v>19</v>
      </c>
      <c r="N541">
        <v>2</v>
      </c>
    </row>
    <row r="542" spans="1:14">
      <c r="A542" t="s">
        <v>574</v>
      </c>
      <c r="B542">
        <v>5239</v>
      </c>
      <c r="C542">
        <v>163.03</v>
      </c>
      <c r="D542" t="s">
        <v>40</v>
      </c>
      <c r="E542">
        <v>70567</v>
      </c>
      <c r="F542">
        <v>4398</v>
      </c>
      <c r="G542">
        <v>0.18279999999999999</v>
      </c>
      <c r="H542">
        <v>256.35000000000002</v>
      </c>
      <c r="I542" t="s">
        <v>34</v>
      </c>
      <c r="L542" t="s">
        <v>22</v>
      </c>
      <c r="M542" t="s">
        <v>32</v>
      </c>
      <c r="N542">
        <v>4</v>
      </c>
    </row>
    <row r="543" spans="1:14">
      <c r="A543" t="s">
        <v>575</v>
      </c>
      <c r="B543">
        <v>9333</v>
      </c>
      <c r="C543">
        <v>172.03</v>
      </c>
      <c r="D543" t="s">
        <v>32</v>
      </c>
      <c r="E543">
        <v>93434</v>
      </c>
      <c r="F543">
        <v>6315</v>
      </c>
      <c r="G543">
        <v>0.16320000000000001</v>
      </c>
      <c r="H543">
        <v>153.41</v>
      </c>
      <c r="I543" t="s">
        <v>29</v>
      </c>
      <c r="J543" s="11">
        <v>0</v>
      </c>
      <c r="K543">
        <v>56</v>
      </c>
      <c r="L543" t="s">
        <v>37</v>
      </c>
      <c r="M543" t="s">
        <v>23</v>
      </c>
    </row>
    <row r="544" spans="1:14">
      <c r="A544" t="s">
        <v>576</v>
      </c>
      <c r="B544">
        <v>5947</v>
      </c>
      <c r="C544">
        <v>94.87</v>
      </c>
      <c r="D544" t="s">
        <v>15</v>
      </c>
      <c r="E544">
        <v>21064</v>
      </c>
      <c r="F544">
        <v>1582</v>
      </c>
      <c r="G544">
        <v>0.17499999999999999</v>
      </c>
      <c r="H544">
        <v>256.26</v>
      </c>
      <c r="I544" t="s">
        <v>21</v>
      </c>
      <c r="J544" s="11">
        <v>1</v>
      </c>
      <c r="K544">
        <v>20</v>
      </c>
      <c r="L544" t="s">
        <v>18</v>
      </c>
      <c r="M544" t="s">
        <v>38</v>
      </c>
    </row>
    <row r="545" spans="1:14">
      <c r="A545" t="s">
        <v>577</v>
      </c>
      <c r="B545">
        <v>3771</v>
      </c>
      <c r="C545">
        <v>157.69999999999999</v>
      </c>
      <c r="D545" t="s">
        <v>45</v>
      </c>
      <c r="E545">
        <v>6723</v>
      </c>
      <c r="F545">
        <v>4716</v>
      </c>
      <c r="G545">
        <v>8.7999999999999995E-2</v>
      </c>
      <c r="I545" t="s">
        <v>17</v>
      </c>
      <c r="J545" s="11">
        <v>1</v>
      </c>
      <c r="K545">
        <v>39</v>
      </c>
      <c r="L545" t="s">
        <v>18</v>
      </c>
      <c r="M545" t="s">
        <v>38</v>
      </c>
      <c r="N545">
        <v>4</v>
      </c>
    </row>
    <row r="546" spans="1:14">
      <c r="A546" t="s">
        <v>578</v>
      </c>
      <c r="B546">
        <v>9981</v>
      </c>
      <c r="C546">
        <v>121.26</v>
      </c>
      <c r="D546" t="s">
        <v>25</v>
      </c>
      <c r="E546">
        <v>84138</v>
      </c>
      <c r="F546">
        <v>2575</v>
      </c>
      <c r="G546">
        <v>8.7599999999999997E-2</v>
      </c>
      <c r="H546">
        <v>493.18</v>
      </c>
      <c r="I546" t="s">
        <v>29</v>
      </c>
      <c r="L546" t="s">
        <v>18</v>
      </c>
      <c r="M546" t="s">
        <v>32</v>
      </c>
      <c r="N546">
        <v>1</v>
      </c>
    </row>
    <row r="547" spans="1:14">
      <c r="A547" t="s">
        <v>579</v>
      </c>
      <c r="B547">
        <v>5775</v>
      </c>
      <c r="C547">
        <v>85.17</v>
      </c>
      <c r="D547" t="s">
        <v>32</v>
      </c>
      <c r="E547">
        <v>55332</v>
      </c>
      <c r="F547">
        <v>5623</v>
      </c>
      <c r="G547">
        <v>9.6100000000000005E-2</v>
      </c>
      <c r="H547">
        <v>179.29</v>
      </c>
      <c r="I547" t="s">
        <v>26</v>
      </c>
      <c r="K547">
        <v>29</v>
      </c>
      <c r="L547" t="s">
        <v>18</v>
      </c>
      <c r="M547" t="s">
        <v>19</v>
      </c>
      <c r="N547">
        <v>5</v>
      </c>
    </row>
    <row r="548" spans="1:14">
      <c r="A548" t="s">
        <v>580</v>
      </c>
      <c r="B548">
        <v>5022</v>
      </c>
      <c r="C548">
        <v>126.6</v>
      </c>
      <c r="D548" t="s">
        <v>40</v>
      </c>
      <c r="E548">
        <v>17562</v>
      </c>
      <c r="F548">
        <v>4322</v>
      </c>
      <c r="H548">
        <v>389.03</v>
      </c>
      <c r="I548" t="s">
        <v>34</v>
      </c>
      <c r="K548">
        <v>24</v>
      </c>
      <c r="L548" t="s">
        <v>37</v>
      </c>
      <c r="M548" t="s">
        <v>19</v>
      </c>
      <c r="N548">
        <v>3</v>
      </c>
    </row>
    <row r="549" spans="1:14">
      <c r="A549" t="s">
        <v>581</v>
      </c>
      <c r="B549">
        <v>8347</v>
      </c>
      <c r="C549">
        <v>48.75</v>
      </c>
      <c r="D549" t="s">
        <v>45</v>
      </c>
      <c r="E549">
        <v>80859</v>
      </c>
      <c r="F549">
        <v>5958</v>
      </c>
      <c r="G549">
        <v>4.4699999999999997E-2</v>
      </c>
      <c r="H549">
        <v>194.78</v>
      </c>
      <c r="I549" t="s">
        <v>17</v>
      </c>
      <c r="K549">
        <v>44</v>
      </c>
      <c r="L549" t="s">
        <v>31</v>
      </c>
      <c r="N549">
        <v>2</v>
      </c>
    </row>
    <row r="550" spans="1:14">
      <c r="A550" t="s">
        <v>582</v>
      </c>
      <c r="B550">
        <v>3648</v>
      </c>
      <c r="D550" t="s">
        <v>15</v>
      </c>
      <c r="E550">
        <v>13455</v>
      </c>
      <c r="F550">
        <v>8983</v>
      </c>
      <c r="G550">
        <v>0.17499999999999999</v>
      </c>
      <c r="H550">
        <v>420.08</v>
      </c>
      <c r="I550" t="s">
        <v>26</v>
      </c>
      <c r="J550" s="11">
        <v>1</v>
      </c>
      <c r="K550">
        <v>45</v>
      </c>
      <c r="L550" t="s">
        <v>18</v>
      </c>
      <c r="M550" t="s">
        <v>23</v>
      </c>
      <c r="N550">
        <v>2</v>
      </c>
    </row>
    <row r="551" spans="1:14">
      <c r="A551" t="s">
        <v>583</v>
      </c>
      <c r="B551">
        <v>6950</v>
      </c>
      <c r="C551">
        <v>164.92</v>
      </c>
      <c r="D551" t="s">
        <v>40</v>
      </c>
      <c r="E551">
        <v>35586</v>
      </c>
      <c r="F551">
        <v>2217</v>
      </c>
      <c r="G551">
        <v>0.18190000000000001</v>
      </c>
      <c r="H551">
        <v>318.79000000000002</v>
      </c>
      <c r="I551" t="s">
        <v>49</v>
      </c>
      <c r="J551" s="11">
        <v>1</v>
      </c>
      <c r="K551">
        <v>51</v>
      </c>
      <c r="L551" t="s">
        <v>18</v>
      </c>
      <c r="M551" t="s">
        <v>23</v>
      </c>
      <c r="N551">
        <v>3</v>
      </c>
    </row>
    <row r="552" spans="1:14">
      <c r="A552" t="s">
        <v>584</v>
      </c>
      <c r="B552">
        <v>1344</v>
      </c>
      <c r="C552">
        <v>100.33</v>
      </c>
      <c r="D552" t="s">
        <v>15</v>
      </c>
      <c r="E552">
        <v>76346</v>
      </c>
      <c r="F552">
        <v>7985</v>
      </c>
      <c r="G552">
        <v>0.14549999999999999</v>
      </c>
      <c r="H552">
        <v>24.11</v>
      </c>
      <c r="I552" t="s">
        <v>17</v>
      </c>
      <c r="K552">
        <v>37</v>
      </c>
      <c r="L552" t="s">
        <v>22</v>
      </c>
      <c r="M552" t="s">
        <v>19</v>
      </c>
      <c r="N552">
        <v>2</v>
      </c>
    </row>
    <row r="553" spans="1:14">
      <c r="A553" t="s">
        <v>585</v>
      </c>
      <c r="B553">
        <v>9751</v>
      </c>
      <c r="C553">
        <v>53.3</v>
      </c>
      <c r="D553" t="s">
        <v>15</v>
      </c>
      <c r="E553">
        <v>30888</v>
      </c>
      <c r="F553" t="s">
        <v>16</v>
      </c>
      <c r="G553">
        <v>0.16819999999999999</v>
      </c>
      <c r="I553" t="s">
        <v>29</v>
      </c>
      <c r="J553" s="11">
        <v>1</v>
      </c>
      <c r="K553">
        <v>60</v>
      </c>
      <c r="L553" t="s">
        <v>22</v>
      </c>
      <c r="M553" t="s">
        <v>19</v>
      </c>
      <c r="N553">
        <v>2</v>
      </c>
    </row>
    <row r="554" spans="1:14">
      <c r="A554" t="s">
        <v>586</v>
      </c>
      <c r="B554">
        <v>4320</v>
      </c>
      <c r="D554" t="s">
        <v>32</v>
      </c>
      <c r="E554">
        <v>57159</v>
      </c>
      <c r="F554">
        <v>7453</v>
      </c>
      <c r="H554">
        <v>124.65</v>
      </c>
      <c r="I554" t="s">
        <v>34</v>
      </c>
      <c r="J554" s="11">
        <v>0</v>
      </c>
      <c r="K554">
        <v>18</v>
      </c>
      <c r="L554" t="s">
        <v>37</v>
      </c>
      <c r="N554">
        <v>5</v>
      </c>
    </row>
    <row r="555" spans="1:14">
      <c r="A555" t="s">
        <v>587</v>
      </c>
      <c r="B555">
        <v>3447</v>
      </c>
      <c r="C555">
        <v>23.37</v>
      </c>
      <c r="D555" t="s">
        <v>28</v>
      </c>
      <c r="E555">
        <v>46024</v>
      </c>
      <c r="F555">
        <v>806</v>
      </c>
      <c r="G555">
        <v>2.6100000000000002E-2</v>
      </c>
      <c r="H555">
        <v>116.93</v>
      </c>
      <c r="I555" t="s">
        <v>17</v>
      </c>
      <c r="J555" s="11">
        <v>1</v>
      </c>
      <c r="K555">
        <v>57</v>
      </c>
      <c r="L555" t="s">
        <v>22</v>
      </c>
      <c r="N555">
        <v>5</v>
      </c>
    </row>
    <row r="556" spans="1:14">
      <c r="A556" t="s">
        <v>588</v>
      </c>
      <c r="B556">
        <v>4137</v>
      </c>
      <c r="C556">
        <v>9.25</v>
      </c>
      <c r="D556" t="s">
        <v>40</v>
      </c>
      <c r="E556">
        <v>94249</v>
      </c>
      <c r="F556">
        <v>9246</v>
      </c>
      <c r="G556">
        <v>6.4299999999999996E-2</v>
      </c>
      <c r="H556">
        <v>94.59</v>
      </c>
      <c r="I556" t="s">
        <v>17</v>
      </c>
      <c r="J556" s="11">
        <v>0</v>
      </c>
      <c r="K556">
        <v>55</v>
      </c>
      <c r="L556" t="s">
        <v>18</v>
      </c>
      <c r="M556" t="s">
        <v>45</v>
      </c>
      <c r="N556">
        <v>4</v>
      </c>
    </row>
    <row r="557" spans="1:14">
      <c r="A557" t="s">
        <v>589</v>
      </c>
      <c r="B557">
        <v>6698</v>
      </c>
      <c r="D557" t="s">
        <v>25</v>
      </c>
      <c r="E557">
        <v>6489</v>
      </c>
      <c r="F557">
        <v>7480</v>
      </c>
      <c r="G557">
        <v>8.4000000000000005E-2</v>
      </c>
      <c r="H557">
        <v>283.25</v>
      </c>
      <c r="I557" t="s">
        <v>26</v>
      </c>
      <c r="J557" s="11">
        <v>0</v>
      </c>
      <c r="K557">
        <v>50</v>
      </c>
      <c r="L557" t="s">
        <v>37</v>
      </c>
      <c r="N557">
        <v>1</v>
      </c>
    </row>
    <row r="558" spans="1:14">
      <c r="A558" t="s">
        <v>590</v>
      </c>
      <c r="B558">
        <v>3776</v>
      </c>
      <c r="D558" t="s">
        <v>28</v>
      </c>
      <c r="E558">
        <v>1392</v>
      </c>
      <c r="F558">
        <v>5365</v>
      </c>
      <c r="G558">
        <v>0.12609999999999999</v>
      </c>
      <c r="H558">
        <v>295.77999999999997</v>
      </c>
      <c r="I558" t="s">
        <v>26</v>
      </c>
      <c r="K558">
        <v>19</v>
      </c>
      <c r="L558" t="s">
        <v>37</v>
      </c>
      <c r="M558" t="s">
        <v>32</v>
      </c>
      <c r="N558">
        <v>1</v>
      </c>
    </row>
    <row r="559" spans="1:14">
      <c r="A559" t="s">
        <v>591</v>
      </c>
      <c r="B559">
        <v>4024</v>
      </c>
      <c r="D559" t="s">
        <v>45</v>
      </c>
      <c r="E559">
        <v>77905</v>
      </c>
      <c r="F559">
        <v>1665</v>
      </c>
      <c r="G559">
        <v>0.1918</v>
      </c>
      <c r="I559" t="s">
        <v>49</v>
      </c>
      <c r="J559" s="11">
        <v>0</v>
      </c>
      <c r="K559">
        <v>59</v>
      </c>
      <c r="L559" t="s">
        <v>37</v>
      </c>
      <c r="M559" t="s">
        <v>38</v>
      </c>
      <c r="N559">
        <v>3</v>
      </c>
    </row>
    <row r="560" spans="1:14">
      <c r="A560" t="s">
        <v>592</v>
      </c>
      <c r="B560">
        <v>5311</v>
      </c>
      <c r="C560">
        <v>142.21</v>
      </c>
      <c r="D560" t="s">
        <v>32</v>
      </c>
      <c r="E560">
        <v>55459</v>
      </c>
      <c r="F560">
        <v>1174</v>
      </c>
      <c r="G560">
        <v>9.1800000000000007E-2</v>
      </c>
      <c r="H560">
        <v>385.82</v>
      </c>
      <c r="I560" t="s">
        <v>34</v>
      </c>
      <c r="J560" s="11">
        <v>1</v>
      </c>
      <c r="K560">
        <v>30</v>
      </c>
      <c r="L560" t="s">
        <v>22</v>
      </c>
      <c r="M560" t="s">
        <v>32</v>
      </c>
      <c r="N560">
        <v>4</v>
      </c>
    </row>
    <row r="561" spans="1:14">
      <c r="A561" t="s">
        <v>593</v>
      </c>
      <c r="B561">
        <v>2415</v>
      </c>
      <c r="C561">
        <v>32.450000000000003</v>
      </c>
      <c r="D561" t="s">
        <v>40</v>
      </c>
      <c r="E561">
        <v>38699</v>
      </c>
      <c r="F561">
        <v>2365</v>
      </c>
      <c r="G561">
        <v>4.7100000000000003E-2</v>
      </c>
      <c r="H561">
        <v>478.03</v>
      </c>
      <c r="I561" t="s">
        <v>21</v>
      </c>
      <c r="K561">
        <v>34</v>
      </c>
      <c r="L561" t="s">
        <v>31</v>
      </c>
      <c r="M561" t="s">
        <v>23</v>
      </c>
      <c r="N561">
        <v>1</v>
      </c>
    </row>
    <row r="562" spans="1:14">
      <c r="A562" t="s">
        <v>594</v>
      </c>
      <c r="B562">
        <v>4253</v>
      </c>
      <c r="C562">
        <v>116.49</v>
      </c>
      <c r="D562" t="s">
        <v>28</v>
      </c>
      <c r="E562">
        <v>62940</v>
      </c>
      <c r="F562">
        <v>2824</v>
      </c>
      <c r="G562">
        <v>9.8699999999999996E-2</v>
      </c>
      <c r="H562">
        <v>250.44</v>
      </c>
      <c r="I562" t="s">
        <v>17</v>
      </c>
      <c r="K562">
        <v>41</v>
      </c>
      <c r="L562" t="s">
        <v>22</v>
      </c>
      <c r="M562" t="s">
        <v>32</v>
      </c>
    </row>
    <row r="563" spans="1:14">
      <c r="A563" t="s">
        <v>595</v>
      </c>
      <c r="B563">
        <v>6718</v>
      </c>
      <c r="C563">
        <v>53.7</v>
      </c>
      <c r="D563" t="s">
        <v>40</v>
      </c>
      <c r="E563">
        <v>42399</v>
      </c>
      <c r="F563">
        <v>7303</v>
      </c>
      <c r="H563">
        <v>433.82</v>
      </c>
      <c r="I563" t="s">
        <v>34</v>
      </c>
      <c r="J563" s="11">
        <v>0</v>
      </c>
      <c r="K563">
        <v>45</v>
      </c>
      <c r="L563" t="s">
        <v>22</v>
      </c>
      <c r="M563" t="s">
        <v>23</v>
      </c>
      <c r="N563">
        <v>4</v>
      </c>
    </row>
    <row r="564" spans="1:14">
      <c r="A564" t="s">
        <v>596</v>
      </c>
      <c r="B564">
        <v>2012</v>
      </c>
      <c r="C564">
        <v>171.75</v>
      </c>
      <c r="D564" t="s">
        <v>40</v>
      </c>
      <c r="E564">
        <v>23905</v>
      </c>
      <c r="F564">
        <v>3755</v>
      </c>
      <c r="G564">
        <v>0.17319999999999999</v>
      </c>
      <c r="I564" t="s">
        <v>21</v>
      </c>
      <c r="J564" s="11">
        <v>0</v>
      </c>
      <c r="K564">
        <v>50</v>
      </c>
      <c r="L564" t="s">
        <v>18</v>
      </c>
      <c r="M564" t="s">
        <v>19</v>
      </c>
      <c r="N564">
        <v>1</v>
      </c>
    </row>
    <row r="565" spans="1:14">
      <c r="A565" t="s">
        <v>597</v>
      </c>
      <c r="B565">
        <v>8988</v>
      </c>
      <c r="C565">
        <v>77.400000000000006</v>
      </c>
      <c r="D565" t="s">
        <v>32</v>
      </c>
      <c r="E565">
        <v>68833</v>
      </c>
      <c r="F565">
        <v>2296</v>
      </c>
      <c r="G565">
        <v>8.9800000000000005E-2</v>
      </c>
      <c r="I565" t="s">
        <v>26</v>
      </c>
      <c r="K565">
        <v>45</v>
      </c>
      <c r="L565" t="s">
        <v>18</v>
      </c>
      <c r="M565" t="s">
        <v>23</v>
      </c>
      <c r="N565">
        <v>5</v>
      </c>
    </row>
    <row r="566" spans="1:14">
      <c r="A566" t="s">
        <v>598</v>
      </c>
      <c r="B566">
        <v>8344</v>
      </c>
      <c r="C566">
        <v>177.97</v>
      </c>
      <c r="D566" t="s">
        <v>45</v>
      </c>
      <c r="E566">
        <v>67003</v>
      </c>
      <c r="F566">
        <v>8777</v>
      </c>
      <c r="G566">
        <v>4.4699999999999997E-2</v>
      </c>
      <c r="H566">
        <v>157.66</v>
      </c>
      <c r="I566" t="s">
        <v>26</v>
      </c>
      <c r="J566" s="11">
        <v>1</v>
      </c>
      <c r="K566">
        <v>60</v>
      </c>
      <c r="L566" t="s">
        <v>22</v>
      </c>
      <c r="M566" t="s">
        <v>23</v>
      </c>
    </row>
    <row r="567" spans="1:14">
      <c r="A567" t="s">
        <v>599</v>
      </c>
      <c r="B567">
        <v>7710</v>
      </c>
      <c r="D567" t="s">
        <v>28</v>
      </c>
      <c r="E567">
        <v>94030</v>
      </c>
      <c r="F567">
        <v>8355</v>
      </c>
      <c r="G567">
        <v>0.16070000000000001</v>
      </c>
      <c r="H567">
        <v>32.17</v>
      </c>
      <c r="I567" t="s">
        <v>26</v>
      </c>
      <c r="J567" s="11">
        <v>1</v>
      </c>
      <c r="K567">
        <v>52</v>
      </c>
      <c r="L567" t="s">
        <v>37</v>
      </c>
      <c r="N567">
        <v>4</v>
      </c>
    </row>
    <row r="568" spans="1:14">
      <c r="A568" t="s">
        <v>600</v>
      </c>
      <c r="B568">
        <v>4358</v>
      </c>
      <c r="D568" t="s">
        <v>15</v>
      </c>
      <c r="E568">
        <v>25961</v>
      </c>
      <c r="F568">
        <v>7011</v>
      </c>
      <c r="G568">
        <v>8.8700000000000001E-2</v>
      </c>
      <c r="H568">
        <v>281.82</v>
      </c>
      <c r="I568" t="s">
        <v>17</v>
      </c>
      <c r="J568" s="11">
        <v>1</v>
      </c>
      <c r="K568">
        <v>56</v>
      </c>
      <c r="L568" t="s">
        <v>37</v>
      </c>
      <c r="M568" t="s">
        <v>32</v>
      </c>
      <c r="N568">
        <v>1</v>
      </c>
    </row>
    <row r="569" spans="1:14">
      <c r="A569" t="s">
        <v>601</v>
      </c>
      <c r="B569">
        <v>6208</v>
      </c>
      <c r="D569" t="s">
        <v>32</v>
      </c>
      <c r="E569">
        <v>29691</v>
      </c>
      <c r="F569">
        <v>5703</v>
      </c>
      <c r="G569">
        <v>0.16389999999999999</v>
      </c>
      <c r="H569">
        <v>452.33</v>
      </c>
      <c r="I569" t="s">
        <v>21</v>
      </c>
      <c r="J569" s="11">
        <v>1</v>
      </c>
      <c r="K569">
        <v>55</v>
      </c>
      <c r="L569" t="s">
        <v>22</v>
      </c>
      <c r="M569" t="s">
        <v>19</v>
      </c>
    </row>
    <row r="570" spans="1:14">
      <c r="A570" t="s">
        <v>602</v>
      </c>
      <c r="B570">
        <v>5756</v>
      </c>
      <c r="C570">
        <v>113.18</v>
      </c>
      <c r="D570" t="s">
        <v>25</v>
      </c>
      <c r="E570">
        <v>86066</v>
      </c>
      <c r="F570">
        <v>5082</v>
      </c>
      <c r="I570" t="s">
        <v>49</v>
      </c>
      <c r="K570">
        <v>49</v>
      </c>
      <c r="L570" t="s">
        <v>31</v>
      </c>
      <c r="M570" t="s">
        <v>32</v>
      </c>
      <c r="N570">
        <v>4</v>
      </c>
    </row>
    <row r="571" spans="1:14">
      <c r="A571" t="s">
        <v>603</v>
      </c>
      <c r="B571">
        <v>7827</v>
      </c>
      <c r="C571">
        <v>192.1</v>
      </c>
      <c r="D571" t="s">
        <v>25</v>
      </c>
      <c r="E571">
        <v>5294</v>
      </c>
      <c r="F571">
        <v>104</v>
      </c>
      <c r="G571">
        <v>0.12379999999999999</v>
      </c>
      <c r="H571">
        <v>384.86</v>
      </c>
      <c r="I571" t="s">
        <v>34</v>
      </c>
      <c r="K571">
        <v>49</v>
      </c>
      <c r="L571" t="s">
        <v>22</v>
      </c>
      <c r="M571" t="s">
        <v>38</v>
      </c>
      <c r="N571">
        <v>1</v>
      </c>
    </row>
    <row r="572" spans="1:14">
      <c r="A572" t="s">
        <v>604</v>
      </c>
      <c r="B572">
        <v>8222</v>
      </c>
      <c r="C572">
        <v>41.99</v>
      </c>
      <c r="D572" t="s">
        <v>25</v>
      </c>
      <c r="E572">
        <v>70184</v>
      </c>
      <c r="F572">
        <v>5126</v>
      </c>
      <c r="H572">
        <v>129.16999999999999</v>
      </c>
      <c r="I572" t="s">
        <v>29</v>
      </c>
      <c r="J572" s="11">
        <v>1</v>
      </c>
      <c r="K572">
        <v>57</v>
      </c>
      <c r="L572" t="s">
        <v>37</v>
      </c>
      <c r="M572" t="s">
        <v>32</v>
      </c>
      <c r="N572">
        <v>2</v>
      </c>
    </row>
    <row r="573" spans="1:14">
      <c r="A573" t="s">
        <v>605</v>
      </c>
      <c r="B573">
        <v>5150</v>
      </c>
      <c r="D573" t="s">
        <v>45</v>
      </c>
      <c r="E573">
        <v>76693</v>
      </c>
      <c r="F573">
        <v>6108</v>
      </c>
      <c r="G573">
        <v>0.1062</v>
      </c>
      <c r="H573">
        <v>117.32</v>
      </c>
      <c r="I573" t="s">
        <v>34</v>
      </c>
      <c r="J573" s="11">
        <v>1</v>
      </c>
      <c r="K573">
        <v>38</v>
      </c>
      <c r="L573" t="s">
        <v>18</v>
      </c>
      <c r="M573" t="s">
        <v>32</v>
      </c>
      <c r="N573">
        <v>5</v>
      </c>
    </row>
    <row r="574" spans="1:14">
      <c r="A574" t="s">
        <v>606</v>
      </c>
      <c r="B574">
        <v>5787</v>
      </c>
      <c r="C574">
        <v>190.99</v>
      </c>
      <c r="D574" t="s">
        <v>45</v>
      </c>
      <c r="E574">
        <v>2537</v>
      </c>
      <c r="F574">
        <v>195</v>
      </c>
      <c r="G574">
        <v>0.1263</v>
      </c>
      <c r="H574">
        <v>197.2</v>
      </c>
      <c r="I574" t="s">
        <v>34</v>
      </c>
      <c r="L574" t="s">
        <v>31</v>
      </c>
      <c r="M574" t="s">
        <v>38</v>
      </c>
      <c r="N574">
        <v>4</v>
      </c>
    </row>
    <row r="575" spans="1:14">
      <c r="A575" t="s">
        <v>607</v>
      </c>
      <c r="B575">
        <v>8343</v>
      </c>
      <c r="D575" t="s">
        <v>40</v>
      </c>
      <c r="E575">
        <v>84467</v>
      </c>
      <c r="F575">
        <v>4006</v>
      </c>
      <c r="G575">
        <v>0.19789999999999999</v>
      </c>
      <c r="H575">
        <v>439.09</v>
      </c>
      <c r="I575" t="s">
        <v>29</v>
      </c>
      <c r="J575" s="11">
        <v>1</v>
      </c>
      <c r="K575">
        <v>59</v>
      </c>
      <c r="L575" t="s">
        <v>18</v>
      </c>
      <c r="M575" t="s">
        <v>19</v>
      </c>
      <c r="N575">
        <v>2</v>
      </c>
    </row>
    <row r="576" spans="1:14">
      <c r="A576" t="s">
        <v>608</v>
      </c>
      <c r="B576">
        <v>6647</v>
      </c>
      <c r="C576">
        <v>148.16999999999999</v>
      </c>
      <c r="D576" t="s">
        <v>32</v>
      </c>
      <c r="E576">
        <v>25374</v>
      </c>
      <c r="F576">
        <v>9108</v>
      </c>
      <c r="G576">
        <v>0.1293</v>
      </c>
      <c r="I576" t="s">
        <v>17</v>
      </c>
      <c r="J576" s="11">
        <v>0</v>
      </c>
      <c r="K576">
        <v>58</v>
      </c>
      <c r="L576" t="s">
        <v>22</v>
      </c>
      <c r="N576">
        <v>3</v>
      </c>
    </row>
    <row r="577" spans="1:14">
      <c r="A577" t="s">
        <v>609</v>
      </c>
      <c r="B577">
        <v>9629</v>
      </c>
      <c r="C577">
        <v>119.44</v>
      </c>
      <c r="D577" t="s">
        <v>32</v>
      </c>
      <c r="E577">
        <v>89450</v>
      </c>
      <c r="F577">
        <v>5159</v>
      </c>
      <c r="G577">
        <v>9.1300000000000006E-2</v>
      </c>
      <c r="H577">
        <v>428.25</v>
      </c>
      <c r="I577" t="s">
        <v>17</v>
      </c>
      <c r="K577">
        <v>45</v>
      </c>
      <c r="L577" t="s">
        <v>31</v>
      </c>
      <c r="M577" t="s">
        <v>23</v>
      </c>
      <c r="N577">
        <v>5</v>
      </c>
    </row>
    <row r="578" spans="1:14">
      <c r="A578" t="s">
        <v>610</v>
      </c>
      <c r="B578">
        <v>2524</v>
      </c>
      <c r="C578">
        <v>38.46</v>
      </c>
      <c r="D578" t="s">
        <v>40</v>
      </c>
      <c r="E578">
        <v>72098</v>
      </c>
      <c r="F578">
        <v>2578</v>
      </c>
      <c r="G578">
        <v>6.1199999999999997E-2</v>
      </c>
      <c r="H578">
        <v>119.7</v>
      </c>
      <c r="I578" t="s">
        <v>21</v>
      </c>
      <c r="K578">
        <v>62</v>
      </c>
      <c r="L578" t="s">
        <v>31</v>
      </c>
      <c r="M578" t="s">
        <v>19</v>
      </c>
      <c r="N578">
        <v>2</v>
      </c>
    </row>
    <row r="579" spans="1:14">
      <c r="A579" t="s">
        <v>611</v>
      </c>
      <c r="B579">
        <v>8989</v>
      </c>
      <c r="C579">
        <v>89.48</v>
      </c>
      <c r="D579" t="s">
        <v>25</v>
      </c>
      <c r="E579">
        <v>83857</v>
      </c>
      <c r="F579">
        <v>1542</v>
      </c>
      <c r="H579">
        <v>416.19</v>
      </c>
      <c r="I579" t="s">
        <v>29</v>
      </c>
      <c r="L579" t="s">
        <v>31</v>
      </c>
      <c r="N579">
        <v>1</v>
      </c>
    </row>
    <row r="580" spans="1:14">
      <c r="A580" t="s">
        <v>612</v>
      </c>
      <c r="B580">
        <v>5269</v>
      </c>
      <c r="C580">
        <v>149.26</v>
      </c>
      <c r="D580" t="s">
        <v>45</v>
      </c>
      <c r="E580">
        <v>63595</v>
      </c>
      <c r="F580">
        <v>1368</v>
      </c>
      <c r="G580">
        <v>9.8000000000000004E-2</v>
      </c>
      <c r="H580">
        <v>388.52</v>
      </c>
      <c r="I580" t="s">
        <v>26</v>
      </c>
      <c r="J580" s="11">
        <v>1</v>
      </c>
      <c r="L580" t="s">
        <v>22</v>
      </c>
      <c r="M580" t="s">
        <v>38</v>
      </c>
      <c r="N580">
        <v>3</v>
      </c>
    </row>
    <row r="581" spans="1:14">
      <c r="A581" t="s">
        <v>613</v>
      </c>
      <c r="B581">
        <v>2259</v>
      </c>
      <c r="C581">
        <v>49.75</v>
      </c>
      <c r="D581" t="s">
        <v>32</v>
      </c>
      <c r="E581">
        <v>79766</v>
      </c>
      <c r="F581">
        <v>5923</v>
      </c>
      <c r="G581">
        <v>0.1111</v>
      </c>
      <c r="H581">
        <v>403.17</v>
      </c>
      <c r="I581" t="s">
        <v>21</v>
      </c>
      <c r="K581">
        <v>45</v>
      </c>
      <c r="L581" t="s">
        <v>18</v>
      </c>
      <c r="M581" t="s">
        <v>23</v>
      </c>
      <c r="N581">
        <v>3</v>
      </c>
    </row>
    <row r="582" spans="1:14">
      <c r="A582" t="s">
        <v>614</v>
      </c>
      <c r="B582">
        <v>4531</v>
      </c>
      <c r="C582">
        <v>82.76</v>
      </c>
      <c r="D582" t="s">
        <v>32</v>
      </c>
      <c r="E582">
        <v>21679</v>
      </c>
      <c r="F582">
        <v>1875</v>
      </c>
      <c r="H582">
        <v>287.61</v>
      </c>
      <c r="I582" t="s">
        <v>34</v>
      </c>
      <c r="K582">
        <v>27</v>
      </c>
      <c r="L582" t="s">
        <v>22</v>
      </c>
      <c r="M582" t="s">
        <v>38</v>
      </c>
      <c r="N582">
        <v>2</v>
      </c>
    </row>
    <row r="583" spans="1:14">
      <c r="A583" t="s">
        <v>615</v>
      </c>
      <c r="B583">
        <v>4407</v>
      </c>
      <c r="C583">
        <v>88.81</v>
      </c>
      <c r="D583" t="s">
        <v>15</v>
      </c>
      <c r="E583">
        <v>53557</v>
      </c>
      <c r="F583">
        <v>1457</v>
      </c>
      <c r="H583">
        <v>179.81</v>
      </c>
      <c r="I583" t="s">
        <v>26</v>
      </c>
      <c r="K583">
        <v>20</v>
      </c>
      <c r="L583" t="s">
        <v>18</v>
      </c>
      <c r="M583" t="s">
        <v>38</v>
      </c>
    </row>
    <row r="584" spans="1:14">
      <c r="A584" t="s">
        <v>616</v>
      </c>
      <c r="B584">
        <v>7949</v>
      </c>
      <c r="C584">
        <v>55.94</v>
      </c>
      <c r="D584" t="s">
        <v>28</v>
      </c>
      <c r="E584">
        <v>93224</v>
      </c>
      <c r="F584">
        <v>3895</v>
      </c>
      <c r="H584">
        <v>251.57</v>
      </c>
      <c r="I584" t="s">
        <v>26</v>
      </c>
      <c r="J584" s="11">
        <v>0</v>
      </c>
      <c r="L584" t="s">
        <v>18</v>
      </c>
      <c r="M584" t="s">
        <v>38</v>
      </c>
      <c r="N584">
        <v>1</v>
      </c>
    </row>
    <row r="585" spans="1:14">
      <c r="A585" t="s">
        <v>617</v>
      </c>
      <c r="B585">
        <v>6524</v>
      </c>
      <c r="C585">
        <v>106.3</v>
      </c>
      <c r="D585" t="s">
        <v>32</v>
      </c>
      <c r="E585">
        <v>12898</v>
      </c>
      <c r="F585">
        <v>1188</v>
      </c>
      <c r="G585">
        <v>0.1777</v>
      </c>
      <c r="H585">
        <v>324.97000000000003</v>
      </c>
      <c r="I585" t="s">
        <v>17</v>
      </c>
      <c r="J585" s="11">
        <v>1</v>
      </c>
      <c r="K585">
        <v>46</v>
      </c>
      <c r="L585" t="s">
        <v>22</v>
      </c>
      <c r="M585" t="s">
        <v>23</v>
      </c>
      <c r="N585">
        <v>2</v>
      </c>
    </row>
    <row r="586" spans="1:14">
      <c r="A586" t="s">
        <v>618</v>
      </c>
      <c r="B586">
        <v>2303</v>
      </c>
      <c r="C586">
        <v>120</v>
      </c>
      <c r="D586" t="s">
        <v>45</v>
      </c>
      <c r="E586">
        <v>52508</v>
      </c>
      <c r="F586">
        <v>4045</v>
      </c>
      <c r="G586">
        <v>0.16289999999999999</v>
      </c>
      <c r="H586">
        <v>385.71</v>
      </c>
      <c r="I586" t="s">
        <v>34</v>
      </c>
      <c r="J586" s="11">
        <v>1</v>
      </c>
      <c r="K586">
        <v>38</v>
      </c>
      <c r="L586" t="s">
        <v>37</v>
      </c>
      <c r="M586" t="s">
        <v>38</v>
      </c>
      <c r="N586">
        <v>2</v>
      </c>
    </row>
    <row r="587" spans="1:14">
      <c r="A587" t="s">
        <v>619</v>
      </c>
      <c r="B587">
        <v>8234</v>
      </c>
      <c r="C587">
        <v>59.67</v>
      </c>
      <c r="D587" t="s">
        <v>15</v>
      </c>
      <c r="E587">
        <v>19138</v>
      </c>
      <c r="F587">
        <v>7708</v>
      </c>
      <c r="G587">
        <v>0.1071</v>
      </c>
      <c r="H587">
        <v>121.3</v>
      </c>
      <c r="I587" t="s">
        <v>29</v>
      </c>
      <c r="K587">
        <v>30</v>
      </c>
      <c r="L587" t="s">
        <v>31</v>
      </c>
      <c r="N587">
        <v>5</v>
      </c>
    </row>
    <row r="588" spans="1:14">
      <c r="A588" t="s">
        <v>620</v>
      </c>
      <c r="B588">
        <v>3757</v>
      </c>
      <c r="C588">
        <v>103.73</v>
      </c>
      <c r="D588" t="s">
        <v>15</v>
      </c>
      <c r="E588">
        <v>80505</v>
      </c>
      <c r="F588">
        <v>5461</v>
      </c>
      <c r="G588">
        <v>6.5000000000000002E-2</v>
      </c>
      <c r="H588">
        <v>56.08</v>
      </c>
      <c r="I588" t="s">
        <v>29</v>
      </c>
      <c r="K588">
        <v>23</v>
      </c>
      <c r="L588" t="s">
        <v>18</v>
      </c>
      <c r="M588" t="s">
        <v>38</v>
      </c>
      <c r="N588">
        <v>3</v>
      </c>
    </row>
    <row r="589" spans="1:14">
      <c r="A589" t="s">
        <v>621</v>
      </c>
      <c r="B589">
        <v>4554</v>
      </c>
      <c r="C589">
        <v>30.12</v>
      </c>
      <c r="D589" t="s">
        <v>28</v>
      </c>
      <c r="E589">
        <v>69956</v>
      </c>
      <c r="F589">
        <v>7214</v>
      </c>
      <c r="G589">
        <v>9.1700000000000004E-2</v>
      </c>
      <c r="H589">
        <v>69.45</v>
      </c>
      <c r="I589" t="s">
        <v>21</v>
      </c>
      <c r="K589">
        <v>58</v>
      </c>
      <c r="L589" t="s">
        <v>22</v>
      </c>
      <c r="N589">
        <v>1</v>
      </c>
    </row>
    <row r="590" spans="1:14">
      <c r="A590" t="s">
        <v>622</v>
      </c>
      <c r="B590">
        <v>5389</v>
      </c>
      <c r="C590">
        <v>46.2</v>
      </c>
      <c r="D590" t="s">
        <v>40</v>
      </c>
      <c r="E590">
        <v>4597</v>
      </c>
      <c r="F590">
        <v>5994</v>
      </c>
      <c r="G590">
        <v>0.1154</v>
      </c>
      <c r="H590">
        <v>210.97</v>
      </c>
      <c r="I590" t="s">
        <v>17</v>
      </c>
      <c r="K590">
        <v>40</v>
      </c>
      <c r="L590" t="s">
        <v>37</v>
      </c>
      <c r="M590" t="s">
        <v>23</v>
      </c>
      <c r="N590">
        <v>3</v>
      </c>
    </row>
    <row r="591" spans="1:14">
      <c r="A591" t="s">
        <v>623</v>
      </c>
      <c r="B591">
        <v>9833</v>
      </c>
      <c r="C591">
        <v>76.930000000000007</v>
      </c>
      <c r="D591" t="s">
        <v>28</v>
      </c>
      <c r="E591">
        <v>92864</v>
      </c>
      <c r="F591">
        <v>3688</v>
      </c>
      <c r="G591">
        <v>0.15129999999999999</v>
      </c>
      <c r="H591">
        <v>193.1</v>
      </c>
      <c r="I591" t="s">
        <v>29</v>
      </c>
      <c r="K591">
        <v>57</v>
      </c>
      <c r="L591" t="s">
        <v>22</v>
      </c>
      <c r="N591">
        <v>3</v>
      </c>
    </row>
    <row r="592" spans="1:14">
      <c r="A592" t="s">
        <v>624</v>
      </c>
      <c r="B592">
        <v>5068</v>
      </c>
      <c r="D592" t="s">
        <v>28</v>
      </c>
      <c r="E592">
        <v>21568</v>
      </c>
      <c r="F592">
        <v>4385</v>
      </c>
      <c r="G592">
        <v>5.2999999999999999E-2</v>
      </c>
      <c r="H592">
        <v>198.72</v>
      </c>
      <c r="I592" t="s">
        <v>29</v>
      </c>
      <c r="J592" s="11">
        <v>1</v>
      </c>
      <c r="K592">
        <v>34</v>
      </c>
      <c r="L592" t="s">
        <v>22</v>
      </c>
      <c r="M592" t="s">
        <v>38</v>
      </c>
    </row>
    <row r="593" spans="1:14">
      <c r="A593" t="s">
        <v>625</v>
      </c>
      <c r="B593">
        <v>8123</v>
      </c>
      <c r="C593">
        <v>84.71</v>
      </c>
      <c r="D593" t="s">
        <v>25</v>
      </c>
      <c r="E593">
        <v>2976</v>
      </c>
      <c r="F593">
        <v>4875</v>
      </c>
      <c r="G593">
        <v>6.2899999999999998E-2</v>
      </c>
      <c r="H593">
        <v>170.79</v>
      </c>
      <c r="I593" t="s">
        <v>26</v>
      </c>
      <c r="J593" s="11">
        <v>0</v>
      </c>
      <c r="K593">
        <v>55</v>
      </c>
      <c r="L593" t="s">
        <v>18</v>
      </c>
      <c r="M593" t="s">
        <v>32</v>
      </c>
      <c r="N593">
        <v>4</v>
      </c>
    </row>
    <row r="594" spans="1:14">
      <c r="A594" t="s">
        <v>626</v>
      </c>
      <c r="B594">
        <v>6596</v>
      </c>
      <c r="D594" t="s">
        <v>40</v>
      </c>
      <c r="E594">
        <v>35529</v>
      </c>
      <c r="F594">
        <v>4071</v>
      </c>
      <c r="G594">
        <v>2.5399999999999999E-2</v>
      </c>
      <c r="H594">
        <v>376.7</v>
      </c>
      <c r="I594" t="s">
        <v>29</v>
      </c>
      <c r="J594" s="11">
        <v>1</v>
      </c>
      <c r="K594">
        <v>19</v>
      </c>
      <c r="L594" t="s">
        <v>22</v>
      </c>
      <c r="M594" t="s">
        <v>19</v>
      </c>
    </row>
    <row r="595" spans="1:14">
      <c r="A595" t="s">
        <v>627</v>
      </c>
      <c r="B595">
        <v>9179</v>
      </c>
      <c r="D595" t="s">
        <v>28</v>
      </c>
      <c r="E595">
        <v>29916</v>
      </c>
      <c r="F595">
        <v>5683</v>
      </c>
      <c r="G595">
        <v>0.1318</v>
      </c>
      <c r="H595">
        <v>85.12</v>
      </c>
      <c r="I595" t="s">
        <v>34</v>
      </c>
      <c r="J595" s="11">
        <v>0</v>
      </c>
      <c r="K595">
        <v>48</v>
      </c>
      <c r="L595" t="s">
        <v>37</v>
      </c>
      <c r="M595" t="s">
        <v>32</v>
      </c>
      <c r="N595">
        <v>1</v>
      </c>
    </row>
    <row r="596" spans="1:14">
      <c r="A596" t="s">
        <v>628</v>
      </c>
      <c r="B596">
        <v>2975</v>
      </c>
      <c r="C596">
        <v>111.46</v>
      </c>
      <c r="D596" t="s">
        <v>40</v>
      </c>
      <c r="E596">
        <v>62938</v>
      </c>
      <c r="F596">
        <v>7755</v>
      </c>
      <c r="G596">
        <v>0.1027</v>
      </c>
      <c r="H596">
        <v>405.31</v>
      </c>
      <c r="I596" t="s">
        <v>29</v>
      </c>
      <c r="K596">
        <v>32</v>
      </c>
      <c r="L596" t="s">
        <v>18</v>
      </c>
      <c r="M596" t="s">
        <v>23</v>
      </c>
      <c r="N596">
        <v>2</v>
      </c>
    </row>
    <row r="597" spans="1:14">
      <c r="A597" t="s">
        <v>629</v>
      </c>
      <c r="B597">
        <v>2512</v>
      </c>
      <c r="C597">
        <v>20.25</v>
      </c>
      <c r="D597" t="s">
        <v>45</v>
      </c>
      <c r="E597">
        <v>60968</v>
      </c>
      <c r="F597" t="s">
        <v>16</v>
      </c>
      <c r="G597">
        <v>0.10050000000000001</v>
      </c>
      <c r="I597" t="s">
        <v>34</v>
      </c>
      <c r="J597" s="11">
        <v>0</v>
      </c>
      <c r="K597">
        <v>55</v>
      </c>
      <c r="L597" t="s">
        <v>31</v>
      </c>
      <c r="M597" t="s">
        <v>38</v>
      </c>
      <c r="N597">
        <v>1</v>
      </c>
    </row>
    <row r="598" spans="1:14">
      <c r="A598" t="s">
        <v>630</v>
      </c>
      <c r="B598">
        <v>5377</v>
      </c>
      <c r="C598">
        <v>144.19</v>
      </c>
      <c r="D598" t="s">
        <v>45</v>
      </c>
      <c r="E598">
        <v>18618</v>
      </c>
      <c r="F598">
        <v>7678</v>
      </c>
      <c r="G598">
        <v>7.3499999999999996E-2</v>
      </c>
      <c r="H598">
        <v>152.44</v>
      </c>
      <c r="I598" t="s">
        <v>29</v>
      </c>
      <c r="K598">
        <v>54</v>
      </c>
      <c r="L598" t="s">
        <v>31</v>
      </c>
      <c r="M598" t="s">
        <v>19</v>
      </c>
      <c r="N598">
        <v>4</v>
      </c>
    </row>
    <row r="599" spans="1:14">
      <c r="A599" t="s">
        <v>631</v>
      </c>
      <c r="B599">
        <v>7955</v>
      </c>
      <c r="D599" t="s">
        <v>25</v>
      </c>
      <c r="E599">
        <v>90191</v>
      </c>
      <c r="F599">
        <v>5643</v>
      </c>
      <c r="G599">
        <v>0.14779999999999999</v>
      </c>
      <c r="I599" t="s">
        <v>21</v>
      </c>
      <c r="J599" s="11">
        <v>1</v>
      </c>
      <c r="K599">
        <v>21</v>
      </c>
      <c r="L599" t="s">
        <v>18</v>
      </c>
      <c r="M599" t="s">
        <v>19</v>
      </c>
      <c r="N599">
        <v>2</v>
      </c>
    </row>
    <row r="600" spans="1:14">
      <c r="A600" t="s">
        <v>632</v>
      </c>
      <c r="B600">
        <v>5106</v>
      </c>
      <c r="C600">
        <v>78.12</v>
      </c>
      <c r="D600" t="s">
        <v>28</v>
      </c>
      <c r="E600">
        <v>74157</v>
      </c>
      <c r="F600">
        <v>5628</v>
      </c>
      <c r="G600">
        <v>8.3000000000000004E-2</v>
      </c>
      <c r="H600">
        <v>474.37</v>
      </c>
      <c r="I600" t="s">
        <v>26</v>
      </c>
      <c r="K600">
        <v>53</v>
      </c>
      <c r="L600" t="s">
        <v>22</v>
      </c>
      <c r="M600" t="s">
        <v>23</v>
      </c>
      <c r="N600">
        <v>1</v>
      </c>
    </row>
    <row r="601" spans="1:14">
      <c r="A601" t="s">
        <v>633</v>
      </c>
      <c r="B601">
        <v>9026</v>
      </c>
      <c r="C601">
        <v>41.99</v>
      </c>
      <c r="D601" t="s">
        <v>45</v>
      </c>
      <c r="E601">
        <v>64666</v>
      </c>
      <c r="F601">
        <v>1678</v>
      </c>
      <c r="G601">
        <v>8.0699999999999994E-2</v>
      </c>
      <c r="I601" t="s">
        <v>29</v>
      </c>
      <c r="J601" s="11">
        <v>1</v>
      </c>
      <c r="K601">
        <v>41</v>
      </c>
      <c r="L601" t="s">
        <v>31</v>
      </c>
      <c r="M601" t="s">
        <v>38</v>
      </c>
      <c r="N601">
        <v>2</v>
      </c>
    </row>
    <row r="602" spans="1:14">
      <c r="A602" t="s">
        <v>634</v>
      </c>
      <c r="B602">
        <v>1432</v>
      </c>
      <c r="C602">
        <v>58.89</v>
      </c>
      <c r="D602" t="s">
        <v>25</v>
      </c>
      <c r="E602">
        <v>53373</v>
      </c>
      <c r="F602">
        <v>8620</v>
      </c>
      <c r="G602">
        <v>1.67E-2</v>
      </c>
      <c r="H602">
        <v>492.57</v>
      </c>
      <c r="I602" t="s">
        <v>26</v>
      </c>
      <c r="J602" s="11">
        <v>1</v>
      </c>
      <c r="K602">
        <v>49</v>
      </c>
      <c r="L602" t="s">
        <v>22</v>
      </c>
      <c r="M602" t="s">
        <v>19</v>
      </c>
      <c r="N602">
        <v>1</v>
      </c>
    </row>
    <row r="603" spans="1:14">
      <c r="A603" t="s">
        <v>635</v>
      </c>
      <c r="B603">
        <v>4566</v>
      </c>
      <c r="C603">
        <v>24.43</v>
      </c>
      <c r="D603" t="s">
        <v>15</v>
      </c>
      <c r="E603">
        <v>43050</v>
      </c>
      <c r="F603">
        <v>3433</v>
      </c>
      <c r="G603">
        <v>6.0499999999999998E-2</v>
      </c>
      <c r="H603">
        <v>144.22</v>
      </c>
      <c r="I603" t="s">
        <v>26</v>
      </c>
      <c r="J603" s="11">
        <v>1</v>
      </c>
      <c r="K603">
        <v>25</v>
      </c>
      <c r="L603" t="s">
        <v>18</v>
      </c>
      <c r="N603">
        <v>3</v>
      </c>
    </row>
    <row r="604" spans="1:14">
      <c r="A604" t="s">
        <v>636</v>
      </c>
      <c r="B604">
        <v>8246</v>
      </c>
      <c r="C604">
        <v>23.85</v>
      </c>
      <c r="D604" t="s">
        <v>28</v>
      </c>
      <c r="E604">
        <v>67902</v>
      </c>
      <c r="F604">
        <v>6280</v>
      </c>
      <c r="G604">
        <v>5.6399999999999999E-2</v>
      </c>
      <c r="H604">
        <v>163.95</v>
      </c>
      <c r="I604" t="s">
        <v>26</v>
      </c>
      <c r="K604">
        <v>59</v>
      </c>
      <c r="L604" t="s">
        <v>37</v>
      </c>
      <c r="M604" t="s">
        <v>38</v>
      </c>
      <c r="N604">
        <v>3</v>
      </c>
    </row>
    <row r="605" spans="1:14">
      <c r="A605" t="s">
        <v>637</v>
      </c>
      <c r="B605">
        <v>5916</v>
      </c>
      <c r="D605" t="s">
        <v>28</v>
      </c>
      <c r="E605">
        <v>43711</v>
      </c>
      <c r="F605">
        <v>8576</v>
      </c>
      <c r="G605">
        <v>5.04E-2</v>
      </c>
      <c r="H605">
        <v>285.42</v>
      </c>
      <c r="I605" t="s">
        <v>34</v>
      </c>
      <c r="J605" s="11">
        <v>0</v>
      </c>
      <c r="K605">
        <v>32</v>
      </c>
      <c r="L605" t="s">
        <v>31</v>
      </c>
      <c r="M605" t="s">
        <v>23</v>
      </c>
      <c r="N605">
        <v>4</v>
      </c>
    </row>
    <row r="606" spans="1:14">
      <c r="A606" t="s">
        <v>638</v>
      </c>
      <c r="B606">
        <v>7917</v>
      </c>
      <c r="C606">
        <v>173.72</v>
      </c>
      <c r="D606" t="s">
        <v>15</v>
      </c>
      <c r="E606">
        <v>17132</v>
      </c>
      <c r="F606">
        <v>3162</v>
      </c>
      <c r="G606">
        <v>5.2600000000000001E-2</v>
      </c>
      <c r="H606">
        <v>414.89</v>
      </c>
      <c r="I606" t="s">
        <v>29</v>
      </c>
      <c r="J606" s="11">
        <v>0</v>
      </c>
      <c r="K606">
        <v>49</v>
      </c>
      <c r="L606" t="s">
        <v>31</v>
      </c>
      <c r="M606" t="s">
        <v>45</v>
      </c>
      <c r="N606">
        <v>2</v>
      </c>
    </row>
    <row r="607" spans="1:14">
      <c r="A607" t="s">
        <v>639</v>
      </c>
      <c r="B607">
        <v>6148</v>
      </c>
      <c r="C607">
        <v>64.81</v>
      </c>
      <c r="D607" t="s">
        <v>32</v>
      </c>
      <c r="E607">
        <v>57682</v>
      </c>
      <c r="F607">
        <v>9183</v>
      </c>
      <c r="G607">
        <v>0.1053</v>
      </c>
      <c r="H607">
        <v>64.36</v>
      </c>
      <c r="I607" t="s">
        <v>34</v>
      </c>
      <c r="J607" s="11">
        <v>1</v>
      </c>
      <c r="K607">
        <v>38</v>
      </c>
      <c r="L607" t="s">
        <v>22</v>
      </c>
      <c r="M607" t="s">
        <v>38</v>
      </c>
      <c r="N607">
        <v>1</v>
      </c>
    </row>
    <row r="608" spans="1:14">
      <c r="A608" t="s">
        <v>640</v>
      </c>
      <c r="B608">
        <v>4609</v>
      </c>
      <c r="C608">
        <v>113.98</v>
      </c>
      <c r="D608" t="s">
        <v>15</v>
      </c>
      <c r="E608">
        <v>98547</v>
      </c>
      <c r="F608">
        <v>9233</v>
      </c>
      <c r="H608">
        <v>314.16000000000003</v>
      </c>
      <c r="I608" t="s">
        <v>21</v>
      </c>
      <c r="K608">
        <v>26</v>
      </c>
      <c r="L608" t="s">
        <v>37</v>
      </c>
      <c r="M608" t="s">
        <v>32</v>
      </c>
      <c r="N608">
        <v>5</v>
      </c>
    </row>
    <row r="609" spans="1:14">
      <c r="A609" t="s">
        <v>641</v>
      </c>
      <c r="B609">
        <v>6814</v>
      </c>
      <c r="C609">
        <v>68.290000000000006</v>
      </c>
      <c r="D609" t="s">
        <v>32</v>
      </c>
      <c r="E609">
        <v>76780</v>
      </c>
      <c r="F609">
        <v>4849</v>
      </c>
      <c r="G609">
        <v>0.17150000000000001</v>
      </c>
      <c r="I609" t="s">
        <v>17</v>
      </c>
      <c r="K609">
        <v>38</v>
      </c>
      <c r="L609" t="s">
        <v>22</v>
      </c>
      <c r="M609" t="s">
        <v>19</v>
      </c>
    </row>
    <row r="610" spans="1:14">
      <c r="A610" t="s">
        <v>642</v>
      </c>
      <c r="B610">
        <v>5157</v>
      </c>
      <c r="C610">
        <v>29.95</v>
      </c>
      <c r="D610" t="s">
        <v>28</v>
      </c>
      <c r="E610">
        <v>52374</v>
      </c>
      <c r="F610">
        <v>3584</v>
      </c>
      <c r="G610">
        <v>8.8400000000000006E-2</v>
      </c>
      <c r="H610">
        <v>387.55</v>
      </c>
      <c r="I610" t="s">
        <v>21</v>
      </c>
      <c r="K610">
        <v>19</v>
      </c>
      <c r="L610" t="s">
        <v>18</v>
      </c>
      <c r="N610">
        <v>1</v>
      </c>
    </row>
    <row r="611" spans="1:14">
      <c r="A611" t="s">
        <v>643</v>
      </c>
      <c r="B611">
        <v>7908</v>
      </c>
      <c r="C611">
        <v>184.84</v>
      </c>
      <c r="D611" t="s">
        <v>45</v>
      </c>
      <c r="E611">
        <v>68239</v>
      </c>
      <c r="F611">
        <v>5026</v>
      </c>
      <c r="G611">
        <v>0.1013</v>
      </c>
      <c r="H611">
        <v>65.97</v>
      </c>
      <c r="I611" t="s">
        <v>26</v>
      </c>
      <c r="J611" s="11">
        <v>0</v>
      </c>
      <c r="K611">
        <v>39</v>
      </c>
      <c r="L611" t="s">
        <v>18</v>
      </c>
      <c r="M611" t="s">
        <v>23</v>
      </c>
      <c r="N611">
        <v>4</v>
      </c>
    </row>
    <row r="612" spans="1:14">
      <c r="A612" t="s">
        <v>644</v>
      </c>
      <c r="B612">
        <v>3353</v>
      </c>
      <c r="C612">
        <v>40.520000000000003</v>
      </c>
      <c r="D612" t="s">
        <v>40</v>
      </c>
      <c r="E612">
        <v>31152</v>
      </c>
      <c r="F612">
        <v>7461</v>
      </c>
      <c r="G612">
        <v>0.187</v>
      </c>
      <c r="H612">
        <v>197.5</v>
      </c>
      <c r="I612" t="s">
        <v>21</v>
      </c>
      <c r="J612" s="11">
        <v>0</v>
      </c>
      <c r="K612">
        <v>65</v>
      </c>
      <c r="L612" t="s">
        <v>22</v>
      </c>
      <c r="N612">
        <v>3</v>
      </c>
    </row>
    <row r="613" spans="1:14">
      <c r="A613" t="s">
        <v>645</v>
      </c>
      <c r="B613">
        <v>4524</v>
      </c>
      <c r="C613">
        <v>165.67</v>
      </c>
      <c r="D613" t="s">
        <v>32</v>
      </c>
      <c r="E613">
        <v>62525</v>
      </c>
      <c r="F613">
        <v>9780</v>
      </c>
      <c r="G613">
        <v>0.17150000000000001</v>
      </c>
      <c r="H613">
        <v>35.5</v>
      </c>
      <c r="I613" t="s">
        <v>34</v>
      </c>
      <c r="K613">
        <v>26</v>
      </c>
      <c r="L613" t="s">
        <v>22</v>
      </c>
      <c r="M613" t="s">
        <v>32</v>
      </c>
      <c r="N613">
        <v>1</v>
      </c>
    </row>
    <row r="614" spans="1:14">
      <c r="A614" t="s">
        <v>646</v>
      </c>
      <c r="B614">
        <v>3740</v>
      </c>
      <c r="C614">
        <v>85.9</v>
      </c>
      <c r="D614" t="s">
        <v>28</v>
      </c>
      <c r="E614">
        <v>52361</v>
      </c>
      <c r="F614">
        <v>1633</v>
      </c>
      <c r="G614">
        <v>6.4100000000000004E-2</v>
      </c>
      <c r="H614">
        <v>261.98</v>
      </c>
      <c r="I614" t="s">
        <v>26</v>
      </c>
      <c r="K614">
        <v>40</v>
      </c>
      <c r="L614" t="s">
        <v>18</v>
      </c>
      <c r="M614" t="s">
        <v>32</v>
      </c>
      <c r="N614">
        <v>5</v>
      </c>
    </row>
    <row r="615" spans="1:14">
      <c r="A615" t="s">
        <v>647</v>
      </c>
      <c r="B615">
        <v>9965</v>
      </c>
      <c r="C615">
        <v>88.24</v>
      </c>
      <c r="D615" t="s">
        <v>32</v>
      </c>
      <c r="E615">
        <v>51600</v>
      </c>
      <c r="F615">
        <v>8610</v>
      </c>
      <c r="G615">
        <v>4.8800000000000003E-2</v>
      </c>
      <c r="H615">
        <v>108.79</v>
      </c>
      <c r="I615" t="s">
        <v>17</v>
      </c>
      <c r="K615">
        <v>58</v>
      </c>
      <c r="L615" t="s">
        <v>31</v>
      </c>
      <c r="M615" t="s">
        <v>19</v>
      </c>
    </row>
    <row r="616" spans="1:14">
      <c r="A616" t="s">
        <v>648</v>
      </c>
      <c r="B616">
        <v>9317</v>
      </c>
      <c r="C616">
        <v>168.22</v>
      </c>
      <c r="D616" t="s">
        <v>45</v>
      </c>
      <c r="E616">
        <v>30663</v>
      </c>
      <c r="F616">
        <v>6523</v>
      </c>
      <c r="H616">
        <v>76.67</v>
      </c>
      <c r="I616" t="s">
        <v>21</v>
      </c>
      <c r="K616">
        <v>42</v>
      </c>
      <c r="L616" t="s">
        <v>31</v>
      </c>
      <c r="M616" t="s">
        <v>45</v>
      </c>
      <c r="N616">
        <v>2</v>
      </c>
    </row>
    <row r="617" spans="1:14">
      <c r="A617" t="s">
        <v>649</v>
      </c>
      <c r="B617">
        <v>4952</v>
      </c>
      <c r="C617">
        <v>121.22</v>
      </c>
      <c r="D617" t="s">
        <v>45</v>
      </c>
      <c r="E617">
        <v>84107</v>
      </c>
      <c r="F617">
        <v>8981</v>
      </c>
      <c r="G617">
        <v>0.1673</v>
      </c>
      <c r="H617">
        <v>175.31</v>
      </c>
      <c r="I617" t="s">
        <v>34</v>
      </c>
      <c r="J617" s="11">
        <v>0</v>
      </c>
      <c r="K617">
        <v>58</v>
      </c>
      <c r="L617" t="s">
        <v>31</v>
      </c>
      <c r="M617" t="s">
        <v>32</v>
      </c>
      <c r="N617">
        <v>5</v>
      </c>
    </row>
    <row r="618" spans="1:14">
      <c r="A618" t="s">
        <v>650</v>
      </c>
      <c r="B618">
        <v>1801</v>
      </c>
      <c r="C618">
        <v>8.4600000000000009</v>
      </c>
      <c r="D618" t="s">
        <v>15</v>
      </c>
      <c r="E618">
        <v>67484</v>
      </c>
      <c r="F618">
        <v>1840</v>
      </c>
      <c r="G618">
        <v>0.17680000000000001</v>
      </c>
      <c r="H618">
        <v>116.41</v>
      </c>
      <c r="I618" t="s">
        <v>26</v>
      </c>
      <c r="J618" s="11">
        <v>1</v>
      </c>
      <c r="K618">
        <v>41</v>
      </c>
      <c r="L618" t="s">
        <v>22</v>
      </c>
      <c r="M618" t="s">
        <v>32</v>
      </c>
      <c r="N618">
        <v>1</v>
      </c>
    </row>
    <row r="619" spans="1:14">
      <c r="A619" t="s">
        <v>651</v>
      </c>
      <c r="B619">
        <v>6717</v>
      </c>
      <c r="C619">
        <v>146.05000000000001</v>
      </c>
      <c r="D619" t="s">
        <v>32</v>
      </c>
      <c r="E619">
        <v>72892</v>
      </c>
      <c r="F619">
        <v>8588</v>
      </c>
      <c r="G619">
        <v>4.7399999999999998E-2</v>
      </c>
      <c r="I619" t="s">
        <v>26</v>
      </c>
      <c r="J619" s="11">
        <v>1</v>
      </c>
      <c r="K619">
        <v>43</v>
      </c>
      <c r="L619" t="s">
        <v>18</v>
      </c>
      <c r="M619" t="s">
        <v>38</v>
      </c>
      <c r="N619">
        <v>2</v>
      </c>
    </row>
    <row r="620" spans="1:14">
      <c r="A620" t="s">
        <v>652</v>
      </c>
      <c r="B620">
        <v>5198</v>
      </c>
      <c r="C620">
        <v>113.26</v>
      </c>
      <c r="D620" t="s">
        <v>45</v>
      </c>
      <c r="E620">
        <v>82261</v>
      </c>
      <c r="F620">
        <v>3938</v>
      </c>
      <c r="G620">
        <v>1.9E-2</v>
      </c>
      <c r="I620" t="s">
        <v>17</v>
      </c>
      <c r="J620" s="11">
        <v>0</v>
      </c>
      <c r="K620">
        <v>19</v>
      </c>
      <c r="L620" t="s">
        <v>22</v>
      </c>
      <c r="N620">
        <v>4</v>
      </c>
    </row>
    <row r="621" spans="1:14">
      <c r="A621" t="s">
        <v>653</v>
      </c>
      <c r="B621">
        <v>8874</v>
      </c>
      <c r="C621">
        <v>126.39</v>
      </c>
      <c r="D621" t="s">
        <v>28</v>
      </c>
      <c r="E621">
        <v>24902</v>
      </c>
      <c r="F621">
        <v>8347</v>
      </c>
      <c r="G621">
        <v>0.1681</v>
      </c>
      <c r="H621">
        <v>24.38</v>
      </c>
      <c r="I621" t="s">
        <v>29</v>
      </c>
      <c r="K621">
        <v>27</v>
      </c>
      <c r="L621" t="s">
        <v>18</v>
      </c>
      <c r="M621" t="s">
        <v>23</v>
      </c>
      <c r="N621">
        <v>3</v>
      </c>
    </row>
    <row r="622" spans="1:14">
      <c r="A622" t="s">
        <v>654</v>
      </c>
      <c r="B622">
        <v>3712</v>
      </c>
      <c r="C622">
        <v>48.46</v>
      </c>
      <c r="D622" t="s">
        <v>25</v>
      </c>
      <c r="E622">
        <v>56839</v>
      </c>
      <c r="F622">
        <v>6007</v>
      </c>
      <c r="G622">
        <v>1.5800000000000002E-2</v>
      </c>
      <c r="H622">
        <v>92.53</v>
      </c>
      <c r="I622" t="s">
        <v>26</v>
      </c>
      <c r="K622">
        <v>45</v>
      </c>
      <c r="L622" t="s">
        <v>37</v>
      </c>
      <c r="M622" t="s">
        <v>32</v>
      </c>
      <c r="N622">
        <v>2</v>
      </c>
    </row>
    <row r="623" spans="1:14">
      <c r="A623" t="s">
        <v>655</v>
      </c>
      <c r="B623">
        <v>4035</v>
      </c>
      <c r="C623">
        <v>20.34</v>
      </c>
      <c r="D623" t="s">
        <v>15</v>
      </c>
      <c r="E623">
        <v>37409</v>
      </c>
      <c r="F623">
        <v>1352</v>
      </c>
      <c r="G623">
        <v>8.9800000000000005E-2</v>
      </c>
      <c r="H623">
        <v>463.94</v>
      </c>
      <c r="I623" t="s">
        <v>17</v>
      </c>
      <c r="J623" s="11">
        <v>0</v>
      </c>
      <c r="K623">
        <v>49</v>
      </c>
      <c r="L623" t="s">
        <v>22</v>
      </c>
      <c r="M623" t="s">
        <v>23</v>
      </c>
      <c r="N623">
        <v>1</v>
      </c>
    </row>
    <row r="624" spans="1:14">
      <c r="A624" t="s">
        <v>656</v>
      </c>
      <c r="B624">
        <v>5610</v>
      </c>
      <c r="D624" t="s">
        <v>15</v>
      </c>
      <c r="E624">
        <v>49299</v>
      </c>
      <c r="F624">
        <v>7787</v>
      </c>
      <c r="G624">
        <v>3.5000000000000003E-2</v>
      </c>
      <c r="H624">
        <v>405.98</v>
      </c>
      <c r="I624" t="s">
        <v>49</v>
      </c>
      <c r="J624" s="11">
        <v>1</v>
      </c>
      <c r="K624">
        <v>27</v>
      </c>
      <c r="L624" t="s">
        <v>22</v>
      </c>
      <c r="M624" t="s">
        <v>23</v>
      </c>
    </row>
    <row r="625" spans="1:14">
      <c r="A625" t="s">
        <v>657</v>
      </c>
      <c r="B625">
        <v>4198</v>
      </c>
      <c r="D625" t="s">
        <v>45</v>
      </c>
      <c r="E625">
        <v>43716</v>
      </c>
      <c r="F625">
        <v>8835</v>
      </c>
      <c r="G625">
        <v>8.2900000000000001E-2</v>
      </c>
      <c r="H625">
        <v>362.08</v>
      </c>
      <c r="I625" t="s">
        <v>17</v>
      </c>
      <c r="K625">
        <v>37</v>
      </c>
      <c r="L625" t="s">
        <v>37</v>
      </c>
      <c r="M625" t="s">
        <v>19</v>
      </c>
      <c r="N625">
        <v>5</v>
      </c>
    </row>
    <row r="626" spans="1:14">
      <c r="A626" t="s">
        <v>658</v>
      </c>
      <c r="B626">
        <v>3055</v>
      </c>
      <c r="C626">
        <v>102.18</v>
      </c>
      <c r="D626" t="s">
        <v>28</v>
      </c>
      <c r="E626">
        <v>63606</v>
      </c>
      <c r="F626">
        <v>225</v>
      </c>
      <c r="H626">
        <v>98.21</v>
      </c>
      <c r="I626" t="s">
        <v>34</v>
      </c>
      <c r="J626" s="11">
        <v>0</v>
      </c>
      <c r="K626">
        <v>63</v>
      </c>
      <c r="L626" t="s">
        <v>18</v>
      </c>
      <c r="M626" t="s">
        <v>38</v>
      </c>
      <c r="N626">
        <v>4</v>
      </c>
    </row>
    <row r="627" spans="1:14">
      <c r="A627" t="s">
        <v>659</v>
      </c>
      <c r="B627">
        <v>9508</v>
      </c>
      <c r="C627">
        <v>163.75</v>
      </c>
      <c r="D627" t="s">
        <v>28</v>
      </c>
      <c r="E627">
        <v>58752</v>
      </c>
      <c r="F627">
        <v>7407</v>
      </c>
      <c r="G627">
        <v>0.111</v>
      </c>
      <c r="H627">
        <v>76.709999999999994</v>
      </c>
      <c r="I627" t="s">
        <v>21</v>
      </c>
      <c r="K627">
        <v>23</v>
      </c>
      <c r="L627" t="s">
        <v>31</v>
      </c>
      <c r="M627" t="s">
        <v>23</v>
      </c>
      <c r="N627">
        <v>3</v>
      </c>
    </row>
    <row r="628" spans="1:14">
      <c r="A628" t="s">
        <v>660</v>
      </c>
      <c r="B628">
        <v>9794</v>
      </c>
      <c r="C628">
        <v>92.39</v>
      </c>
      <c r="D628" t="s">
        <v>28</v>
      </c>
      <c r="E628">
        <v>43222</v>
      </c>
      <c r="F628">
        <v>5143</v>
      </c>
      <c r="H628">
        <v>174.67</v>
      </c>
      <c r="I628" t="s">
        <v>21</v>
      </c>
      <c r="K628">
        <v>32</v>
      </c>
      <c r="L628" t="s">
        <v>18</v>
      </c>
      <c r="M628" t="s">
        <v>19</v>
      </c>
      <c r="N628">
        <v>1</v>
      </c>
    </row>
    <row r="629" spans="1:14">
      <c r="A629" t="s">
        <v>661</v>
      </c>
      <c r="B629">
        <v>1350</v>
      </c>
      <c r="C629">
        <v>197.89</v>
      </c>
      <c r="D629" t="s">
        <v>40</v>
      </c>
      <c r="E629">
        <v>88626</v>
      </c>
      <c r="F629">
        <v>9633</v>
      </c>
      <c r="G629">
        <v>0.1091</v>
      </c>
      <c r="H629">
        <v>35.4</v>
      </c>
      <c r="I629" t="s">
        <v>29</v>
      </c>
      <c r="J629" s="11">
        <v>1</v>
      </c>
      <c r="K629">
        <v>53</v>
      </c>
      <c r="L629" t="s">
        <v>18</v>
      </c>
      <c r="M629" t="s">
        <v>32</v>
      </c>
      <c r="N629">
        <v>3</v>
      </c>
    </row>
    <row r="630" spans="1:14">
      <c r="A630" t="s">
        <v>662</v>
      </c>
      <c r="B630">
        <v>8383</v>
      </c>
      <c r="C630">
        <v>59.27</v>
      </c>
      <c r="D630" t="s">
        <v>32</v>
      </c>
      <c r="E630">
        <v>50668</v>
      </c>
      <c r="F630">
        <v>1770</v>
      </c>
      <c r="G630">
        <v>0.19420000000000001</v>
      </c>
      <c r="H630">
        <v>137.16</v>
      </c>
      <c r="I630" t="s">
        <v>26</v>
      </c>
      <c r="K630">
        <v>33</v>
      </c>
      <c r="L630" t="s">
        <v>18</v>
      </c>
      <c r="M630" t="s">
        <v>45</v>
      </c>
      <c r="N630">
        <v>5</v>
      </c>
    </row>
    <row r="631" spans="1:14">
      <c r="A631" t="s">
        <v>663</v>
      </c>
      <c r="B631">
        <v>8645</v>
      </c>
      <c r="C631">
        <v>50.37</v>
      </c>
      <c r="D631" t="s">
        <v>15</v>
      </c>
      <c r="E631">
        <v>26075</v>
      </c>
      <c r="F631">
        <v>6815</v>
      </c>
      <c r="I631" t="s">
        <v>34</v>
      </c>
      <c r="J631" s="11">
        <v>0</v>
      </c>
      <c r="K631">
        <v>28</v>
      </c>
      <c r="L631" t="s">
        <v>37</v>
      </c>
      <c r="M631" t="s">
        <v>38</v>
      </c>
    </row>
    <row r="632" spans="1:14">
      <c r="A632" t="s">
        <v>664</v>
      </c>
      <c r="B632">
        <v>5986</v>
      </c>
      <c r="D632" t="s">
        <v>45</v>
      </c>
      <c r="E632">
        <v>36150</v>
      </c>
      <c r="F632">
        <v>1668</v>
      </c>
      <c r="G632">
        <v>4.0399999999999998E-2</v>
      </c>
      <c r="H632">
        <v>284.2</v>
      </c>
      <c r="I632" t="s">
        <v>29</v>
      </c>
      <c r="J632" s="11">
        <v>0</v>
      </c>
      <c r="K632">
        <v>30</v>
      </c>
      <c r="L632" t="s">
        <v>37</v>
      </c>
      <c r="M632" t="s">
        <v>23</v>
      </c>
      <c r="N632">
        <v>3</v>
      </c>
    </row>
    <row r="633" spans="1:14">
      <c r="A633" t="s">
        <v>665</v>
      </c>
      <c r="B633">
        <v>8659</v>
      </c>
      <c r="C633">
        <v>134.18</v>
      </c>
      <c r="D633" t="s">
        <v>28</v>
      </c>
      <c r="E633">
        <v>16116</v>
      </c>
      <c r="F633">
        <v>6554</v>
      </c>
      <c r="I633" t="s">
        <v>17</v>
      </c>
      <c r="J633" s="11">
        <v>0</v>
      </c>
      <c r="K633">
        <v>54</v>
      </c>
      <c r="L633" t="s">
        <v>37</v>
      </c>
      <c r="M633" t="s">
        <v>32</v>
      </c>
      <c r="N633">
        <v>5</v>
      </c>
    </row>
    <row r="634" spans="1:14">
      <c r="A634" t="s">
        <v>666</v>
      </c>
      <c r="B634">
        <v>3504</v>
      </c>
      <c r="C634">
        <v>171.15</v>
      </c>
      <c r="D634" t="s">
        <v>28</v>
      </c>
      <c r="E634">
        <v>61645</v>
      </c>
      <c r="F634">
        <v>5825</v>
      </c>
      <c r="G634">
        <v>0.1595</v>
      </c>
      <c r="H634">
        <v>152.68</v>
      </c>
      <c r="I634" t="s">
        <v>26</v>
      </c>
      <c r="J634" s="11">
        <v>1</v>
      </c>
      <c r="K634">
        <v>65</v>
      </c>
      <c r="L634" t="s">
        <v>37</v>
      </c>
      <c r="M634" t="s">
        <v>23</v>
      </c>
    </row>
    <row r="635" spans="1:14">
      <c r="A635" t="s">
        <v>667</v>
      </c>
      <c r="B635">
        <v>5406</v>
      </c>
      <c r="C635">
        <v>61.12</v>
      </c>
      <c r="D635" t="s">
        <v>40</v>
      </c>
      <c r="E635">
        <v>65119</v>
      </c>
      <c r="F635">
        <v>691</v>
      </c>
      <c r="G635">
        <v>0.1656</v>
      </c>
      <c r="H635">
        <v>475.34</v>
      </c>
      <c r="I635" t="s">
        <v>21</v>
      </c>
      <c r="J635" s="11">
        <v>1</v>
      </c>
      <c r="K635">
        <v>39</v>
      </c>
      <c r="L635" t="s">
        <v>22</v>
      </c>
      <c r="M635" t="s">
        <v>19</v>
      </c>
      <c r="N635">
        <v>3</v>
      </c>
    </row>
    <row r="636" spans="1:14">
      <c r="A636" t="s">
        <v>668</v>
      </c>
      <c r="B636">
        <v>3047</v>
      </c>
      <c r="D636" t="s">
        <v>15</v>
      </c>
      <c r="E636">
        <v>54541</v>
      </c>
      <c r="F636">
        <v>9564</v>
      </c>
      <c r="G636">
        <v>6.3700000000000007E-2</v>
      </c>
      <c r="H636">
        <v>186.7</v>
      </c>
      <c r="I636" t="s">
        <v>17</v>
      </c>
      <c r="J636" s="11">
        <v>1</v>
      </c>
      <c r="K636">
        <v>29</v>
      </c>
      <c r="L636" t="s">
        <v>31</v>
      </c>
      <c r="M636" t="s">
        <v>19</v>
      </c>
      <c r="N636">
        <v>5</v>
      </c>
    </row>
    <row r="637" spans="1:14">
      <c r="A637" t="s">
        <v>669</v>
      </c>
      <c r="B637">
        <v>2999</v>
      </c>
      <c r="C637">
        <v>185.41</v>
      </c>
      <c r="D637" t="s">
        <v>45</v>
      </c>
      <c r="E637">
        <v>57863</v>
      </c>
      <c r="F637">
        <v>8395</v>
      </c>
      <c r="G637">
        <v>1.9599999999999999E-2</v>
      </c>
      <c r="I637" t="s">
        <v>17</v>
      </c>
      <c r="J637" s="11">
        <v>0</v>
      </c>
      <c r="K637">
        <v>43</v>
      </c>
      <c r="L637" t="s">
        <v>22</v>
      </c>
      <c r="M637" t="s">
        <v>38</v>
      </c>
      <c r="N637">
        <v>5</v>
      </c>
    </row>
    <row r="638" spans="1:14">
      <c r="A638" t="s">
        <v>670</v>
      </c>
      <c r="B638">
        <v>8640</v>
      </c>
      <c r="C638">
        <v>103.42</v>
      </c>
      <c r="D638" t="s">
        <v>45</v>
      </c>
      <c r="E638">
        <v>96715</v>
      </c>
      <c r="F638">
        <v>4724</v>
      </c>
      <c r="G638">
        <v>0.1149</v>
      </c>
      <c r="H638">
        <v>169.86</v>
      </c>
      <c r="I638" t="s">
        <v>26</v>
      </c>
      <c r="J638" s="11">
        <v>1</v>
      </c>
      <c r="K638">
        <v>54</v>
      </c>
      <c r="L638" t="s">
        <v>18</v>
      </c>
      <c r="N638">
        <v>4</v>
      </c>
    </row>
    <row r="639" spans="1:14">
      <c r="A639" t="s">
        <v>671</v>
      </c>
      <c r="B639">
        <v>3900</v>
      </c>
      <c r="C639">
        <v>104.81</v>
      </c>
      <c r="D639" t="s">
        <v>32</v>
      </c>
      <c r="E639">
        <v>59035</v>
      </c>
      <c r="F639">
        <v>6602</v>
      </c>
      <c r="G639">
        <v>0.1</v>
      </c>
      <c r="H639">
        <v>443.07</v>
      </c>
      <c r="I639" t="s">
        <v>17</v>
      </c>
      <c r="K639">
        <v>54</v>
      </c>
      <c r="L639" t="s">
        <v>18</v>
      </c>
      <c r="M639" t="s">
        <v>19</v>
      </c>
      <c r="N639">
        <v>1</v>
      </c>
    </row>
    <row r="640" spans="1:14">
      <c r="A640" t="s">
        <v>672</v>
      </c>
      <c r="B640">
        <v>9894</v>
      </c>
      <c r="C640">
        <v>87.97</v>
      </c>
      <c r="D640" t="s">
        <v>32</v>
      </c>
      <c r="E640">
        <v>59007</v>
      </c>
      <c r="F640">
        <v>3462</v>
      </c>
      <c r="G640">
        <v>0.19769999999999999</v>
      </c>
      <c r="I640" t="s">
        <v>49</v>
      </c>
      <c r="J640" s="11">
        <v>0</v>
      </c>
      <c r="K640">
        <v>62</v>
      </c>
      <c r="L640" t="s">
        <v>37</v>
      </c>
      <c r="M640" t="s">
        <v>23</v>
      </c>
      <c r="N640">
        <v>2</v>
      </c>
    </row>
    <row r="641" spans="1:14">
      <c r="A641" t="s">
        <v>673</v>
      </c>
      <c r="B641">
        <v>8358</v>
      </c>
      <c r="C641">
        <v>132.28</v>
      </c>
      <c r="D641" t="s">
        <v>15</v>
      </c>
      <c r="E641">
        <v>78831</v>
      </c>
      <c r="F641">
        <v>576</v>
      </c>
      <c r="G641">
        <v>0.1361</v>
      </c>
      <c r="H641">
        <v>162.03</v>
      </c>
      <c r="I641" t="s">
        <v>21</v>
      </c>
      <c r="J641" s="11">
        <v>1</v>
      </c>
      <c r="K641">
        <v>26</v>
      </c>
      <c r="L641" t="s">
        <v>31</v>
      </c>
    </row>
    <row r="642" spans="1:14">
      <c r="A642" t="s">
        <v>674</v>
      </c>
      <c r="B642">
        <v>5316</v>
      </c>
      <c r="C642">
        <v>66.790000000000006</v>
      </c>
      <c r="D642" t="s">
        <v>28</v>
      </c>
      <c r="E642">
        <v>62108</v>
      </c>
      <c r="F642">
        <v>1297</v>
      </c>
      <c r="G642">
        <v>2.41E-2</v>
      </c>
      <c r="H642">
        <v>160.87</v>
      </c>
      <c r="I642" t="s">
        <v>26</v>
      </c>
      <c r="J642" s="11">
        <v>1</v>
      </c>
      <c r="K642">
        <v>25</v>
      </c>
      <c r="L642" t="s">
        <v>18</v>
      </c>
      <c r="N642">
        <v>1</v>
      </c>
    </row>
    <row r="643" spans="1:14">
      <c r="A643" t="s">
        <v>675</v>
      </c>
      <c r="B643">
        <v>3758</v>
      </c>
      <c r="C643">
        <v>160.22</v>
      </c>
      <c r="D643" t="s">
        <v>40</v>
      </c>
      <c r="E643">
        <v>58945</v>
      </c>
      <c r="F643">
        <v>9753</v>
      </c>
      <c r="H643">
        <v>251.56</v>
      </c>
      <c r="I643" t="s">
        <v>21</v>
      </c>
      <c r="K643">
        <v>60</v>
      </c>
      <c r="L643" t="s">
        <v>31</v>
      </c>
      <c r="M643" t="s">
        <v>23</v>
      </c>
      <c r="N643">
        <v>3</v>
      </c>
    </row>
    <row r="644" spans="1:14">
      <c r="A644" t="s">
        <v>676</v>
      </c>
      <c r="B644">
        <v>8715</v>
      </c>
      <c r="C644">
        <v>194.21</v>
      </c>
      <c r="D644" t="s">
        <v>40</v>
      </c>
      <c r="E644">
        <v>22365</v>
      </c>
      <c r="F644">
        <v>4187</v>
      </c>
      <c r="G644">
        <v>2.81E-2</v>
      </c>
      <c r="H644">
        <v>123.99</v>
      </c>
      <c r="I644" t="s">
        <v>26</v>
      </c>
      <c r="K644">
        <v>64</v>
      </c>
      <c r="L644" t="s">
        <v>37</v>
      </c>
      <c r="N644">
        <v>1</v>
      </c>
    </row>
    <row r="645" spans="1:14">
      <c r="A645" t="s">
        <v>677</v>
      </c>
      <c r="B645">
        <v>9635</v>
      </c>
      <c r="C645">
        <v>32.06</v>
      </c>
      <c r="D645" t="s">
        <v>40</v>
      </c>
      <c r="E645">
        <v>20951</v>
      </c>
      <c r="F645">
        <v>2371</v>
      </c>
      <c r="G645">
        <v>2.4199999999999999E-2</v>
      </c>
      <c r="I645" t="s">
        <v>21</v>
      </c>
      <c r="J645" s="11">
        <v>1</v>
      </c>
      <c r="K645">
        <v>59</v>
      </c>
      <c r="L645" t="s">
        <v>22</v>
      </c>
      <c r="M645" t="s">
        <v>23</v>
      </c>
      <c r="N645">
        <v>5</v>
      </c>
    </row>
    <row r="646" spans="1:14">
      <c r="A646" t="s">
        <v>678</v>
      </c>
      <c r="B646">
        <v>8854</v>
      </c>
      <c r="C646">
        <v>171.72</v>
      </c>
      <c r="D646" t="s">
        <v>25</v>
      </c>
      <c r="E646">
        <v>31292</v>
      </c>
      <c r="F646">
        <v>4172</v>
      </c>
      <c r="G646">
        <v>6.1499999999999999E-2</v>
      </c>
      <c r="H646">
        <v>348.14</v>
      </c>
      <c r="I646" t="s">
        <v>21</v>
      </c>
      <c r="K646">
        <v>29</v>
      </c>
      <c r="L646" t="s">
        <v>22</v>
      </c>
      <c r="M646" t="s">
        <v>19</v>
      </c>
      <c r="N646">
        <v>4</v>
      </c>
    </row>
    <row r="647" spans="1:14">
      <c r="A647" t="s">
        <v>679</v>
      </c>
      <c r="B647">
        <v>5774</v>
      </c>
      <c r="D647" t="s">
        <v>45</v>
      </c>
      <c r="E647">
        <v>69293</v>
      </c>
      <c r="F647">
        <v>7100</v>
      </c>
      <c r="H647">
        <v>280.20999999999998</v>
      </c>
      <c r="I647" t="s">
        <v>21</v>
      </c>
      <c r="J647" s="11">
        <v>1</v>
      </c>
      <c r="K647">
        <v>53</v>
      </c>
      <c r="L647" t="s">
        <v>22</v>
      </c>
      <c r="M647" t="s">
        <v>45</v>
      </c>
      <c r="N647">
        <v>2</v>
      </c>
    </row>
    <row r="648" spans="1:14">
      <c r="A648" t="s">
        <v>680</v>
      </c>
      <c r="B648">
        <v>6624</v>
      </c>
      <c r="C648">
        <v>77.62</v>
      </c>
      <c r="D648" t="s">
        <v>15</v>
      </c>
      <c r="E648">
        <v>92019</v>
      </c>
      <c r="F648">
        <v>197</v>
      </c>
      <c r="G648">
        <v>0.13569999999999999</v>
      </c>
      <c r="H648">
        <v>180.15</v>
      </c>
      <c r="I648" t="s">
        <v>49</v>
      </c>
      <c r="K648">
        <v>28</v>
      </c>
      <c r="L648" t="s">
        <v>18</v>
      </c>
      <c r="M648" t="s">
        <v>32</v>
      </c>
      <c r="N648">
        <v>1</v>
      </c>
    </row>
    <row r="649" spans="1:14">
      <c r="A649" t="s">
        <v>681</v>
      </c>
      <c r="B649">
        <v>5259</v>
      </c>
      <c r="C649">
        <v>175.47</v>
      </c>
      <c r="D649" t="s">
        <v>25</v>
      </c>
      <c r="E649">
        <v>45849</v>
      </c>
      <c r="F649">
        <v>1341</v>
      </c>
      <c r="G649">
        <v>7.3599999999999999E-2</v>
      </c>
      <c r="H649">
        <v>373.29</v>
      </c>
      <c r="I649" t="s">
        <v>21</v>
      </c>
      <c r="J649" s="11">
        <v>1</v>
      </c>
      <c r="K649">
        <v>41</v>
      </c>
      <c r="L649" t="s">
        <v>18</v>
      </c>
      <c r="N649">
        <v>2</v>
      </c>
    </row>
    <row r="650" spans="1:14">
      <c r="A650" t="s">
        <v>682</v>
      </c>
      <c r="B650">
        <v>1789</v>
      </c>
      <c r="C650">
        <v>16.2</v>
      </c>
      <c r="D650" t="s">
        <v>40</v>
      </c>
      <c r="E650">
        <v>53258</v>
      </c>
      <c r="F650">
        <v>1900</v>
      </c>
      <c r="G650">
        <v>0.108</v>
      </c>
      <c r="I650" t="s">
        <v>26</v>
      </c>
      <c r="J650" s="11">
        <v>1</v>
      </c>
      <c r="L650" t="s">
        <v>37</v>
      </c>
      <c r="M650" t="s">
        <v>38</v>
      </c>
      <c r="N650">
        <v>3</v>
      </c>
    </row>
    <row r="651" spans="1:14">
      <c r="A651" t="s">
        <v>683</v>
      </c>
      <c r="B651">
        <v>2951</v>
      </c>
      <c r="C651">
        <v>115.48</v>
      </c>
      <c r="D651" t="s">
        <v>28</v>
      </c>
      <c r="E651">
        <v>37244</v>
      </c>
      <c r="F651">
        <v>5385</v>
      </c>
      <c r="G651">
        <v>6.0299999999999999E-2</v>
      </c>
      <c r="I651" t="s">
        <v>26</v>
      </c>
      <c r="K651">
        <v>18</v>
      </c>
      <c r="L651" t="s">
        <v>22</v>
      </c>
      <c r="M651" t="s">
        <v>23</v>
      </c>
      <c r="N651">
        <v>3</v>
      </c>
    </row>
    <row r="652" spans="1:14">
      <c r="A652" t="s">
        <v>684</v>
      </c>
      <c r="B652">
        <v>3380</v>
      </c>
      <c r="C652">
        <v>143.74</v>
      </c>
      <c r="D652" t="s">
        <v>45</v>
      </c>
      <c r="E652">
        <v>93392</v>
      </c>
      <c r="F652">
        <v>7604</v>
      </c>
      <c r="G652">
        <v>0.14199999999999999</v>
      </c>
      <c r="I652" t="s">
        <v>17</v>
      </c>
      <c r="J652" s="11">
        <v>1</v>
      </c>
      <c r="K652">
        <v>53</v>
      </c>
      <c r="L652" t="s">
        <v>31</v>
      </c>
      <c r="M652" t="s">
        <v>23</v>
      </c>
      <c r="N652">
        <v>3</v>
      </c>
    </row>
    <row r="653" spans="1:14">
      <c r="A653" t="s">
        <v>685</v>
      </c>
      <c r="B653">
        <v>5760</v>
      </c>
      <c r="C653">
        <v>64.31</v>
      </c>
      <c r="D653" t="s">
        <v>40</v>
      </c>
      <c r="E653">
        <v>69651</v>
      </c>
      <c r="F653">
        <v>4384</v>
      </c>
      <c r="G653">
        <v>3.1E-2</v>
      </c>
      <c r="H653">
        <v>227.52</v>
      </c>
      <c r="I653" t="s">
        <v>17</v>
      </c>
      <c r="K653">
        <v>31</v>
      </c>
      <c r="L653" t="s">
        <v>22</v>
      </c>
      <c r="M653" t="s">
        <v>19</v>
      </c>
      <c r="N653">
        <v>2</v>
      </c>
    </row>
    <row r="654" spans="1:14">
      <c r="A654" t="s">
        <v>686</v>
      </c>
      <c r="B654">
        <v>7549</v>
      </c>
      <c r="C654">
        <v>184.49</v>
      </c>
      <c r="D654" t="s">
        <v>40</v>
      </c>
      <c r="E654">
        <v>79414</v>
      </c>
      <c r="F654">
        <v>5053</v>
      </c>
      <c r="G654">
        <v>8.8700000000000001E-2</v>
      </c>
      <c r="I654" t="s">
        <v>26</v>
      </c>
      <c r="K654">
        <v>18</v>
      </c>
      <c r="L654" t="s">
        <v>22</v>
      </c>
      <c r="M654" t="s">
        <v>19</v>
      </c>
      <c r="N654">
        <v>4</v>
      </c>
    </row>
    <row r="655" spans="1:14">
      <c r="A655" t="s">
        <v>687</v>
      </c>
      <c r="B655">
        <v>1770</v>
      </c>
      <c r="C655">
        <v>41.16</v>
      </c>
      <c r="D655" t="s">
        <v>28</v>
      </c>
      <c r="E655">
        <v>56157</v>
      </c>
      <c r="F655">
        <v>6712</v>
      </c>
      <c r="G655">
        <v>2.6800000000000001E-2</v>
      </c>
      <c r="H655">
        <v>488.8</v>
      </c>
      <c r="I655" t="s">
        <v>49</v>
      </c>
      <c r="K655">
        <v>44</v>
      </c>
      <c r="L655" t="s">
        <v>18</v>
      </c>
      <c r="M655" t="s">
        <v>32</v>
      </c>
      <c r="N655">
        <v>1</v>
      </c>
    </row>
    <row r="656" spans="1:14">
      <c r="A656" t="s">
        <v>688</v>
      </c>
      <c r="B656">
        <v>7225</v>
      </c>
      <c r="C656">
        <v>138.69</v>
      </c>
      <c r="D656" t="s">
        <v>28</v>
      </c>
      <c r="E656">
        <v>45123</v>
      </c>
      <c r="F656">
        <v>9346</v>
      </c>
      <c r="G656">
        <v>7.7799999999999994E-2</v>
      </c>
      <c r="H656">
        <v>340.58</v>
      </c>
      <c r="I656" t="s">
        <v>17</v>
      </c>
      <c r="J656" s="11">
        <v>1</v>
      </c>
      <c r="L656" t="s">
        <v>22</v>
      </c>
      <c r="M656" t="s">
        <v>38</v>
      </c>
      <c r="N656">
        <v>5</v>
      </c>
    </row>
    <row r="657" spans="1:14">
      <c r="A657" t="s">
        <v>689</v>
      </c>
      <c r="B657">
        <v>5413</v>
      </c>
      <c r="C657">
        <v>19.190000000000001</v>
      </c>
      <c r="D657" t="s">
        <v>45</v>
      </c>
      <c r="E657">
        <v>94259</v>
      </c>
      <c r="F657">
        <v>4538</v>
      </c>
      <c r="H657">
        <v>122.9</v>
      </c>
      <c r="I657" t="s">
        <v>17</v>
      </c>
      <c r="J657" s="11">
        <v>0</v>
      </c>
      <c r="K657">
        <v>20</v>
      </c>
      <c r="L657" t="s">
        <v>37</v>
      </c>
    </row>
    <row r="658" spans="1:14">
      <c r="A658" t="s">
        <v>690</v>
      </c>
      <c r="B658">
        <v>6522</v>
      </c>
      <c r="C658">
        <v>136.36000000000001</v>
      </c>
      <c r="D658" t="s">
        <v>15</v>
      </c>
      <c r="E658">
        <v>74397</v>
      </c>
      <c r="F658">
        <v>9916</v>
      </c>
      <c r="G658">
        <v>0.14829999999999999</v>
      </c>
      <c r="H658">
        <v>392.76</v>
      </c>
      <c r="I658" t="s">
        <v>29</v>
      </c>
      <c r="K658">
        <v>23</v>
      </c>
      <c r="L658" t="s">
        <v>37</v>
      </c>
      <c r="M658" t="s">
        <v>23</v>
      </c>
      <c r="N658">
        <v>3</v>
      </c>
    </row>
    <row r="659" spans="1:14">
      <c r="A659" t="s">
        <v>691</v>
      </c>
      <c r="B659">
        <v>2831</v>
      </c>
      <c r="C659">
        <v>68.709999999999994</v>
      </c>
      <c r="D659" t="s">
        <v>28</v>
      </c>
      <c r="E659">
        <v>80256</v>
      </c>
      <c r="F659">
        <v>380</v>
      </c>
      <c r="G659">
        <v>0.14779999999999999</v>
      </c>
      <c r="H659">
        <v>387.85</v>
      </c>
      <c r="I659" t="s">
        <v>17</v>
      </c>
      <c r="J659" s="11">
        <v>0</v>
      </c>
      <c r="L659" t="s">
        <v>37</v>
      </c>
      <c r="M659" t="s">
        <v>19</v>
      </c>
      <c r="N659">
        <v>1</v>
      </c>
    </row>
    <row r="660" spans="1:14">
      <c r="A660" t="s">
        <v>692</v>
      </c>
      <c r="B660">
        <v>5711</v>
      </c>
      <c r="C660">
        <v>54.82</v>
      </c>
      <c r="D660" t="s">
        <v>25</v>
      </c>
      <c r="E660">
        <v>20726</v>
      </c>
      <c r="F660">
        <v>1518</v>
      </c>
      <c r="H660">
        <v>24.03</v>
      </c>
      <c r="I660" t="s">
        <v>21</v>
      </c>
      <c r="K660">
        <v>20</v>
      </c>
      <c r="L660" t="s">
        <v>31</v>
      </c>
      <c r="M660" t="s">
        <v>32</v>
      </c>
    </row>
    <row r="661" spans="1:14">
      <c r="A661" t="s">
        <v>693</v>
      </c>
      <c r="B661">
        <v>6886</v>
      </c>
      <c r="C661">
        <v>110.08</v>
      </c>
      <c r="D661" t="s">
        <v>32</v>
      </c>
      <c r="E661">
        <v>85399</v>
      </c>
      <c r="F661">
        <v>9253</v>
      </c>
      <c r="G661">
        <v>0.1255</v>
      </c>
      <c r="H661">
        <v>77.13</v>
      </c>
      <c r="I661" t="s">
        <v>17</v>
      </c>
      <c r="K661">
        <v>32</v>
      </c>
      <c r="L661" t="s">
        <v>22</v>
      </c>
      <c r="M661" t="s">
        <v>32</v>
      </c>
      <c r="N661">
        <v>4</v>
      </c>
    </row>
    <row r="662" spans="1:14">
      <c r="A662" t="s">
        <v>694</v>
      </c>
      <c r="B662">
        <v>2624</v>
      </c>
      <c r="C662">
        <v>63.87</v>
      </c>
      <c r="D662" t="s">
        <v>15</v>
      </c>
      <c r="E662">
        <v>64513</v>
      </c>
      <c r="F662">
        <v>313</v>
      </c>
      <c r="G662">
        <v>0.1754</v>
      </c>
      <c r="H662">
        <v>317.94</v>
      </c>
      <c r="I662" t="s">
        <v>26</v>
      </c>
      <c r="K662">
        <v>22</v>
      </c>
      <c r="L662" t="s">
        <v>31</v>
      </c>
      <c r="M662" t="s">
        <v>38</v>
      </c>
      <c r="N662">
        <v>4</v>
      </c>
    </row>
    <row r="663" spans="1:14">
      <c r="A663" t="s">
        <v>695</v>
      </c>
      <c r="B663">
        <v>7774</v>
      </c>
      <c r="D663" t="s">
        <v>15</v>
      </c>
      <c r="E663">
        <v>30812</v>
      </c>
      <c r="F663">
        <v>6140</v>
      </c>
      <c r="G663">
        <v>2.5100000000000001E-2</v>
      </c>
      <c r="H663">
        <v>312.47000000000003</v>
      </c>
      <c r="I663" t="s">
        <v>29</v>
      </c>
      <c r="K663">
        <v>37</v>
      </c>
      <c r="L663" t="s">
        <v>22</v>
      </c>
      <c r="M663" t="s">
        <v>23</v>
      </c>
    </row>
    <row r="664" spans="1:14">
      <c r="A664" t="s">
        <v>696</v>
      </c>
      <c r="B664">
        <v>3678</v>
      </c>
      <c r="C664">
        <v>144.19</v>
      </c>
      <c r="D664" t="s">
        <v>40</v>
      </c>
      <c r="E664">
        <v>96744</v>
      </c>
      <c r="F664">
        <v>6500</v>
      </c>
      <c r="G664">
        <v>9.2399999999999996E-2</v>
      </c>
      <c r="H664">
        <v>56.07</v>
      </c>
      <c r="I664" t="s">
        <v>21</v>
      </c>
      <c r="L664" t="s">
        <v>18</v>
      </c>
      <c r="M664" t="s">
        <v>23</v>
      </c>
      <c r="N664">
        <v>1</v>
      </c>
    </row>
    <row r="665" spans="1:14">
      <c r="A665" t="s">
        <v>697</v>
      </c>
      <c r="B665">
        <v>5754</v>
      </c>
      <c r="C665">
        <v>105.65</v>
      </c>
      <c r="D665" t="s">
        <v>32</v>
      </c>
      <c r="E665">
        <v>19394</v>
      </c>
      <c r="F665">
        <v>688</v>
      </c>
      <c r="G665">
        <v>0.1086</v>
      </c>
      <c r="H665">
        <v>379.43</v>
      </c>
      <c r="I665" t="s">
        <v>26</v>
      </c>
      <c r="K665">
        <v>63</v>
      </c>
      <c r="L665" t="s">
        <v>37</v>
      </c>
      <c r="N665">
        <v>5</v>
      </c>
    </row>
    <row r="666" spans="1:14">
      <c r="A666" t="s">
        <v>698</v>
      </c>
      <c r="B666">
        <v>9891</v>
      </c>
      <c r="C666">
        <v>158.24</v>
      </c>
      <c r="D666" t="s">
        <v>28</v>
      </c>
      <c r="E666">
        <v>72644</v>
      </c>
      <c r="F666">
        <v>3505</v>
      </c>
      <c r="G666">
        <v>5.0200000000000002E-2</v>
      </c>
      <c r="I666" t="s">
        <v>29</v>
      </c>
      <c r="K666">
        <v>58</v>
      </c>
      <c r="L666" t="s">
        <v>18</v>
      </c>
      <c r="M666" t="s">
        <v>19</v>
      </c>
      <c r="N666">
        <v>5</v>
      </c>
    </row>
    <row r="667" spans="1:14">
      <c r="A667" t="s">
        <v>699</v>
      </c>
      <c r="B667">
        <v>9736</v>
      </c>
      <c r="C667">
        <v>149.99</v>
      </c>
      <c r="D667" t="s">
        <v>15</v>
      </c>
      <c r="E667">
        <v>66036</v>
      </c>
      <c r="F667">
        <v>8499</v>
      </c>
      <c r="G667">
        <v>0.15909999999999999</v>
      </c>
      <c r="H667">
        <v>235.24</v>
      </c>
      <c r="I667" t="s">
        <v>34</v>
      </c>
      <c r="J667" s="11">
        <v>1</v>
      </c>
      <c r="K667">
        <v>33</v>
      </c>
      <c r="L667" t="s">
        <v>22</v>
      </c>
      <c r="M667" t="s">
        <v>23</v>
      </c>
      <c r="N667">
        <v>4</v>
      </c>
    </row>
    <row r="668" spans="1:14">
      <c r="A668" t="s">
        <v>700</v>
      </c>
      <c r="B668">
        <v>6247</v>
      </c>
      <c r="C668">
        <v>137.72999999999999</v>
      </c>
      <c r="D668" t="s">
        <v>40</v>
      </c>
      <c r="E668">
        <v>44277</v>
      </c>
      <c r="F668">
        <v>663</v>
      </c>
      <c r="G668">
        <v>0.14349999999999999</v>
      </c>
      <c r="H668">
        <v>434.2</v>
      </c>
      <c r="I668" t="s">
        <v>21</v>
      </c>
      <c r="L668" t="s">
        <v>18</v>
      </c>
      <c r="M668" t="s">
        <v>38</v>
      </c>
    </row>
    <row r="669" spans="1:14">
      <c r="A669" t="s">
        <v>701</v>
      </c>
      <c r="B669">
        <v>3771</v>
      </c>
      <c r="C669">
        <v>136.4</v>
      </c>
      <c r="D669" t="s">
        <v>28</v>
      </c>
      <c r="E669">
        <v>91219</v>
      </c>
      <c r="F669">
        <v>5700</v>
      </c>
      <c r="G669">
        <v>0.1208</v>
      </c>
      <c r="H669">
        <v>125.42</v>
      </c>
      <c r="I669" t="s">
        <v>34</v>
      </c>
      <c r="L669" t="s">
        <v>22</v>
      </c>
      <c r="N669">
        <v>4</v>
      </c>
    </row>
    <row r="670" spans="1:14">
      <c r="A670" t="s">
        <v>702</v>
      </c>
      <c r="B670">
        <v>4900</v>
      </c>
      <c r="C670">
        <v>114.2</v>
      </c>
      <c r="D670" t="s">
        <v>32</v>
      </c>
      <c r="E670">
        <v>61463</v>
      </c>
      <c r="F670">
        <v>4512</v>
      </c>
      <c r="G670">
        <v>0.19439999999999999</v>
      </c>
      <c r="H670">
        <v>374.69</v>
      </c>
      <c r="I670" t="s">
        <v>26</v>
      </c>
      <c r="K670">
        <v>26</v>
      </c>
      <c r="L670" t="s">
        <v>37</v>
      </c>
      <c r="N670">
        <v>2</v>
      </c>
    </row>
    <row r="671" spans="1:14">
      <c r="A671" t="s">
        <v>703</v>
      </c>
      <c r="B671">
        <v>3189</v>
      </c>
      <c r="C671">
        <v>76.55</v>
      </c>
      <c r="D671" t="s">
        <v>25</v>
      </c>
      <c r="E671">
        <v>12769</v>
      </c>
      <c r="F671">
        <v>4994</v>
      </c>
      <c r="G671">
        <v>6.1699999999999998E-2</v>
      </c>
      <c r="H671">
        <v>32.36</v>
      </c>
      <c r="I671" t="s">
        <v>21</v>
      </c>
      <c r="J671" s="11">
        <v>0</v>
      </c>
      <c r="K671">
        <v>30</v>
      </c>
      <c r="L671" t="s">
        <v>31</v>
      </c>
      <c r="N671">
        <v>2</v>
      </c>
    </row>
    <row r="672" spans="1:14">
      <c r="A672" t="s">
        <v>704</v>
      </c>
      <c r="B672">
        <v>6627</v>
      </c>
      <c r="C672">
        <v>181.99</v>
      </c>
      <c r="D672" t="s">
        <v>40</v>
      </c>
      <c r="E672">
        <v>59086</v>
      </c>
      <c r="F672">
        <v>1772</v>
      </c>
      <c r="G672">
        <v>0.1265</v>
      </c>
      <c r="H672">
        <v>484.18</v>
      </c>
      <c r="I672" t="s">
        <v>34</v>
      </c>
      <c r="J672" s="11">
        <v>0</v>
      </c>
      <c r="K672">
        <v>45</v>
      </c>
      <c r="L672" t="s">
        <v>31</v>
      </c>
      <c r="N672">
        <v>2</v>
      </c>
    </row>
    <row r="673" spans="1:14">
      <c r="A673" t="s">
        <v>705</v>
      </c>
      <c r="B673">
        <v>9801</v>
      </c>
      <c r="C673">
        <v>193.2</v>
      </c>
      <c r="D673" t="s">
        <v>25</v>
      </c>
      <c r="E673">
        <v>42173</v>
      </c>
      <c r="F673">
        <v>4462</v>
      </c>
      <c r="G673">
        <v>0.128</v>
      </c>
      <c r="H673">
        <v>72.38</v>
      </c>
      <c r="I673" t="s">
        <v>21</v>
      </c>
      <c r="J673" s="11">
        <v>1</v>
      </c>
      <c r="K673">
        <v>40</v>
      </c>
      <c r="L673" t="s">
        <v>22</v>
      </c>
      <c r="M673" t="s">
        <v>38</v>
      </c>
      <c r="N673">
        <v>4</v>
      </c>
    </row>
    <row r="674" spans="1:14">
      <c r="A674" t="s">
        <v>706</v>
      </c>
      <c r="B674">
        <v>2841</v>
      </c>
      <c r="C674">
        <v>117</v>
      </c>
      <c r="D674" t="s">
        <v>28</v>
      </c>
      <c r="E674">
        <v>40336</v>
      </c>
      <c r="F674">
        <v>5664</v>
      </c>
      <c r="G674">
        <v>0.1149</v>
      </c>
      <c r="I674" t="s">
        <v>29</v>
      </c>
      <c r="J674" s="11">
        <v>0</v>
      </c>
      <c r="K674">
        <v>35</v>
      </c>
      <c r="L674" t="s">
        <v>31</v>
      </c>
      <c r="M674" t="s">
        <v>38</v>
      </c>
      <c r="N674">
        <v>3</v>
      </c>
    </row>
    <row r="675" spans="1:14">
      <c r="A675" t="s">
        <v>707</v>
      </c>
      <c r="B675">
        <v>5659</v>
      </c>
      <c r="C675">
        <v>52.83</v>
      </c>
      <c r="D675" t="s">
        <v>32</v>
      </c>
      <c r="E675">
        <v>75662</v>
      </c>
      <c r="F675">
        <v>410</v>
      </c>
      <c r="H675">
        <v>242.67</v>
      </c>
      <c r="I675" t="s">
        <v>26</v>
      </c>
      <c r="K675">
        <v>55</v>
      </c>
      <c r="L675" t="s">
        <v>31</v>
      </c>
      <c r="M675" t="s">
        <v>32</v>
      </c>
      <c r="N675">
        <v>4</v>
      </c>
    </row>
    <row r="676" spans="1:14">
      <c r="A676" t="s">
        <v>708</v>
      </c>
      <c r="B676">
        <v>9652</v>
      </c>
      <c r="C676">
        <v>131.93</v>
      </c>
      <c r="D676" t="s">
        <v>28</v>
      </c>
      <c r="E676">
        <v>99113</v>
      </c>
      <c r="F676">
        <v>8676</v>
      </c>
      <c r="G676">
        <v>0.14649999999999999</v>
      </c>
      <c r="H676">
        <v>55.87</v>
      </c>
      <c r="I676" t="s">
        <v>29</v>
      </c>
      <c r="J676" s="11">
        <v>1</v>
      </c>
      <c r="K676">
        <v>29</v>
      </c>
      <c r="L676" t="s">
        <v>31</v>
      </c>
      <c r="M676" t="s">
        <v>23</v>
      </c>
      <c r="N676">
        <v>3</v>
      </c>
    </row>
    <row r="677" spans="1:14">
      <c r="A677" t="s">
        <v>709</v>
      </c>
      <c r="B677">
        <v>8198</v>
      </c>
      <c r="C677">
        <v>66.72</v>
      </c>
      <c r="D677" t="s">
        <v>25</v>
      </c>
      <c r="E677">
        <v>75916</v>
      </c>
      <c r="F677">
        <v>5598</v>
      </c>
      <c r="G677">
        <v>2.1700000000000001E-2</v>
      </c>
      <c r="I677" t="s">
        <v>34</v>
      </c>
      <c r="J677" s="11">
        <v>0</v>
      </c>
      <c r="K677">
        <v>39</v>
      </c>
      <c r="L677" t="s">
        <v>37</v>
      </c>
      <c r="M677" t="s">
        <v>19</v>
      </c>
      <c r="N677">
        <v>5</v>
      </c>
    </row>
    <row r="678" spans="1:14">
      <c r="A678" t="s">
        <v>710</v>
      </c>
      <c r="B678">
        <v>1918</v>
      </c>
      <c r="C678">
        <v>118.56</v>
      </c>
      <c r="D678" t="s">
        <v>32</v>
      </c>
      <c r="E678">
        <v>44199</v>
      </c>
      <c r="F678">
        <v>2960</v>
      </c>
      <c r="G678">
        <v>3.3500000000000002E-2</v>
      </c>
      <c r="H678">
        <v>373.61</v>
      </c>
      <c r="I678" t="s">
        <v>17</v>
      </c>
      <c r="K678">
        <v>57</v>
      </c>
      <c r="L678" t="s">
        <v>22</v>
      </c>
      <c r="M678" t="s">
        <v>19</v>
      </c>
      <c r="N678">
        <v>4</v>
      </c>
    </row>
    <row r="679" spans="1:14">
      <c r="A679" t="s">
        <v>711</v>
      </c>
      <c r="B679">
        <v>5207</v>
      </c>
      <c r="C679">
        <v>49.85</v>
      </c>
      <c r="D679" t="s">
        <v>45</v>
      </c>
      <c r="E679">
        <v>11335</v>
      </c>
      <c r="F679">
        <v>7250</v>
      </c>
      <c r="G679">
        <v>1.7999999999999999E-2</v>
      </c>
      <c r="H679">
        <v>68.349999999999994</v>
      </c>
      <c r="I679" t="s">
        <v>26</v>
      </c>
      <c r="K679">
        <v>18</v>
      </c>
      <c r="L679" t="s">
        <v>18</v>
      </c>
      <c r="M679" t="s">
        <v>23</v>
      </c>
      <c r="N679">
        <v>5</v>
      </c>
    </row>
    <row r="680" spans="1:14">
      <c r="A680" t="s">
        <v>712</v>
      </c>
      <c r="B680">
        <v>9575</v>
      </c>
      <c r="C680">
        <v>45.61</v>
      </c>
      <c r="D680" t="s">
        <v>15</v>
      </c>
      <c r="E680">
        <v>74199</v>
      </c>
      <c r="F680">
        <v>5152</v>
      </c>
      <c r="H680">
        <v>369.07</v>
      </c>
      <c r="I680" t="s">
        <v>26</v>
      </c>
      <c r="J680" s="11">
        <v>1</v>
      </c>
      <c r="K680">
        <v>48</v>
      </c>
      <c r="L680" t="s">
        <v>31</v>
      </c>
      <c r="M680" t="s">
        <v>23</v>
      </c>
      <c r="N680">
        <v>1</v>
      </c>
    </row>
    <row r="681" spans="1:14">
      <c r="A681" t="s">
        <v>713</v>
      </c>
      <c r="B681">
        <v>7256</v>
      </c>
      <c r="D681" t="s">
        <v>15</v>
      </c>
      <c r="E681">
        <v>93646</v>
      </c>
      <c r="F681">
        <v>9484</v>
      </c>
      <c r="G681">
        <v>0.18890000000000001</v>
      </c>
      <c r="H681">
        <v>142.65</v>
      </c>
      <c r="I681" t="s">
        <v>26</v>
      </c>
      <c r="J681" s="11">
        <v>1</v>
      </c>
      <c r="K681">
        <v>51</v>
      </c>
      <c r="L681" t="s">
        <v>37</v>
      </c>
      <c r="M681" t="s">
        <v>38</v>
      </c>
      <c r="N681">
        <v>5</v>
      </c>
    </row>
    <row r="682" spans="1:14">
      <c r="A682" t="s">
        <v>714</v>
      </c>
      <c r="B682">
        <v>6035</v>
      </c>
      <c r="C682">
        <v>7.9</v>
      </c>
      <c r="D682" t="s">
        <v>15</v>
      </c>
      <c r="E682">
        <v>94272</v>
      </c>
      <c r="F682">
        <v>5459</v>
      </c>
      <c r="G682">
        <v>0.14610000000000001</v>
      </c>
      <c r="H682">
        <v>426.37</v>
      </c>
      <c r="I682" t="s">
        <v>17</v>
      </c>
      <c r="K682">
        <v>44</v>
      </c>
      <c r="L682" t="s">
        <v>37</v>
      </c>
      <c r="M682" t="s">
        <v>45</v>
      </c>
      <c r="N682">
        <v>3</v>
      </c>
    </row>
    <row r="683" spans="1:14">
      <c r="A683" t="s">
        <v>715</v>
      </c>
      <c r="B683">
        <v>1844</v>
      </c>
      <c r="C683">
        <v>50.18</v>
      </c>
      <c r="D683" t="s">
        <v>28</v>
      </c>
      <c r="E683">
        <v>25152</v>
      </c>
      <c r="F683">
        <v>690</v>
      </c>
      <c r="H683">
        <v>169.96</v>
      </c>
      <c r="I683" t="s">
        <v>21</v>
      </c>
      <c r="J683" s="11">
        <v>1</v>
      </c>
      <c r="L683" t="s">
        <v>31</v>
      </c>
      <c r="M683" t="s">
        <v>38</v>
      </c>
      <c r="N683">
        <v>5</v>
      </c>
    </row>
    <row r="684" spans="1:14">
      <c r="A684" t="s">
        <v>716</v>
      </c>
      <c r="B684">
        <v>7603</v>
      </c>
      <c r="C684">
        <v>67.2</v>
      </c>
      <c r="D684" t="s">
        <v>15</v>
      </c>
      <c r="E684">
        <v>40507</v>
      </c>
      <c r="F684">
        <v>333</v>
      </c>
      <c r="G684">
        <v>0.10390000000000001</v>
      </c>
      <c r="H684">
        <v>180.2</v>
      </c>
      <c r="I684" t="s">
        <v>21</v>
      </c>
      <c r="J684" s="11">
        <v>0</v>
      </c>
      <c r="K684">
        <v>38</v>
      </c>
      <c r="L684" t="s">
        <v>18</v>
      </c>
      <c r="M684" t="s">
        <v>32</v>
      </c>
      <c r="N684">
        <v>3</v>
      </c>
    </row>
    <row r="685" spans="1:14">
      <c r="A685" t="s">
        <v>717</v>
      </c>
      <c r="B685">
        <v>5532</v>
      </c>
      <c r="C685">
        <v>153.44999999999999</v>
      </c>
      <c r="D685" t="s">
        <v>28</v>
      </c>
      <c r="E685">
        <v>18899</v>
      </c>
      <c r="F685">
        <v>4612</v>
      </c>
      <c r="G685">
        <v>0.1774</v>
      </c>
      <c r="H685">
        <v>456.72</v>
      </c>
      <c r="I685" t="s">
        <v>21</v>
      </c>
      <c r="J685" s="11">
        <v>1</v>
      </c>
      <c r="K685">
        <v>61</v>
      </c>
      <c r="L685" t="s">
        <v>31</v>
      </c>
      <c r="M685" t="s">
        <v>23</v>
      </c>
      <c r="N685">
        <v>3</v>
      </c>
    </row>
    <row r="686" spans="1:14">
      <c r="A686" t="s">
        <v>718</v>
      </c>
      <c r="B686">
        <v>9916</v>
      </c>
      <c r="C686">
        <v>41.64</v>
      </c>
      <c r="D686" t="s">
        <v>28</v>
      </c>
      <c r="E686">
        <v>23368</v>
      </c>
      <c r="F686">
        <v>5953</v>
      </c>
      <c r="G686">
        <v>0.112</v>
      </c>
      <c r="H686">
        <v>193.79</v>
      </c>
      <c r="I686" t="s">
        <v>21</v>
      </c>
      <c r="K686">
        <v>62</v>
      </c>
      <c r="L686" t="s">
        <v>37</v>
      </c>
      <c r="M686" t="s">
        <v>19</v>
      </c>
    </row>
    <row r="687" spans="1:14">
      <c r="A687" t="s">
        <v>719</v>
      </c>
      <c r="B687">
        <v>6642</v>
      </c>
      <c r="C687">
        <v>182.2</v>
      </c>
      <c r="D687" t="s">
        <v>15</v>
      </c>
      <c r="E687">
        <v>64846</v>
      </c>
      <c r="F687">
        <v>6477</v>
      </c>
      <c r="G687">
        <v>8.0600000000000005E-2</v>
      </c>
      <c r="H687">
        <v>385.67</v>
      </c>
      <c r="I687" t="s">
        <v>34</v>
      </c>
      <c r="K687">
        <v>49</v>
      </c>
      <c r="L687" t="s">
        <v>22</v>
      </c>
      <c r="M687" t="s">
        <v>19</v>
      </c>
    </row>
    <row r="688" spans="1:14">
      <c r="A688" t="s">
        <v>720</v>
      </c>
      <c r="B688">
        <v>3611</v>
      </c>
      <c r="C688">
        <v>40.94</v>
      </c>
      <c r="D688" t="s">
        <v>28</v>
      </c>
      <c r="E688">
        <v>32204</v>
      </c>
      <c r="F688">
        <v>2618</v>
      </c>
      <c r="H688">
        <v>360.65</v>
      </c>
      <c r="I688" t="s">
        <v>26</v>
      </c>
      <c r="L688" t="s">
        <v>31</v>
      </c>
      <c r="M688" t="s">
        <v>32</v>
      </c>
    </row>
    <row r="689" spans="1:14">
      <c r="A689" t="s">
        <v>721</v>
      </c>
      <c r="B689">
        <v>6412</v>
      </c>
      <c r="C689">
        <v>40.950000000000003</v>
      </c>
      <c r="D689" t="s">
        <v>32</v>
      </c>
      <c r="E689">
        <v>46675</v>
      </c>
      <c r="F689">
        <v>127</v>
      </c>
      <c r="G689">
        <v>0.1948</v>
      </c>
      <c r="I689" t="s">
        <v>17</v>
      </c>
      <c r="K689">
        <v>36</v>
      </c>
      <c r="L689" t="s">
        <v>37</v>
      </c>
      <c r="M689" t="s">
        <v>32</v>
      </c>
      <c r="N689">
        <v>1</v>
      </c>
    </row>
    <row r="690" spans="1:14">
      <c r="A690" t="s">
        <v>722</v>
      </c>
      <c r="B690">
        <v>8693</v>
      </c>
      <c r="C690">
        <v>173.83</v>
      </c>
      <c r="D690" t="s">
        <v>25</v>
      </c>
      <c r="E690">
        <v>70226</v>
      </c>
      <c r="F690">
        <v>2719</v>
      </c>
      <c r="G690">
        <v>0.1734</v>
      </c>
      <c r="H690">
        <v>155.96</v>
      </c>
      <c r="I690" t="s">
        <v>29</v>
      </c>
      <c r="K690">
        <v>58</v>
      </c>
      <c r="L690" t="s">
        <v>31</v>
      </c>
      <c r="M690" t="s">
        <v>32</v>
      </c>
    </row>
    <row r="691" spans="1:14">
      <c r="A691" t="s">
        <v>723</v>
      </c>
      <c r="B691">
        <v>2385</v>
      </c>
      <c r="D691" t="s">
        <v>28</v>
      </c>
      <c r="E691">
        <v>16949</v>
      </c>
      <c r="F691">
        <v>4990</v>
      </c>
      <c r="G691">
        <v>4.1000000000000002E-2</v>
      </c>
      <c r="H691">
        <v>454.79</v>
      </c>
      <c r="I691" t="s">
        <v>29</v>
      </c>
      <c r="J691" s="11">
        <v>1</v>
      </c>
      <c r="K691">
        <v>56</v>
      </c>
      <c r="L691" t="s">
        <v>31</v>
      </c>
      <c r="M691" t="s">
        <v>32</v>
      </c>
      <c r="N691">
        <v>4</v>
      </c>
    </row>
    <row r="692" spans="1:14">
      <c r="A692" t="s">
        <v>724</v>
      </c>
      <c r="B692">
        <v>4542</v>
      </c>
      <c r="C692">
        <v>122.52</v>
      </c>
      <c r="D692" t="s">
        <v>25</v>
      </c>
      <c r="E692">
        <v>17339</v>
      </c>
      <c r="F692">
        <v>8681</v>
      </c>
      <c r="G692">
        <v>6.6199999999999995E-2</v>
      </c>
      <c r="H692">
        <v>14.07</v>
      </c>
      <c r="I692" t="s">
        <v>49</v>
      </c>
      <c r="K692">
        <v>19</v>
      </c>
      <c r="L692" t="s">
        <v>18</v>
      </c>
      <c r="M692" t="s">
        <v>38</v>
      </c>
      <c r="N692">
        <v>5</v>
      </c>
    </row>
    <row r="693" spans="1:14">
      <c r="A693" t="s">
        <v>725</v>
      </c>
      <c r="B693">
        <v>7251</v>
      </c>
      <c r="C693">
        <v>113.99</v>
      </c>
      <c r="D693" t="s">
        <v>15</v>
      </c>
      <c r="E693">
        <v>20401</v>
      </c>
      <c r="F693">
        <v>7293</v>
      </c>
      <c r="G693">
        <v>4.9399999999999999E-2</v>
      </c>
      <c r="H693">
        <v>472.31</v>
      </c>
      <c r="I693" t="s">
        <v>29</v>
      </c>
      <c r="J693" s="11">
        <v>0</v>
      </c>
      <c r="K693">
        <v>43</v>
      </c>
      <c r="L693" t="s">
        <v>37</v>
      </c>
      <c r="M693" t="s">
        <v>19</v>
      </c>
      <c r="N693">
        <v>5</v>
      </c>
    </row>
    <row r="694" spans="1:14">
      <c r="A694" t="s">
        <v>726</v>
      </c>
      <c r="B694">
        <v>3494</v>
      </c>
      <c r="C694">
        <v>187.16</v>
      </c>
      <c r="D694" t="s">
        <v>15</v>
      </c>
      <c r="E694">
        <v>9380</v>
      </c>
      <c r="F694">
        <v>3603</v>
      </c>
      <c r="G694">
        <v>0.15609999999999999</v>
      </c>
      <c r="H694">
        <v>256.33999999999997</v>
      </c>
      <c r="I694" t="s">
        <v>17</v>
      </c>
      <c r="J694" s="11">
        <v>1</v>
      </c>
      <c r="K694">
        <v>60</v>
      </c>
      <c r="L694" t="s">
        <v>37</v>
      </c>
      <c r="M694" t="s">
        <v>23</v>
      </c>
      <c r="N694">
        <v>3</v>
      </c>
    </row>
    <row r="695" spans="1:14">
      <c r="A695" t="s">
        <v>727</v>
      </c>
      <c r="B695">
        <v>9157</v>
      </c>
      <c r="D695" t="s">
        <v>45</v>
      </c>
      <c r="E695">
        <v>21400</v>
      </c>
      <c r="F695">
        <v>7262</v>
      </c>
      <c r="G695">
        <v>0.01</v>
      </c>
      <c r="H695">
        <v>205.9</v>
      </c>
      <c r="I695" t="s">
        <v>26</v>
      </c>
      <c r="J695" s="11">
        <v>0</v>
      </c>
      <c r="K695">
        <v>65</v>
      </c>
      <c r="L695" t="s">
        <v>18</v>
      </c>
      <c r="N695">
        <v>4</v>
      </c>
    </row>
    <row r="696" spans="1:14">
      <c r="A696" t="s">
        <v>728</v>
      </c>
      <c r="B696">
        <v>4572</v>
      </c>
      <c r="C696">
        <v>196.08</v>
      </c>
      <c r="D696" t="s">
        <v>28</v>
      </c>
      <c r="E696">
        <v>10227</v>
      </c>
      <c r="F696">
        <v>7933</v>
      </c>
      <c r="G696">
        <v>0.16500000000000001</v>
      </c>
      <c r="H696">
        <v>53.28</v>
      </c>
      <c r="I696" t="s">
        <v>29</v>
      </c>
      <c r="K696">
        <v>36</v>
      </c>
      <c r="L696" t="s">
        <v>22</v>
      </c>
      <c r="M696" t="s">
        <v>23</v>
      </c>
      <c r="N696">
        <v>4</v>
      </c>
    </row>
    <row r="697" spans="1:14">
      <c r="A697" t="s">
        <v>729</v>
      </c>
      <c r="B697">
        <v>7698</v>
      </c>
      <c r="D697" t="s">
        <v>45</v>
      </c>
      <c r="E697">
        <v>32322</v>
      </c>
      <c r="F697" t="s">
        <v>16</v>
      </c>
      <c r="G697">
        <v>5.1499999999999997E-2</v>
      </c>
      <c r="H697">
        <v>430.44</v>
      </c>
      <c r="I697" t="s">
        <v>21</v>
      </c>
      <c r="K697">
        <v>33</v>
      </c>
      <c r="L697" t="s">
        <v>37</v>
      </c>
    </row>
    <row r="698" spans="1:14">
      <c r="A698" t="s">
        <v>730</v>
      </c>
      <c r="B698">
        <v>3888</v>
      </c>
      <c r="C698">
        <v>62.25</v>
      </c>
      <c r="D698" t="s">
        <v>40</v>
      </c>
      <c r="E698">
        <v>63096</v>
      </c>
      <c r="F698">
        <v>5280</v>
      </c>
      <c r="G698">
        <v>0.1091</v>
      </c>
      <c r="H698">
        <v>309.42</v>
      </c>
      <c r="I698" t="s">
        <v>17</v>
      </c>
      <c r="J698" s="11">
        <v>0</v>
      </c>
      <c r="L698" t="s">
        <v>22</v>
      </c>
      <c r="M698" t="s">
        <v>32</v>
      </c>
      <c r="N698">
        <v>3</v>
      </c>
    </row>
    <row r="699" spans="1:14">
      <c r="A699" t="s">
        <v>731</v>
      </c>
      <c r="B699">
        <v>7155</v>
      </c>
      <c r="C699">
        <v>188.76</v>
      </c>
      <c r="D699" t="s">
        <v>15</v>
      </c>
      <c r="E699">
        <v>72302</v>
      </c>
      <c r="F699">
        <v>748</v>
      </c>
      <c r="G699">
        <v>1.35E-2</v>
      </c>
      <c r="H699">
        <v>76.7</v>
      </c>
      <c r="I699" t="s">
        <v>21</v>
      </c>
      <c r="J699" s="11">
        <v>1</v>
      </c>
      <c r="K699">
        <v>65</v>
      </c>
      <c r="L699" t="s">
        <v>22</v>
      </c>
      <c r="M699" t="s">
        <v>38</v>
      </c>
    </row>
    <row r="700" spans="1:14">
      <c r="A700" t="s">
        <v>732</v>
      </c>
      <c r="B700">
        <v>3281</v>
      </c>
      <c r="C700">
        <v>158.24</v>
      </c>
      <c r="D700" t="s">
        <v>15</v>
      </c>
      <c r="E700">
        <v>32861</v>
      </c>
      <c r="F700">
        <v>6359</v>
      </c>
      <c r="G700">
        <v>0.188</v>
      </c>
      <c r="H700">
        <v>272.39999999999998</v>
      </c>
      <c r="I700" t="s">
        <v>26</v>
      </c>
      <c r="K700">
        <v>27</v>
      </c>
      <c r="L700" t="s">
        <v>31</v>
      </c>
      <c r="M700" t="s">
        <v>38</v>
      </c>
      <c r="N700">
        <v>5</v>
      </c>
    </row>
    <row r="701" spans="1:14">
      <c r="A701" t="s">
        <v>733</v>
      </c>
      <c r="B701">
        <v>9602</v>
      </c>
      <c r="C701">
        <v>151.35</v>
      </c>
      <c r="D701" t="s">
        <v>28</v>
      </c>
      <c r="E701">
        <v>12999</v>
      </c>
      <c r="F701">
        <v>9070</v>
      </c>
      <c r="G701">
        <v>0.15840000000000001</v>
      </c>
      <c r="H701">
        <v>60.6</v>
      </c>
      <c r="I701" t="s">
        <v>17</v>
      </c>
      <c r="L701" t="s">
        <v>37</v>
      </c>
    </row>
    <row r="702" spans="1:14">
      <c r="A702" t="s">
        <v>734</v>
      </c>
      <c r="B702">
        <v>3054</v>
      </c>
      <c r="C702">
        <v>180.13</v>
      </c>
      <c r="D702" t="s">
        <v>28</v>
      </c>
      <c r="E702">
        <v>2381</v>
      </c>
      <c r="F702">
        <v>7504</v>
      </c>
      <c r="G702">
        <v>2.0899999999999998E-2</v>
      </c>
      <c r="H702">
        <v>467.11</v>
      </c>
      <c r="I702" t="s">
        <v>34</v>
      </c>
      <c r="J702" s="11">
        <v>0</v>
      </c>
      <c r="K702">
        <v>37</v>
      </c>
      <c r="L702" t="s">
        <v>22</v>
      </c>
      <c r="M702" t="s">
        <v>19</v>
      </c>
      <c r="N702">
        <v>3</v>
      </c>
    </row>
    <row r="703" spans="1:14">
      <c r="A703" t="s">
        <v>735</v>
      </c>
      <c r="B703">
        <v>3938</v>
      </c>
      <c r="C703">
        <v>14.65</v>
      </c>
      <c r="D703" t="s">
        <v>32</v>
      </c>
      <c r="E703">
        <v>64569</v>
      </c>
      <c r="F703">
        <v>1545</v>
      </c>
      <c r="G703">
        <v>4.1700000000000001E-2</v>
      </c>
      <c r="H703">
        <v>45.91</v>
      </c>
      <c r="I703" t="s">
        <v>26</v>
      </c>
      <c r="K703">
        <v>56</v>
      </c>
      <c r="L703" t="s">
        <v>18</v>
      </c>
      <c r="M703" t="s">
        <v>45</v>
      </c>
      <c r="N703">
        <v>2</v>
      </c>
    </row>
    <row r="704" spans="1:14">
      <c r="A704" t="s">
        <v>736</v>
      </c>
      <c r="B704">
        <v>7453</v>
      </c>
      <c r="C704">
        <v>119.91</v>
      </c>
      <c r="D704" t="s">
        <v>32</v>
      </c>
      <c r="E704">
        <v>19093</v>
      </c>
      <c r="F704">
        <v>7279</v>
      </c>
      <c r="G704">
        <v>3.4299999999999997E-2</v>
      </c>
      <c r="H704">
        <v>292.49</v>
      </c>
      <c r="I704" t="s">
        <v>29</v>
      </c>
      <c r="J704" s="11">
        <v>0</v>
      </c>
      <c r="K704">
        <v>49</v>
      </c>
      <c r="L704" t="s">
        <v>22</v>
      </c>
      <c r="M704" t="s">
        <v>23</v>
      </c>
      <c r="N704">
        <v>3</v>
      </c>
    </row>
    <row r="705" spans="1:14">
      <c r="A705" t="s">
        <v>737</v>
      </c>
      <c r="B705">
        <v>7585</v>
      </c>
      <c r="C705">
        <v>57.09</v>
      </c>
      <c r="D705" t="s">
        <v>40</v>
      </c>
      <c r="E705">
        <v>66012</v>
      </c>
      <c r="F705">
        <v>8590</v>
      </c>
      <c r="G705">
        <v>0.1399</v>
      </c>
      <c r="H705">
        <v>157.27000000000001</v>
      </c>
      <c r="I705" t="s">
        <v>26</v>
      </c>
      <c r="J705" s="11">
        <v>0</v>
      </c>
      <c r="K705">
        <v>53</v>
      </c>
      <c r="L705" t="s">
        <v>31</v>
      </c>
      <c r="M705" t="s">
        <v>32</v>
      </c>
    </row>
    <row r="706" spans="1:14">
      <c r="A706" t="s">
        <v>738</v>
      </c>
      <c r="B706">
        <v>2187</v>
      </c>
      <c r="C706">
        <v>31.05</v>
      </c>
      <c r="D706" t="s">
        <v>25</v>
      </c>
      <c r="E706">
        <v>62900</v>
      </c>
      <c r="F706">
        <v>6867</v>
      </c>
      <c r="G706">
        <v>1.3299999999999999E-2</v>
      </c>
      <c r="H706">
        <v>417.64</v>
      </c>
      <c r="I706" t="s">
        <v>26</v>
      </c>
      <c r="K706">
        <v>44</v>
      </c>
      <c r="L706" t="s">
        <v>37</v>
      </c>
      <c r="N706">
        <v>5</v>
      </c>
    </row>
    <row r="707" spans="1:14">
      <c r="A707" t="s">
        <v>739</v>
      </c>
      <c r="B707">
        <v>3104</v>
      </c>
      <c r="C707">
        <v>11.43</v>
      </c>
      <c r="D707" t="s">
        <v>40</v>
      </c>
      <c r="E707">
        <v>68025</v>
      </c>
      <c r="F707">
        <v>9199</v>
      </c>
      <c r="I707" t="s">
        <v>34</v>
      </c>
      <c r="J707" s="11">
        <v>1</v>
      </c>
      <c r="K707">
        <v>26</v>
      </c>
      <c r="L707" t="s">
        <v>31</v>
      </c>
    </row>
    <row r="708" spans="1:14">
      <c r="A708" t="s">
        <v>740</v>
      </c>
      <c r="B708">
        <v>7997</v>
      </c>
      <c r="C708">
        <v>72.36</v>
      </c>
      <c r="D708" t="s">
        <v>40</v>
      </c>
      <c r="E708">
        <v>77367</v>
      </c>
      <c r="F708">
        <v>1926</v>
      </c>
      <c r="G708">
        <v>6.9500000000000006E-2</v>
      </c>
      <c r="H708">
        <v>337.94</v>
      </c>
      <c r="I708" t="s">
        <v>34</v>
      </c>
      <c r="K708">
        <v>37</v>
      </c>
      <c r="L708" t="s">
        <v>18</v>
      </c>
      <c r="M708" t="s">
        <v>19</v>
      </c>
      <c r="N708">
        <v>3</v>
      </c>
    </row>
    <row r="709" spans="1:14">
      <c r="A709" t="s">
        <v>741</v>
      </c>
      <c r="B709">
        <v>9060</v>
      </c>
      <c r="C709">
        <v>143.16999999999999</v>
      </c>
      <c r="D709" t="s">
        <v>32</v>
      </c>
      <c r="E709">
        <v>55642</v>
      </c>
      <c r="F709">
        <v>8659</v>
      </c>
      <c r="G709">
        <v>0.14369999999999999</v>
      </c>
      <c r="H709">
        <v>173.29</v>
      </c>
      <c r="I709" t="s">
        <v>21</v>
      </c>
      <c r="J709" s="11">
        <v>1</v>
      </c>
      <c r="K709">
        <v>38</v>
      </c>
      <c r="L709" t="s">
        <v>18</v>
      </c>
      <c r="M709" t="s">
        <v>19</v>
      </c>
      <c r="N709">
        <v>3</v>
      </c>
    </row>
    <row r="710" spans="1:14">
      <c r="A710" t="s">
        <v>742</v>
      </c>
      <c r="B710">
        <v>3680</v>
      </c>
      <c r="C710">
        <v>61.92</v>
      </c>
      <c r="D710" t="s">
        <v>32</v>
      </c>
      <c r="E710">
        <v>51905</v>
      </c>
      <c r="F710">
        <v>571</v>
      </c>
      <c r="G710">
        <v>4.3200000000000002E-2</v>
      </c>
      <c r="H710">
        <v>427.52</v>
      </c>
      <c r="I710" t="s">
        <v>29</v>
      </c>
      <c r="J710" s="11">
        <v>1</v>
      </c>
      <c r="K710">
        <v>22</v>
      </c>
      <c r="L710" t="s">
        <v>22</v>
      </c>
      <c r="M710" t="s">
        <v>32</v>
      </c>
      <c r="N710">
        <v>1</v>
      </c>
    </row>
    <row r="711" spans="1:14">
      <c r="A711" t="s">
        <v>743</v>
      </c>
      <c r="B711">
        <v>1829</v>
      </c>
      <c r="C711">
        <v>162.35</v>
      </c>
      <c r="D711" t="s">
        <v>15</v>
      </c>
      <c r="E711">
        <v>42085</v>
      </c>
      <c r="F711">
        <v>8279</v>
      </c>
      <c r="G711">
        <v>8.1600000000000006E-2</v>
      </c>
      <c r="H711">
        <v>191.89</v>
      </c>
      <c r="I711" t="s">
        <v>26</v>
      </c>
      <c r="J711" s="11">
        <v>0</v>
      </c>
      <c r="K711">
        <v>37</v>
      </c>
      <c r="L711" t="s">
        <v>22</v>
      </c>
      <c r="N711">
        <v>2</v>
      </c>
    </row>
    <row r="712" spans="1:14">
      <c r="A712" t="s">
        <v>744</v>
      </c>
      <c r="B712">
        <v>6999</v>
      </c>
      <c r="C712">
        <v>26.64</v>
      </c>
      <c r="D712" t="s">
        <v>15</v>
      </c>
      <c r="E712">
        <v>58038</v>
      </c>
      <c r="F712">
        <v>9749</v>
      </c>
      <c r="H712">
        <v>151.24</v>
      </c>
      <c r="I712" t="s">
        <v>17</v>
      </c>
      <c r="J712" s="11">
        <v>1</v>
      </c>
      <c r="K712">
        <v>19</v>
      </c>
      <c r="L712" t="s">
        <v>31</v>
      </c>
      <c r="M712" t="s">
        <v>23</v>
      </c>
      <c r="N712">
        <v>1</v>
      </c>
    </row>
    <row r="713" spans="1:14">
      <c r="A713" t="s">
        <v>745</v>
      </c>
      <c r="B713">
        <v>6806</v>
      </c>
      <c r="C713">
        <v>124.85</v>
      </c>
      <c r="D713" t="s">
        <v>28</v>
      </c>
      <c r="E713">
        <v>81463</v>
      </c>
      <c r="F713">
        <v>1624</v>
      </c>
      <c r="H713">
        <v>262.58999999999997</v>
      </c>
      <c r="I713" t="s">
        <v>34</v>
      </c>
      <c r="K713">
        <v>50</v>
      </c>
      <c r="L713" t="s">
        <v>31</v>
      </c>
      <c r="N713">
        <v>3</v>
      </c>
    </row>
    <row r="714" spans="1:14">
      <c r="A714" t="s">
        <v>746</v>
      </c>
      <c r="B714">
        <v>4925</v>
      </c>
      <c r="C714">
        <v>122.49</v>
      </c>
      <c r="D714" t="s">
        <v>25</v>
      </c>
      <c r="E714">
        <v>11050</v>
      </c>
      <c r="F714">
        <v>6322</v>
      </c>
      <c r="G714">
        <v>0.13489999999999999</v>
      </c>
      <c r="H714">
        <v>171.73</v>
      </c>
      <c r="I714" t="s">
        <v>29</v>
      </c>
      <c r="K714">
        <v>61</v>
      </c>
      <c r="L714" t="s">
        <v>18</v>
      </c>
      <c r="M714" t="s">
        <v>38</v>
      </c>
      <c r="N714">
        <v>2</v>
      </c>
    </row>
    <row r="715" spans="1:14">
      <c r="A715" t="s">
        <v>747</v>
      </c>
      <c r="B715">
        <v>5348</v>
      </c>
      <c r="D715" t="s">
        <v>40</v>
      </c>
      <c r="E715">
        <v>28633</v>
      </c>
      <c r="F715">
        <v>9185</v>
      </c>
      <c r="G715">
        <v>0.16</v>
      </c>
      <c r="H715">
        <v>485.56</v>
      </c>
      <c r="I715" t="s">
        <v>29</v>
      </c>
      <c r="K715">
        <v>63</v>
      </c>
      <c r="L715" t="s">
        <v>22</v>
      </c>
      <c r="M715" t="s">
        <v>38</v>
      </c>
      <c r="N715">
        <v>2</v>
      </c>
    </row>
    <row r="716" spans="1:14">
      <c r="A716" t="s">
        <v>748</v>
      </c>
      <c r="B716">
        <v>2163</v>
      </c>
      <c r="C716">
        <v>160.66999999999999</v>
      </c>
      <c r="D716" t="s">
        <v>40</v>
      </c>
      <c r="E716">
        <v>87328</v>
      </c>
      <c r="F716">
        <v>4088</v>
      </c>
      <c r="G716">
        <v>8.7499999999999994E-2</v>
      </c>
      <c r="H716">
        <v>176.7</v>
      </c>
      <c r="I716" t="s">
        <v>21</v>
      </c>
      <c r="J716" s="11">
        <v>0</v>
      </c>
      <c r="K716">
        <v>45</v>
      </c>
      <c r="L716" t="s">
        <v>37</v>
      </c>
    </row>
    <row r="717" spans="1:14">
      <c r="A717" t="s">
        <v>749</v>
      </c>
      <c r="B717">
        <v>3171</v>
      </c>
      <c r="D717" t="s">
        <v>32</v>
      </c>
      <c r="E717">
        <v>53185</v>
      </c>
      <c r="F717">
        <v>551</v>
      </c>
      <c r="G717">
        <v>8.3500000000000005E-2</v>
      </c>
      <c r="H717">
        <v>363.5</v>
      </c>
      <c r="I717" t="s">
        <v>34</v>
      </c>
      <c r="J717" s="11">
        <v>1</v>
      </c>
      <c r="K717">
        <v>41</v>
      </c>
      <c r="L717" t="s">
        <v>37</v>
      </c>
      <c r="M717" t="s">
        <v>38</v>
      </c>
      <c r="N717">
        <v>1</v>
      </c>
    </row>
    <row r="718" spans="1:14">
      <c r="A718" t="s">
        <v>750</v>
      </c>
      <c r="B718">
        <v>6286</v>
      </c>
      <c r="D718" t="s">
        <v>15</v>
      </c>
      <c r="E718">
        <v>39199</v>
      </c>
      <c r="F718">
        <v>1228</v>
      </c>
      <c r="G718">
        <v>4.5100000000000001E-2</v>
      </c>
      <c r="H718">
        <v>401.12</v>
      </c>
      <c r="I718" t="s">
        <v>29</v>
      </c>
      <c r="J718" s="11">
        <v>1</v>
      </c>
      <c r="K718">
        <v>37</v>
      </c>
      <c r="L718" t="s">
        <v>22</v>
      </c>
      <c r="M718" t="s">
        <v>19</v>
      </c>
      <c r="N718">
        <v>4</v>
      </c>
    </row>
    <row r="719" spans="1:14">
      <c r="A719" t="s">
        <v>751</v>
      </c>
      <c r="B719">
        <v>7664</v>
      </c>
      <c r="C719">
        <v>157.62</v>
      </c>
      <c r="D719" t="s">
        <v>40</v>
      </c>
      <c r="E719">
        <v>91117</v>
      </c>
      <c r="F719">
        <v>4552</v>
      </c>
      <c r="G719">
        <v>6.83E-2</v>
      </c>
      <c r="H719">
        <v>146.96</v>
      </c>
      <c r="I719" t="s">
        <v>29</v>
      </c>
      <c r="J719" s="11">
        <v>1</v>
      </c>
      <c r="K719">
        <v>65</v>
      </c>
      <c r="L719" t="s">
        <v>18</v>
      </c>
      <c r="M719" t="s">
        <v>38</v>
      </c>
      <c r="N719">
        <v>1</v>
      </c>
    </row>
    <row r="720" spans="1:14">
      <c r="A720" t="s">
        <v>752</v>
      </c>
      <c r="B720">
        <v>1854</v>
      </c>
      <c r="C720">
        <v>83.09</v>
      </c>
      <c r="D720" t="s">
        <v>15</v>
      </c>
      <c r="E720">
        <v>97044</v>
      </c>
      <c r="F720">
        <v>1482</v>
      </c>
      <c r="G720">
        <v>1.0699999999999999E-2</v>
      </c>
      <c r="H720">
        <v>109.8</v>
      </c>
      <c r="I720" t="s">
        <v>21</v>
      </c>
      <c r="J720" s="11">
        <v>0</v>
      </c>
      <c r="K720">
        <v>46</v>
      </c>
      <c r="L720" t="s">
        <v>22</v>
      </c>
      <c r="M720" t="s">
        <v>19</v>
      </c>
      <c r="N720">
        <v>3</v>
      </c>
    </row>
    <row r="721" spans="1:14">
      <c r="A721" t="s">
        <v>753</v>
      </c>
      <c r="B721">
        <v>6418</v>
      </c>
      <c r="C721">
        <v>60.89</v>
      </c>
      <c r="D721" t="s">
        <v>25</v>
      </c>
      <c r="E721">
        <v>37326</v>
      </c>
      <c r="F721">
        <v>1259</v>
      </c>
      <c r="G721">
        <v>6.0900000000000003E-2</v>
      </c>
      <c r="H721">
        <v>159.19</v>
      </c>
      <c r="I721" t="s">
        <v>34</v>
      </c>
      <c r="J721" s="11">
        <v>1</v>
      </c>
      <c r="K721">
        <v>60</v>
      </c>
      <c r="L721" t="s">
        <v>37</v>
      </c>
      <c r="M721" t="s">
        <v>32</v>
      </c>
      <c r="N721">
        <v>5</v>
      </c>
    </row>
    <row r="722" spans="1:14">
      <c r="A722" t="s">
        <v>754</v>
      </c>
      <c r="B722">
        <v>8648</v>
      </c>
      <c r="C722">
        <v>27.39</v>
      </c>
      <c r="D722" t="s">
        <v>25</v>
      </c>
      <c r="E722">
        <v>84517</v>
      </c>
      <c r="F722">
        <v>3666</v>
      </c>
      <c r="G722">
        <v>0.1135</v>
      </c>
      <c r="H722">
        <v>299.27999999999997</v>
      </c>
      <c r="I722" t="s">
        <v>29</v>
      </c>
      <c r="K722">
        <v>51</v>
      </c>
      <c r="L722" t="s">
        <v>37</v>
      </c>
      <c r="M722" t="s">
        <v>19</v>
      </c>
      <c r="N722">
        <v>2</v>
      </c>
    </row>
    <row r="723" spans="1:14">
      <c r="A723" t="s">
        <v>755</v>
      </c>
      <c r="B723">
        <v>5392</v>
      </c>
      <c r="C723">
        <v>173.85</v>
      </c>
      <c r="D723" t="s">
        <v>32</v>
      </c>
      <c r="E723">
        <v>79726</v>
      </c>
      <c r="F723">
        <v>3083</v>
      </c>
      <c r="H723">
        <v>466.98</v>
      </c>
      <c r="I723" t="s">
        <v>29</v>
      </c>
      <c r="J723" s="11">
        <v>1</v>
      </c>
      <c r="K723">
        <v>50</v>
      </c>
      <c r="L723" t="s">
        <v>31</v>
      </c>
      <c r="M723" t="s">
        <v>32</v>
      </c>
      <c r="N723">
        <v>2</v>
      </c>
    </row>
    <row r="724" spans="1:14">
      <c r="A724" t="s">
        <v>756</v>
      </c>
      <c r="B724">
        <v>3952</v>
      </c>
      <c r="C724">
        <v>43.83</v>
      </c>
      <c r="D724" t="s">
        <v>40</v>
      </c>
      <c r="E724">
        <v>40013</v>
      </c>
      <c r="F724">
        <v>9132</v>
      </c>
      <c r="G724">
        <v>8.2000000000000003E-2</v>
      </c>
      <c r="I724" t="s">
        <v>17</v>
      </c>
      <c r="K724">
        <v>38</v>
      </c>
      <c r="L724" t="s">
        <v>31</v>
      </c>
      <c r="M724" t="s">
        <v>23</v>
      </c>
    </row>
    <row r="725" spans="1:14">
      <c r="A725" t="s">
        <v>757</v>
      </c>
      <c r="B725">
        <v>3328</v>
      </c>
      <c r="D725" t="s">
        <v>32</v>
      </c>
      <c r="E725">
        <v>66609</v>
      </c>
      <c r="F725">
        <v>8988</v>
      </c>
      <c r="G725">
        <v>0.1409</v>
      </c>
      <c r="H725">
        <v>315.13</v>
      </c>
      <c r="I725" t="s">
        <v>17</v>
      </c>
      <c r="K725">
        <v>51</v>
      </c>
      <c r="L725" t="s">
        <v>31</v>
      </c>
      <c r="N725">
        <v>2</v>
      </c>
    </row>
    <row r="726" spans="1:14">
      <c r="A726" t="s">
        <v>758</v>
      </c>
      <c r="B726">
        <v>4068</v>
      </c>
      <c r="C726">
        <v>190.9</v>
      </c>
      <c r="D726" t="s">
        <v>40</v>
      </c>
      <c r="E726">
        <v>18332</v>
      </c>
      <c r="F726">
        <v>2132</v>
      </c>
      <c r="G726">
        <v>1.44E-2</v>
      </c>
      <c r="H726">
        <v>390.15</v>
      </c>
      <c r="I726" t="s">
        <v>29</v>
      </c>
      <c r="K726">
        <v>41</v>
      </c>
      <c r="L726" t="s">
        <v>18</v>
      </c>
      <c r="M726" t="s">
        <v>32</v>
      </c>
      <c r="N726">
        <v>4</v>
      </c>
    </row>
    <row r="727" spans="1:14">
      <c r="A727" t="s">
        <v>759</v>
      </c>
      <c r="B727">
        <v>2621</v>
      </c>
      <c r="C727">
        <v>153.51</v>
      </c>
      <c r="D727" t="s">
        <v>32</v>
      </c>
      <c r="E727">
        <v>97690</v>
      </c>
      <c r="F727">
        <v>4717</v>
      </c>
      <c r="G727">
        <v>0.151</v>
      </c>
      <c r="H727">
        <v>464.97</v>
      </c>
      <c r="I727" t="s">
        <v>17</v>
      </c>
      <c r="J727" s="11">
        <v>0</v>
      </c>
      <c r="L727" t="s">
        <v>22</v>
      </c>
      <c r="M727" t="s">
        <v>38</v>
      </c>
    </row>
    <row r="728" spans="1:14">
      <c r="A728" t="s">
        <v>760</v>
      </c>
      <c r="B728">
        <v>8592</v>
      </c>
      <c r="C728">
        <v>84.75</v>
      </c>
      <c r="D728" t="s">
        <v>40</v>
      </c>
      <c r="E728">
        <v>11641</v>
      </c>
      <c r="F728">
        <v>5533</v>
      </c>
      <c r="G728">
        <v>0.1832</v>
      </c>
      <c r="H728">
        <v>185.64</v>
      </c>
      <c r="I728" t="s">
        <v>26</v>
      </c>
      <c r="J728" s="11">
        <v>1</v>
      </c>
      <c r="K728">
        <v>33</v>
      </c>
      <c r="L728" t="s">
        <v>31</v>
      </c>
      <c r="M728" t="s">
        <v>32</v>
      </c>
      <c r="N728">
        <v>2</v>
      </c>
    </row>
    <row r="729" spans="1:14">
      <c r="A729" t="s">
        <v>761</v>
      </c>
      <c r="B729">
        <v>9392</v>
      </c>
      <c r="C729">
        <v>53.77</v>
      </c>
      <c r="D729" t="s">
        <v>40</v>
      </c>
      <c r="E729">
        <v>94362</v>
      </c>
      <c r="F729" t="s">
        <v>16</v>
      </c>
      <c r="G729">
        <v>0.18490000000000001</v>
      </c>
      <c r="H729">
        <v>438.26</v>
      </c>
      <c r="I729" t="s">
        <v>29</v>
      </c>
      <c r="J729" s="11">
        <v>0</v>
      </c>
      <c r="K729">
        <v>33</v>
      </c>
      <c r="L729" t="s">
        <v>22</v>
      </c>
      <c r="M729" t="s">
        <v>19</v>
      </c>
    </row>
    <row r="730" spans="1:14">
      <c r="A730" t="s">
        <v>762</v>
      </c>
      <c r="B730">
        <v>5490</v>
      </c>
      <c r="C730">
        <v>198.92</v>
      </c>
      <c r="D730" t="s">
        <v>28</v>
      </c>
      <c r="E730">
        <v>94252</v>
      </c>
      <c r="F730">
        <v>2843</v>
      </c>
      <c r="G730">
        <v>7.7700000000000005E-2</v>
      </c>
      <c r="H730">
        <v>243.53</v>
      </c>
      <c r="I730" t="s">
        <v>29</v>
      </c>
      <c r="K730">
        <v>32</v>
      </c>
      <c r="L730" t="s">
        <v>37</v>
      </c>
      <c r="M730" t="s">
        <v>38</v>
      </c>
      <c r="N730">
        <v>4</v>
      </c>
    </row>
    <row r="731" spans="1:14">
      <c r="A731" t="s">
        <v>763</v>
      </c>
      <c r="B731">
        <v>5218</v>
      </c>
      <c r="C731">
        <v>87.72</v>
      </c>
      <c r="D731" t="s">
        <v>45</v>
      </c>
      <c r="E731">
        <v>62712</v>
      </c>
      <c r="F731">
        <v>5091</v>
      </c>
      <c r="G731">
        <v>6.1199999999999997E-2</v>
      </c>
      <c r="H731">
        <v>197.19</v>
      </c>
      <c r="I731" t="s">
        <v>29</v>
      </c>
      <c r="L731" t="s">
        <v>37</v>
      </c>
      <c r="M731" t="s">
        <v>23</v>
      </c>
      <c r="N731">
        <v>2</v>
      </c>
    </row>
    <row r="732" spans="1:14">
      <c r="A732" t="s">
        <v>764</v>
      </c>
      <c r="B732">
        <v>1515</v>
      </c>
      <c r="C732">
        <v>45.68</v>
      </c>
      <c r="D732" t="s">
        <v>25</v>
      </c>
      <c r="E732">
        <v>61471</v>
      </c>
      <c r="F732">
        <v>8578</v>
      </c>
      <c r="G732">
        <v>9.0399999999999994E-2</v>
      </c>
      <c r="H732">
        <v>314.26</v>
      </c>
      <c r="I732" t="s">
        <v>29</v>
      </c>
      <c r="K732">
        <v>38</v>
      </c>
      <c r="L732" t="s">
        <v>18</v>
      </c>
      <c r="N732">
        <v>4</v>
      </c>
    </row>
    <row r="733" spans="1:14">
      <c r="A733" t="s">
        <v>765</v>
      </c>
      <c r="B733">
        <v>2428</v>
      </c>
      <c r="C733">
        <v>54.66</v>
      </c>
      <c r="D733" t="s">
        <v>15</v>
      </c>
      <c r="E733">
        <v>89193</v>
      </c>
      <c r="F733">
        <v>3151</v>
      </c>
      <c r="G733">
        <v>0.11840000000000001</v>
      </c>
      <c r="I733" t="s">
        <v>17</v>
      </c>
      <c r="K733">
        <v>37</v>
      </c>
      <c r="L733" t="s">
        <v>22</v>
      </c>
      <c r="M733" t="s">
        <v>38</v>
      </c>
      <c r="N733">
        <v>1</v>
      </c>
    </row>
    <row r="734" spans="1:14">
      <c r="A734" t="s">
        <v>766</v>
      </c>
      <c r="B734">
        <v>9765</v>
      </c>
      <c r="C734">
        <v>140.36000000000001</v>
      </c>
      <c r="D734" t="s">
        <v>40</v>
      </c>
      <c r="E734">
        <v>90224</v>
      </c>
      <c r="F734">
        <v>3751</v>
      </c>
      <c r="G734">
        <v>0.16139999999999999</v>
      </c>
      <c r="H734">
        <v>476.23</v>
      </c>
      <c r="I734" t="s">
        <v>26</v>
      </c>
      <c r="J734" s="11">
        <v>1</v>
      </c>
      <c r="K734">
        <v>26</v>
      </c>
      <c r="L734" t="s">
        <v>37</v>
      </c>
      <c r="M734" t="s">
        <v>38</v>
      </c>
      <c r="N734">
        <v>4</v>
      </c>
    </row>
    <row r="735" spans="1:14">
      <c r="A735" t="s">
        <v>767</v>
      </c>
      <c r="B735">
        <v>2320</v>
      </c>
      <c r="C735">
        <v>39.770000000000003</v>
      </c>
      <c r="D735" t="s">
        <v>15</v>
      </c>
      <c r="E735">
        <v>63078</v>
      </c>
      <c r="F735">
        <v>553</v>
      </c>
      <c r="G735">
        <v>0.18060000000000001</v>
      </c>
      <c r="H735">
        <v>150.82</v>
      </c>
      <c r="I735" t="s">
        <v>26</v>
      </c>
      <c r="J735" s="11">
        <v>1</v>
      </c>
      <c r="K735">
        <v>52</v>
      </c>
      <c r="L735" t="s">
        <v>18</v>
      </c>
      <c r="M735" t="s">
        <v>19</v>
      </c>
      <c r="N735">
        <v>1</v>
      </c>
    </row>
    <row r="736" spans="1:14">
      <c r="A736" t="s">
        <v>768</v>
      </c>
      <c r="B736">
        <v>5600</v>
      </c>
      <c r="C736">
        <v>138.97</v>
      </c>
      <c r="D736" t="s">
        <v>32</v>
      </c>
      <c r="E736">
        <v>55932</v>
      </c>
      <c r="F736">
        <v>9743</v>
      </c>
      <c r="G736">
        <v>0.1416</v>
      </c>
      <c r="I736" t="s">
        <v>17</v>
      </c>
      <c r="K736">
        <v>47</v>
      </c>
      <c r="L736" t="s">
        <v>31</v>
      </c>
      <c r="M736" t="s">
        <v>19</v>
      </c>
      <c r="N736">
        <v>3</v>
      </c>
    </row>
    <row r="737" spans="1:14">
      <c r="A737" t="s">
        <v>769</v>
      </c>
      <c r="B737">
        <v>8141</v>
      </c>
      <c r="C737">
        <v>177.63</v>
      </c>
      <c r="D737" t="s">
        <v>40</v>
      </c>
      <c r="E737">
        <v>1812</v>
      </c>
      <c r="F737">
        <v>2826</v>
      </c>
      <c r="G737">
        <v>0.10589999999999999</v>
      </c>
      <c r="H737">
        <v>362.64</v>
      </c>
      <c r="I737" t="s">
        <v>21</v>
      </c>
      <c r="J737" s="11">
        <v>1</v>
      </c>
      <c r="K737">
        <v>64</v>
      </c>
      <c r="L737" t="s">
        <v>22</v>
      </c>
      <c r="M737" t="s">
        <v>32</v>
      </c>
      <c r="N737">
        <v>2</v>
      </c>
    </row>
    <row r="738" spans="1:14">
      <c r="A738" t="s">
        <v>770</v>
      </c>
      <c r="B738">
        <v>9225</v>
      </c>
      <c r="C738">
        <v>176.76</v>
      </c>
      <c r="D738" t="s">
        <v>25</v>
      </c>
      <c r="E738">
        <v>16571</v>
      </c>
      <c r="F738">
        <v>3967</v>
      </c>
      <c r="G738">
        <v>8.5300000000000001E-2</v>
      </c>
      <c r="H738">
        <v>397.25</v>
      </c>
      <c r="I738" t="s">
        <v>49</v>
      </c>
      <c r="J738" s="11">
        <v>0</v>
      </c>
      <c r="K738">
        <v>18</v>
      </c>
      <c r="L738" t="s">
        <v>37</v>
      </c>
      <c r="M738" t="s">
        <v>32</v>
      </c>
      <c r="N738">
        <v>4</v>
      </c>
    </row>
    <row r="739" spans="1:14">
      <c r="A739" t="s">
        <v>771</v>
      </c>
      <c r="B739">
        <v>1412</v>
      </c>
      <c r="C739">
        <v>159.69999999999999</v>
      </c>
      <c r="D739" t="s">
        <v>15</v>
      </c>
      <c r="E739">
        <v>32631</v>
      </c>
      <c r="F739">
        <v>9024</v>
      </c>
      <c r="G739">
        <v>0.13600000000000001</v>
      </c>
      <c r="H739">
        <v>314.32</v>
      </c>
      <c r="I739" t="s">
        <v>29</v>
      </c>
      <c r="J739" s="11">
        <v>1</v>
      </c>
      <c r="K739">
        <v>29</v>
      </c>
      <c r="L739" t="s">
        <v>22</v>
      </c>
      <c r="M739" t="s">
        <v>23</v>
      </c>
      <c r="N739">
        <v>5</v>
      </c>
    </row>
    <row r="740" spans="1:14">
      <c r="A740" t="s">
        <v>772</v>
      </c>
      <c r="B740">
        <v>9138</v>
      </c>
      <c r="C740">
        <v>42.65</v>
      </c>
      <c r="D740" t="s">
        <v>28</v>
      </c>
      <c r="E740">
        <v>62400</v>
      </c>
      <c r="F740">
        <v>9276</v>
      </c>
      <c r="G740">
        <v>0.14549999999999999</v>
      </c>
      <c r="H740">
        <v>18.68</v>
      </c>
      <c r="I740" t="s">
        <v>17</v>
      </c>
      <c r="J740" s="11">
        <v>1</v>
      </c>
      <c r="K740">
        <v>53</v>
      </c>
      <c r="L740" t="s">
        <v>18</v>
      </c>
      <c r="M740" t="s">
        <v>32</v>
      </c>
      <c r="N740">
        <v>1</v>
      </c>
    </row>
    <row r="741" spans="1:14">
      <c r="A741" t="s">
        <v>773</v>
      </c>
      <c r="B741">
        <v>2497</v>
      </c>
      <c r="D741" t="s">
        <v>32</v>
      </c>
      <c r="E741">
        <v>15322</v>
      </c>
      <c r="F741">
        <v>3456</v>
      </c>
      <c r="G741">
        <v>0.13439999999999999</v>
      </c>
      <c r="H741">
        <v>73.69</v>
      </c>
      <c r="I741" t="s">
        <v>29</v>
      </c>
      <c r="J741" s="11">
        <v>0</v>
      </c>
      <c r="K741">
        <v>32</v>
      </c>
      <c r="L741" t="s">
        <v>37</v>
      </c>
      <c r="M741" t="s">
        <v>32</v>
      </c>
    </row>
    <row r="742" spans="1:14">
      <c r="A742" t="s">
        <v>774</v>
      </c>
      <c r="B742">
        <v>5273</v>
      </c>
      <c r="C742">
        <v>124.42</v>
      </c>
      <c r="D742" t="s">
        <v>45</v>
      </c>
      <c r="E742">
        <v>33597</v>
      </c>
      <c r="F742">
        <v>7274</v>
      </c>
      <c r="G742">
        <v>0.18529999999999999</v>
      </c>
      <c r="H742">
        <v>420.11</v>
      </c>
      <c r="I742" t="s">
        <v>21</v>
      </c>
      <c r="J742" s="11">
        <v>0</v>
      </c>
      <c r="K742">
        <v>39</v>
      </c>
      <c r="L742" t="s">
        <v>22</v>
      </c>
      <c r="M742" t="s">
        <v>19</v>
      </c>
      <c r="N742">
        <v>2</v>
      </c>
    </row>
    <row r="743" spans="1:14">
      <c r="A743" t="s">
        <v>775</v>
      </c>
      <c r="B743">
        <v>3949</v>
      </c>
      <c r="C743">
        <v>162.09</v>
      </c>
      <c r="D743" t="s">
        <v>28</v>
      </c>
      <c r="E743">
        <v>8740</v>
      </c>
      <c r="F743">
        <v>9970</v>
      </c>
      <c r="G743">
        <v>0.04</v>
      </c>
      <c r="H743">
        <v>322.92</v>
      </c>
      <c r="I743" t="s">
        <v>29</v>
      </c>
      <c r="J743" s="11">
        <v>0</v>
      </c>
      <c r="K743">
        <v>33</v>
      </c>
      <c r="L743" t="s">
        <v>31</v>
      </c>
      <c r="M743" t="s">
        <v>19</v>
      </c>
      <c r="N743">
        <v>5</v>
      </c>
    </row>
    <row r="744" spans="1:14">
      <c r="A744" t="s">
        <v>776</v>
      </c>
      <c r="B744">
        <v>8165</v>
      </c>
      <c r="C744">
        <v>190.86</v>
      </c>
      <c r="D744" t="s">
        <v>32</v>
      </c>
      <c r="E744">
        <v>10290</v>
      </c>
      <c r="F744">
        <v>7387</v>
      </c>
      <c r="G744">
        <v>1.44E-2</v>
      </c>
      <c r="H744">
        <v>167.16</v>
      </c>
      <c r="I744" t="s">
        <v>17</v>
      </c>
      <c r="J744" s="11">
        <v>0</v>
      </c>
      <c r="K744">
        <v>49</v>
      </c>
      <c r="L744" t="s">
        <v>31</v>
      </c>
      <c r="M744" t="s">
        <v>19</v>
      </c>
      <c r="N744">
        <v>5</v>
      </c>
    </row>
    <row r="745" spans="1:14">
      <c r="A745" t="s">
        <v>777</v>
      </c>
      <c r="B745">
        <v>9379</v>
      </c>
      <c r="C745">
        <v>58.09</v>
      </c>
      <c r="D745" t="s">
        <v>32</v>
      </c>
      <c r="E745">
        <v>55507</v>
      </c>
      <c r="F745">
        <v>7918</v>
      </c>
      <c r="G745">
        <v>0.1875</v>
      </c>
      <c r="H745">
        <v>219.65</v>
      </c>
      <c r="I745" t="s">
        <v>34</v>
      </c>
      <c r="K745">
        <v>34</v>
      </c>
      <c r="L745" t="s">
        <v>31</v>
      </c>
      <c r="N745">
        <v>3</v>
      </c>
    </row>
    <row r="746" spans="1:14">
      <c r="A746" t="s">
        <v>778</v>
      </c>
      <c r="B746">
        <v>8587</v>
      </c>
      <c r="C746">
        <v>146.88</v>
      </c>
      <c r="D746" t="s">
        <v>32</v>
      </c>
      <c r="E746">
        <v>80503</v>
      </c>
      <c r="F746">
        <v>7204</v>
      </c>
      <c r="H746">
        <v>315.64</v>
      </c>
      <c r="I746" t="s">
        <v>17</v>
      </c>
      <c r="J746" s="11">
        <v>1</v>
      </c>
      <c r="K746">
        <v>65</v>
      </c>
      <c r="L746" t="s">
        <v>22</v>
      </c>
      <c r="M746" t="s">
        <v>19</v>
      </c>
      <c r="N746">
        <v>1</v>
      </c>
    </row>
    <row r="747" spans="1:14">
      <c r="A747" t="s">
        <v>779</v>
      </c>
      <c r="B747">
        <v>5462</v>
      </c>
      <c r="C747">
        <v>190.74</v>
      </c>
      <c r="D747" t="s">
        <v>32</v>
      </c>
      <c r="E747">
        <v>38571</v>
      </c>
      <c r="F747">
        <v>1190</v>
      </c>
      <c r="G747">
        <v>0.18659999999999999</v>
      </c>
      <c r="H747">
        <v>196.38</v>
      </c>
      <c r="I747" t="s">
        <v>21</v>
      </c>
      <c r="K747">
        <v>34</v>
      </c>
      <c r="L747" t="s">
        <v>18</v>
      </c>
      <c r="M747" t="s">
        <v>32</v>
      </c>
      <c r="N747">
        <v>2</v>
      </c>
    </row>
    <row r="748" spans="1:14">
      <c r="A748" t="s">
        <v>780</v>
      </c>
      <c r="B748">
        <v>8876</v>
      </c>
      <c r="C748">
        <v>175.76</v>
      </c>
      <c r="D748" t="s">
        <v>45</v>
      </c>
      <c r="E748">
        <v>68962</v>
      </c>
      <c r="F748">
        <v>1053</v>
      </c>
      <c r="G748">
        <v>2.1000000000000001E-2</v>
      </c>
      <c r="H748">
        <v>447.24</v>
      </c>
      <c r="I748" t="s">
        <v>29</v>
      </c>
      <c r="J748" s="11">
        <v>1</v>
      </c>
      <c r="K748">
        <v>52</v>
      </c>
      <c r="L748" t="s">
        <v>37</v>
      </c>
      <c r="M748" t="s">
        <v>32</v>
      </c>
      <c r="N748">
        <v>2</v>
      </c>
    </row>
    <row r="749" spans="1:14">
      <c r="A749" t="s">
        <v>781</v>
      </c>
      <c r="B749">
        <v>2962</v>
      </c>
      <c r="C749">
        <v>109.8</v>
      </c>
      <c r="D749" t="s">
        <v>28</v>
      </c>
      <c r="E749">
        <v>94616</v>
      </c>
      <c r="F749">
        <v>5839</v>
      </c>
      <c r="G749">
        <v>6.9099999999999995E-2</v>
      </c>
      <c r="H749">
        <v>470.31</v>
      </c>
      <c r="I749" t="s">
        <v>49</v>
      </c>
      <c r="K749">
        <v>23</v>
      </c>
      <c r="L749" t="s">
        <v>31</v>
      </c>
      <c r="M749" t="s">
        <v>45</v>
      </c>
      <c r="N749">
        <v>1</v>
      </c>
    </row>
    <row r="750" spans="1:14">
      <c r="A750" t="s">
        <v>782</v>
      </c>
      <c r="B750">
        <v>7552</v>
      </c>
      <c r="C750">
        <v>72.17</v>
      </c>
      <c r="D750" t="s">
        <v>15</v>
      </c>
      <c r="E750">
        <v>43048</v>
      </c>
      <c r="F750">
        <v>5613</v>
      </c>
      <c r="G750">
        <v>0.17130000000000001</v>
      </c>
      <c r="H750">
        <v>311.66000000000003</v>
      </c>
      <c r="I750" t="s">
        <v>34</v>
      </c>
      <c r="K750">
        <v>23</v>
      </c>
      <c r="L750" t="s">
        <v>31</v>
      </c>
      <c r="M750" t="s">
        <v>32</v>
      </c>
      <c r="N750">
        <v>3</v>
      </c>
    </row>
    <row r="751" spans="1:14">
      <c r="A751" t="s">
        <v>783</v>
      </c>
      <c r="B751">
        <v>3413</v>
      </c>
      <c r="C751">
        <v>108.1</v>
      </c>
      <c r="D751" t="s">
        <v>40</v>
      </c>
      <c r="E751">
        <v>46536</v>
      </c>
      <c r="F751">
        <v>9521</v>
      </c>
      <c r="G751">
        <v>5.5300000000000002E-2</v>
      </c>
      <c r="I751" t="s">
        <v>21</v>
      </c>
      <c r="K751">
        <v>32</v>
      </c>
      <c r="L751" t="s">
        <v>37</v>
      </c>
      <c r="M751" t="s">
        <v>45</v>
      </c>
      <c r="N751">
        <v>5</v>
      </c>
    </row>
    <row r="752" spans="1:14">
      <c r="A752" t="s">
        <v>784</v>
      </c>
      <c r="B752">
        <v>7728</v>
      </c>
      <c r="C752">
        <v>143.26</v>
      </c>
      <c r="D752" t="s">
        <v>25</v>
      </c>
      <c r="E752">
        <v>90521</v>
      </c>
      <c r="F752">
        <v>7184</v>
      </c>
      <c r="G752">
        <v>8.7900000000000006E-2</v>
      </c>
      <c r="H752">
        <v>242.19</v>
      </c>
      <c r="I752" t="s">
        <v>17</v>
      </c>
      <c r="K752">
        <v>32</v>
      </c>
      <c r="L752" t="s">
        <v>37</v>
      </c>
    </row>
    <row r="753" spans="1:14">
      <c r="A753" t="s">
        <v>785</v>
      </c>
      <c r="B753">
        <v>7236</v>
      </c>
      <c r="C753">
        <v>191.06</v>
      </c>
      <c r="D753" t="s">
        <v>28</v>
      </c>
      <c r="E753">
        <v>2529</v>
      </c>
      <c r="F753">
        <v>4834</v>
      </c>
      <c r="G753">
        <v>3.1300000000000001E-2</v>
      </c>
      <c r="H753">
        <v>115.55</v>
      </c>
      <c r="I753" t="s">
        <v>17</v>
      </c>
      <c r="J753" s="11">
        <v>1</v>
      </c>
      <c r="K753">
        <v>64</v>
      </c>
      <c r="L753" t="s">
        <v>22</v>
      </c>
      <c r="M753" t="s">
        <v>32</v>
      </c>
      <c r="N753">
        <v>3</v>
      </c>
    </row>
    <row r="754" spans="1:14">
      <c r="A754" t="s">
        <v>786</v>
      </c>
      <c r="B754">
        <v>2691</v>
      </c>
      <c r="C754">
        <v>64.39</v>
      </c>
      <c r="D754" t="s">
        <v>25</v>
      </c>
      <c r="E754">
        <v>97380</v>
      </c>
      <c r="F754">
        <v>4767</v>
      </c>
      <c r="G754">
        <v>1.37E-2</v>
      </c>
      <c r="H754">
        <v>243.2</v>
      </c>
      <c r="I754" t="s">
        <v>29</v>
      </c>
      <c r="K754">
        <v>41</v>
      </c>
      <c r="L754" t="s">
        <v>18</v>
      </c>
      <c r="M754" t="s">
        <v>23</v>
      </c>
      <c r="N754">
        <v>4</v>
      </c>
    </row>
    <row r="755" spans="1:14">
      <c r="A755" t="s">
        <v>787</v>
      </c>
      <c r="B755">
        <v>8727</v>
      </c>
      <c r="C755">
        <v>74.62</v>
      </c>
      <c r="D755" t="s">
        <v>32</v>
      </c>
      <c r="E755">
        <v>32366</v>
      </c>
      <c r="F755">
        <v>7247</v>
      </c>
      <c r="G755">
        <v>4.2599999999999999E-2</v>
      </c>
      <c r="H755">
        <v>212.38</v>
      </c>
      <c r="I755" t="s">
        <v>17</v>
      </c>
      <c r="K755">
        <v>63</v>
      </c>
      <c r="L755" t="s">
        <v>37</v>
      </c>
      <c r="M755" t="s">
        <v>32</v>
      </c>
      <c r="N755">
        <v>1</v>
      </c>
    </row>
    <row r="756" spans="1:14">
      <c r="A756" t="s">
        <v>788</v>
      </c>
      <c r="B756">
        <v>9003</v>
      </c>
      <c r="C756">
        <v>72.28</v>
      </c>
      <c r="D756" t="s">
        <v>15</v>
      </c>
      <c r="E756">
        <v>60020</v>
      </c>
      <c r="F756">
        <v>6234</v>
      </c>
      <c r="G756">
        <v>0.18099999999999999</v>
      </c>
      <c r="H756">
        <v>457.53</v>
      </c>
      <c r="I756" t="s">
        <v>29</v>
      </c>
      <c r="K756">
        <v>43</v>
      </c>
      <c r="L756" t="s">
        <v>22</v>
      </c>
      <c r="M756" t="s">
        <v>19</v>
      </c>
      <c r="N756">
        <v>5</v>
      </c>
    </row>
    <row r="757" spans="1:14">
      <c r="A757" t="s">
        <v>789</v>
      </c>
      <c r="B757">
        <v>2084</v>
      </c>
      <c r="C757">
        <v>192.89</v>
      </c>
      <c r="D757" t="s">
        <v>28</v>
      </c>
      <c r="E757">
        <v>72793</v>
      </c>
      <c r="F757">
        <v>1567</v>
      </c>
      <c r="G757">
        <v>0.15279999999999999</v>
      </c>
      <c r="H757">
        <v>102.94</v>
      </c>
      <c r="I757" t="s">
        <v>21</v>
      </c>
      <c r="J757" s="11">
        <v>1</v>
      </c>
      <c r="K757">
        <v>21</v>
      </c>
      <c r="L757" t="s">
        <v>31</v>
      </c>
      <c r="M757" t="s">
        <v>45</v>
      </c>
    </row>
    <row r="758" spans="1:14">
      <c r="A758" t="s">
        <v>790</v>
      </c>
      <c r="B758">
        <v>1518</v>
      </c>
      <c r="C758">
        <v>137.16999999999999</v>
      </c>
      <c r="D758" t="s">
        <v>45</v>
      </c>
      <c r="E758">
        <v>85442</v>
      </c>
      <c r="F758">
        <v>2156</v>
      </c>
      <c r="G758">
        <v>0.1431</v>
      </c>
      <c r="H758">
        <v>108.06</v>
      </c>
      <c r="I758" t="s">
        <v>21</v>
      </c>
      <c r="J758" s="11">
        <v>0</v>
      </c>
      <c r="K758">
        <v>55</v>
      </c>
      <c r="L758" t="s">
        <v>31</v>
      </c>
      <c r="M758" t="s">
        <v>45</v>
      </c>
      <c r="N758">
        <v>1</v>
      </c>
    </row>
    <row r="759" spans="1:14">
      <c r="A759" t="s">
        <v>791</v>
      </c>
      <c r="B759">
        <v>1083</v>
      </c>
      <c r="C759">
        <v>81.900000000000006</v>
      </c>
      <c r="D759" t="s">
        <v>15</v>
      </c>
      <c r="E759">
        <v>96543</v>
      </c>
      <c r="F759">
        <v>5084</v>
      </c>
      <c r="H759">
        <v>264.02999999999997</v>
      </c>
      <c r="I759" t="s">
        <v>29</v>
      </c>
      <c r="J759" s="11">
        <v>1</v>
      </c>
      <c r="K759">
        <v>39</v>
      </c>
      <c r="L759" t="s">
        <v>31</v>
      </c>
      <c r="M759" t="s">
        <v>38</v>
      </c>
      <c r="N759">
        <v>4</v>
      </c>
    </row>
    <row r="760" spans="1:14">
      <c r="A760" t="s">
        <v>792</v>
      </c>
      <c r="B760">
        <v>6213</v>
      </c>
      <c r="C760">
        <v>21.71</v>
      </c>
      <c r="D760" t="s">
        <v>32</v>
      </c>
      <c r="E760">
        <v>82485</v>
      </c>
      <c r="F760">
        <v>1314</v>
      </c>
      <c r="G760">
        <v>0.17100000000000001</v>
      </c>
      <c r="H760">
        <v>11.29</v>
      </c>
      <c r="I760" t="s">
        <v>21</v>
      </c>
      <c r="J760" s="11">
        <v>0</v>
      </c>
      <c r="K760">
        <v>56</v>
      </c>
      <c r="L760" t="s">
        <v>18</v>
      </c>
      <c r="N760">
        <v>2</v>
      </c>
    </row>
    <row r="761" spans="1:14">
      <c r="A761" t="s">
        <v>793</v>
      </c>
      <c r="B761">
        <v>4376</v>
      </c>
      <c r="D761" t="s">
        <v>25</v>
      </c>
      <c r="E761">
        <v>14122</v>
      </c>
      <c r="F761">
        <v>5718</v>
      </c>
      <c r="G761">
        <v>0.14460000000000001</v>
      </c>
      <c r="I761" t="s">
        <v>17</v>
      </c>
      <c r="K761">
        <v>19</v>
      </c>
      <c r="L761" t="s">
        <v>18</v>
      </c>
      <c r="M761" t="s">
        <v>38</v>
      </c>
      <c r="N761">
        <v>4</v>
      </c>
    </row>
    <row r="762" spans="1:14">
      <c r="A762" t="s">
        <v>794</v>
      </c>
      <c r="B762">
        <v>9931</v>
      </c>
      <c r="C762">
        <v>29.24</v>
      </c>
      <c r="D762" t="s">
        <v>28</v>
      </c>
      <c r="E762">
        <v>44651</v>
      </c>
      <c r="F762">
        <v>5720</v>
      </c>
      <c r="G762">
        <v>0.1663</v>
      </c>
      <c r="H762">
        <v>67.290000000000006</v>
      </c>
      <c r="I762" t="s">
        <v>17</v>
      </c>
      <c r="J762" s="11">
        <v>1</v>
      </c>
      <c r="K762">
        <v>36</v>
      </c>
      <c r="L762" t="s">
        <v>18</v>
      </c>
      <c r="M762" t="s">
        <v>23</v>
      </c>
      <c r="N762">
        <v>1</v>
      </c>
    </row>
    <row r="763" spans="1:14">
      <c r="A763" t="s">
        <v>795</v>
      </c>
      <c r="B763">
        <v>3949</v>
      </c>
      <c r="C763">
        <v>62.26</v>
      </c>
      <c r="D763" t="s">
        <v>15</v>
      </c>
      <c r="E763">
        <v>24590</v>
      </c>
      <c r="F763">
        <v>520</v>
      </c>
      <c r="G763">
        <v>9.7699999999999995E-2</v>
      </c>
      <c r="H763">
        <v>409.73</v>
      </c>
      <c r="I763" t="s">
        <v>34</v>
      </c>
      <c r="K763">
        <v>55</v>
      </c>
      <c r="L763" t="s">
        <v>31</v>
      </c>
      <c r="M763" t="s">
        <v>23</v>
      </c>
      <c r="N763">
        <v>4</v>
      </c>
    </row>
    <row r="764" spans="1:14">
      <c r="A764" t="s">
        <v>796</v>
      </c>
      <c r="B764">
        <v>5892</v>
      </c>
      <c r="C764">
        <v>140.66999999999999</v>
      </c>
      <c r="D764" t="s">
        <v>28</v>
      </c>
      <c r="E764">
        <v>65486</v>
      </c>
      <c r="F764">
        <v>4313</v>
      </c>
      <c r="G764">
        <v>0.14130000000000001</v>
      </c>
      <c r="H764">
        <v>421.77</v>
      </c>
      <c r="I764" t="s">
        <v>34</v>
      </c>
      <c r="J764" s="11">
        <v>0</v>
      </c>
      <c r="K764">
        <v>32</v>
      </c>
      <c r="L764" t="s">
        <v>37</v>
      </c>
      <c r="M764" t="s">
        <v>23</v>
      </c>
      <c r="N764">
        <v>3</v>
      </c>
    </row>
    <row r="765" spans="1:14">
      <c r="A765" t="s">
        <v>797</v>
      </c>
      <c r="B765">
        <v>7918</v>
      </c>
      <c r="D765" t="s">
        <v>15</v>
      </c>
      <c r="E765">
        <v>41212</v>
      </c>
      <c r="F765">
        <v>6217</v>
      </c>
      <c r="G765">
        <v>0.14299999999999999</v>
      </c>
      <c r="H765">
        <v>30.95</v>
      </c>
      <c r="I765" t="s">
        <v>34</v>
      </c>
      <c r="K765">
        <v>51</v>
      </c>
      <c r="L765" t="s">
        <v>18</v>
      </c>
      <c r="N765">
        <v>3</v>
      </c>
    </row>
    <row r="766" spans="1:14">
      <c r="A766" t="s">
        <v>798</v>
      </c>
      <c r="B766">
        <v>5744</v>
      </c>
      <c r="C766">
        <v>71.33</v>
      </c>
      <c r="D766" t="s">
        <v>15</v>
      </c>
      <c r="E766">
        <v>59053</v>
      </c>
      <c r="F766">
        <v>9083</v>
      </c>
      <c r="G766">
        <v>0.1938</v>
      </c>
      <c r="H766">
        <v>399.77</v>
      </c>
      <c r="I766" t="s">
        <v>34</v>
      </c>
      <c r="J766" s="11">
        <v>1</v>
      </c>
      <c r="K766">
        <v>40</v>
      </c>
      <c r="L766" t="s">
        <v>31</v>
      </c>
      <c r="M766" t="s">
        <v>32</v>
      </c>
      <c r="N766">
        <v>2</v>
      </c>
    </row>
    <row r="767" spans="1:14">
      <c r="A767" t="s">
        <v>799</v>
      </c>
      <c r="B767">
        <v>5125</v>
      </c>
      <c r="C767">
        <v>95.71</v>
      </c>
      <c r="D767" t="s">
        <v>15</v>
      </c>
      <c r="E767">
        <v>22906</v>
      </c>
      <c r="F767">
        <v>2047</v>
      </c>
      <c r="G767">
        <v>0.1249</v>
      </c>
      <c r="H767">
        <v>274.45999999999998</v>
      </c>
      <c r="I767" t="s">
        <v>21</v>
      </c>
      <c r="K767">
        <v>52</v>
      </c>
      <c r="L767" t="s">
        <v>31</v>
      </c>
      <c r="M767" t="s">
        <v>23</v>
      </c>
      <c r="N767">
        <v>2</v>
      </c>
    </row>
    <row r="768" spans="1:14">
      <c r="A768" t="s">
        <v>800</v>
      </c>
      <c r="B768">
        <v>1925</v>
      </c>
      <c r="D768" t="s">
        <v>28</v>
      </c>
      <c r="E768">
        <v>16454</v>
      </c>
      <c r="F768">
        <v>965</v>
      </c>
      <c r="G768">
        <v>0.106</v>
      </c>
      <c r="H768">
        <v>64.83</v>
      </c>
      <c r="I768" t="s">
        <v>49</v>
      </c>
      <c r="J768" s="11">
        <v>1</v>
      </c>
      <c r="K768">
        <v>55</v>
      </c>
      <c r="L768" t="s">
        <v>31</v>
      </c>
      <c r="M768" t="s">
        <v>45</v>
      </c>
      <c r="N768">
        <v>1</v>
      </c>
    </row>
    <row r="769" spans="1:14">
      <c r="A769" t="s">
        <v>801</v>
      </c>
      <c r="B769">
        <v>6107</v>
      </c>
      <c r="C769">
        <v>16.53</v>
      </c>
      <c r="D769" t="s">
        <v>32</v>
      </c>
      <c r="E769">
        <v>3955</v>
      </c>
      <c r="F769">
        <v>2632</v>
      </c>
      <c r="G769">
        <v>9.01E-2</v>
      </c>
      <c r="H769">
        <v>336</v>
      </c>
      <c r="I769" t="s">
        <v>26</v>
      </c>
      <c r="K769">
        <v>38</v>
      </c>
      <c r="L769" t="s">
        <v>22</v>
      </c>
      <c r="M769" t="s">
        <v>32</v>
      </c>
      <c r="N769">
        <v>4</v>
      </c>
    </row>
    <row r="770" spans="1:14">
      <c r="A770" t="s">
        <v>802</v>
      </c>
      <c r="B770">
        <v>7054</v>
      </c>
      <c r="D770" t="s">
        <v>25</v>
      </c>
      <c r="E770">
        <v>13747</v>
      </c>
      <c r="F770">
        <v>2528</v>
      </c>
      <c r="G770">
        <v>0.1462</v>
      </c>
      <c r="H770">
        <v>370.67</v>
      </c>
      <c r="I770" t="s">
        <v>49</v>
      </c>
      <c r="K770">
        <v>26</v>
      </c>
      <c r="L770" t="s">
        <v>18</v>
      </c>
      <c r="N770">
        <v>5</v>
      </c>
    </row>
    <row r="771" spans="1:14">
      <c r="A771" t="s">
        <v>803</v>
      </c>
      <c r="B771">
        <v>9068</v>
      </c>
      <c r="C771">
        <v>123.91</v>
      </c>
      <c r="D771" t="s">
        <v>25</v>
      </c>
      <c r="E771">
        <v>65818</v>
      </c>
      <c r="F771">
        <v>9562</v>
      </c>
      <c r="G771">
        <v>0.1069</v>
      </c>
      <c r="H771">
        <v>11.16</v>
      </c>
      <c r="I771" t="s">
        <v>34</v>
      </c>
      <c r="K771">
        <v>64</v>
      </c>
      <c r="L771" t="s">
        <v>22</v>
      </c>
      <c r="M771" t="s">
        <v>23</v>
      </c>
      <c r="N771">
        <v>1</v>
      </c>
    </row>
    <row r="772" spans="1:14">
      <c r="A772" t="s">
        <v>804</v>
      </c>
      <c r="B772">
        <v>6581</v>
      </c>
      <c r="C772">
        <v>140.38</v>
      </c>
      <c r="D772" t="s">
        <v>32</v>
      </c>
      <c r="E772">
        <v>39869</v>
      </c>
      <c r="F772">
        <v>2898</v>
      </c>
      <c r="G772">
        <v>2.75E-2</v>
      </c>
      <c r="H772">
        <v>88.01</v>
      </c>
      <c r="I772" t="s">
        <v>21</v>
      </c>
      <c r="J772" s="11">
        <v>0</v>
      </c>
      <c r="K772">
        <v>19</v>
      </c>
      <c r="L772" t="s">
        <v>37</v>
      </c>
      <c r="M772" t="s">
        <v>38</v>
      </c>
      <c r="N772">
        <v>3</v>
      </c>
    </row>
    <row r="773" spans="1:14">
      <c r="A773" t="s">
        <v>805</v>
      </c>
      <c r="B773">
        <v>1764</v>
      </c>
      <c r="C773">
        <v>55.08</v>
      </c>
      <c r="D773" t="s">
        <v>32</v>
      </c>
      <c r="E773">
        <v>53919</v>
      </c>
      <c r="F773">
        <v>8196</v>
      </c>
      <c r="G773">
        <v>0.1646</v>
      </c>
      <c r="H773">
        <v>488.97</v>
      </c>
      <c r="I773" t="s">
        <v>21</v>
      </c>
      <c r="K773">
        <v>22</v>
      </c>
      <c r="L773" t="s">
        <v>18</v>
      </c>
      <c r="N773">
        <v>2</v>
      </c>
    </row>
    <row r="774" spans="1:14">
      <c r="A774" t="s">
        <v>806</v>
      </c>
      <c r="B774">
        <v>3533</v>
      </c>
      <c r="D774" t="s">
        <v>40</v>
      </c>
      <c r="E774">
        <v>83456</v>
      </c>
      <c r="F774">
        <v>1678</v>
      </c>
      <c r="G774">
        <v>2.86E-2</v>
      </c>
      <c r="I774" t="s">
        <v>17</v>
      </c>
      <c r="J774" s="11">
        <v>1</v>
      </c>
      <c r="K774">
        <v>27</v>
      </c>
      <c r="L774" t="s">
        <v>18</v>
      </c>
      <c r="M774" t="s">
        <v>23</v>
      </c>
      <c r="N774">
        <v>3</v>
      </c>
    </row>
    <row r="775" spans="1:14">
      <c r="A775" t="s">
        <v>807</v>
      </c>
      <c r="B775">
        <v>6827</v>
      </c>
      <c r="C775">
        <v>138.66999999999999</v>
      </c>
      <c r="D775" t="s">
        <v>15</v>
      </c>
      <c r="E775">
        <v>80769</v>
      </c>
      <c r="F775" t="s">
        <v>16</v>
      </c>
      <c r="G775">
        <v>8.4199999999999997E-2</v>
      </c>
      <c r="H775">
        <v>258.94</v>
      </c>
      <c r="I775" t="s">
        <v>26</v>
      </c>
      <c r="K775">
        <v>49</v>
      </c>
      <c r="L775" t="s">
        <v>22</v>
      </c>
      <c r="N775">
        <v>4</v>
      </c>
    </row>
    <row r="776" spans="1:14">
      <c r="A776" t="s">
        <v>808</v>
      </c>
      <c r="B776">
        <v>9083</v>
      </c>
      <c r="C776">
        <v>189.83</v>
      </c>
      <c r="D776" t="s">
        <v>28</v>
      </c>
      <c r="E776">
        <v>90732</v>
      </c>
      <c r="F776">
        <v>4067</v>
      </c>
      <c r="G776">
        <v>5.3199999999999997E-2</v>
      </c>
      <c r="H776">
        <v>82.08</v>
      </c>
      <c r="I776" t="s">
        <v>34</v>
      </c>
      <c r="K776">
        <v>38</v>
      </c>
      <c r="L776" t="s">
        <v>31</v>
      </c>
      <c r="M776" t="s">
        <v>23</v>
      </c>
      <c r="N776">
        <v>2</v>
      </c>
    </row>
    <row r="777" spans="1:14">
      <c r="A777" t="s">
        <v>809</v>
      </c>
      <c r="B777">
        <v>7516</v>
      </c>
      <c r="D777" t="s">
        <v>32</v>
      </c>
      <c r="E777">
        <v>20374</v>
      </c>
      <c r="F777">
        <v>3307</v>
      </c>
      <c r="G777">
        <v>3.27E-2</v>
      </c>
      <c r="H777">
        <v>386.59</v>
      </c>
      <c r="I777" t="s">
        <v>29</v>
      </c>
      <c r="J777" s="11">
        <v>0</v>
      </c>
      <c r="K777">
        <v>29</v>
      </c>
      <c r="L777" t="s">
        <v>18</v>
      </c>
      <c r="M777" t="s">
        <v>32</v>
      </c>
      <c r="N777">
        <v>1</v>
      </c>
    </row>
    <row r="778" spans="1:14">
      <c r="A778" t="s">
        <v>810</v>
      </c>
      <c r="B778">
        <v>8980</v>
      </c>
      <c r="C778">
        <v>114.05</v>
      </c>
      <c r="D778" t="s">
        <v>25</v>
      </c>
      <c r="E778">
        <v>64854</v>
      </c>
      <c r="F778">
        <v>6882</v>
      </c>
      <c r="G778">
        <v>7.5999999999999998E-2</v>
      </c>
      <c r="H778">
        <v>177.31</v>
      </c>
      <c r="I778" t="s">
        <v>26</v>
      </c>
      <c r="K778">
        <v>34</v>
      </c>
      <c r="L778" t="s">
        <v>31</v>
      </c>
      <c r="M778" t="s">
        <v>19</v>
      </c>
      <c r="N778">
        <v>5</v>
      </c>
    </row>
    <row r="779" spans="1:14">
      <c r="A779" t="s">
        <v>811</v>
      </c>
      <c r="B779">
        <v>2837</v>
      </c>
      <c r="C779">
        <v>179.87</v>
      </c>
      <c r="D779" t="s">
        <v>25</v>
      </c>
      <c r="E779">
        <v>87204</v>
      </c>
      <c r="F779">
        <v>6612</v>
      </c>
      <c r="G779">
        <v>0.13089999999999999</v>
      </c>
      <c r="H779">
        <v>260.89</v>
      </c>
      <c r="I779" t="s">
        <v>34</v>
      </c>
      <c r="K779">
        <v>33</v>
      </c>
      <c r="L779" t="s">
        <v>22</v>
      </c>
      <c r="M779" t="s">
        <v>23</v>
      </c>
      <c r="N779">
        <v>2</v>
      </c>
    </row>
    <row r="780" spans="1:14">
      <c r="A780" t="s">
        <v>812</v>
      </c>
      <c r="B780">
        <v>6636</v>
      </c>
      <c r="C780">
        <v>63.93</v>
      </c>
      <c r="D780" t="s">
        <v>40</v>
      </c>
      <c r="E780">
        <v>5202</v>
      </c>
      <c r="F780">
        <v>2763</v>
      </c>
      <c r="I780" t="s">
        <v>17</v>
      </c>
      <c r="J780" s="11">
        <v>1</v>
      </c>
      <c r="L780" t="s">
        <v>31</v>
      </c>
      <c r="M780" t="s">
        <v>38</v>
      </c>
      <c r="N780">
        <v>1</v>
      </c>
    </row>
    <row r="781" spans="1:14">
      <c r="A781" t="s">
        <v>813</v>
      </c>
      <c r="B781">
        <v>6217</v>
      </c>
      <c r="C781">
        <v>187.73</v>
      </c>
      <c r="D781" t="s">
        <v>25</v>
      </c>
      <c r="E781">
        <v>24202</v>
      </c>
      <c r="F781">
        <v>6859</v>
      </c>
      <c r="G781">
        <v>0.1857</v>
      </c>
      <c r="H781">
        <v>320.32</v>
      </c>
      <c r="I781" t="s">
        <v>21</v>
      </c>
      <c r="J781" s="11">
        <v>0</v>
      </c>
      <c r="K781">
        <v>26</v>
      </c>
      <c r="L781" t="s">
        <v>22</v>
      </c>
      <c r="M781" t="s">
        <v>19</v>
      </c>
      <c r="N781">
        <v>4</v>
      </c>
    </row>
    <row r="782" spans="1:14">
      <c r="A782" t="s">
        <v>814</v>
      </c>
      <c r="B782">
        <v>6178</v>
      </c>
      <c r="C782">
        <v>193.13</v>
      </c>
      <c r="D782" t="s">
        <v>15</v>
      </c>
      <c r="E782">
        <v>34537</v>
      </c>
      <c r="F782">
        <v>4334</v>
      </c>
      <c r="G782">
        <v>0.186</v>
      </c>
      <c r="H782">
        <v>422.27</v>
      </c>
      <c r="I782" t="s">
        <v>34</v>
      </c>
      <c r="K782">
        <v>62</v>
      </c>
      <c r="L782" t="s">
        <v>22</v>
      </c>
      <c r="N782">
        <v>2</v>
      </c>
    </row>
    <row r="783" spans="1:14">
      <c r="A783" t="s">
        <v>815</v>
      </c>
      <c r="B783">
        <v>7086</v>
      </c>
      <c r="C783">
        <v>56.59</v>
      </c>
      <c r="D783" t="s">
        <v>40</v>
      </c>
      <c r="E783">
        <v>15442</v>
      </c>
      <c r="F783">
        <v>6286</v>
      </c>
      <c r="H783">
        <v>151.11000000000001</v>
      </c>
      <c r="I783" t="s">
        <v>29</v>
      </c>
      <c r="K783">
        <v>56</v>
      </c>
      <c r="L783" t="s">
        <v>22</v>
      </c>
      <c r="M783" t="s">
        <v>32</v>
      </c>
      <c r="N783">
        <v>1</v>
      </c>
    </row>
    <row r="784" spans="1:14">
      <c r="A784" t="s">
        <v>816</v>
      </c>
      <c r="B784">
        <v>3618</v>
      </c>
      <c r="C784">
        <v>176.07</v>
      </c>
      <c r="D784" t="s">
        <v>45</v>
      </c>
      <c r="E784">
        <v>73230</v>
      </c>
      <c r="F784">
        <v>2127</v>
      </c>
      <c r="G784">
        <v>0.1341</v>
      </c>
      <c r="I784" t="s">
        <v>29</v>
      </c>
      <c r="J784" s="11">
        <v>0</v>
      </c>
      <c r="K784">
        <v>34</v>
      </c>
      <c r="L784" t="s">
        <v>37</v>
      </c>
      <c r="N784">
        <v>3</v>
      </c>
    </row>
    <row r="785" spans="1:14">
      <c r="A785" t="s">
        <v>817</v>
      </c>
      <c r="B785">
        <v>6477</v>
      </c>
      <c r="C785">
        <v>153.26</v>
      </c>
      <c r="D785" t="s">
        <v>28</v>
      </c>
      <c r="E785">
        <v>46683</v>
      </c>
      <c r="F785">
        <v>2728</v>
      </c>
      <c r="G785">
        <v>2.5899999999999999E-2</v>
      </c>
      <c r="H785">
        <v>303.23</v>
      </c>
      <c r="I785" t="s">
        <v>17</v>
      </c>
      <c r="K785">
        <v>60</v>
      </c>
      <c r="L785" t="s">
        <v>22</v>
      </c>
      <c r="M785" t="s">
        <v>19</v>
      </c>
      <c r="N785">
        <v>2</v>
      </c>
    </row>
    <row r="786" spans="1:14">
      <c r="A786" t="s">
        <v>818</v>
      </c>
      <c r="B786">
        <v>5530</v>
      </c>
      <c r="C786">
        <v>151.79</v>
      </c>
      <c r="D786" t="s">
        <v>25</v>
      </c>
      <c r="E786">
        <v>62523</v>
      </c>
      <c r="F786">
        <v>4689</v>
      </c>
      <c r="G786">
        <v>0.15709999999999999</v>
      </c>
      <c r="H786">
        <v>312.87</v>
      </c>
      <c r="I786" t="s">
        <v>17</v>
      </c>
      <c r="J786" s="11">
        <v>0</v>
      </c>
      <c r="K786">
        <v>23</v>
      </c>
      <c r="L786" t="s">
        <v>18</v>
      </c>
      <c r="N786">
        <v>2</v>
      </c>
    </row>
    <row r="787" spans="1:14">
      <c r="A787" t="s">
        <v>819</v>
      </c>
      <c r="B787">
        <v>7275</v>
      </c>
      <c r="C787">
        <v>39.85</v>
      </c>
      <c r="D787" t="s">
        <v>32</v>
      </c>
      <c r="E787">
        <v>53455</v>
      </c>
      <c r="F787">
        <v>8219</v>
      </c>
      <c r="G787">
        <v>0.17019999999999999</v>
      </c>
      <c r="H787">
        <v>91.11</v>
      </c>
      <c r="I787" t="s">
        <v>17</v>
      </c>
      <c r="K787">
        <v>65</v>
      </c>
      <c r="L787" t="s">
        <v>31</v>
      </c>
      <c r="M787" t="s">
        <v>32</v>
      </c>
      <c r="N787">
        <v>3</v>
      </c>
    </row>
    <row r="788" spans="1:14">
      <c r="A788" t="s">
        <v>820</v>
      </c>
      <c r="B788">
        <v>1088</v>
      </c>
      <c r="C788">
        <v>25.26</v>
      </c>
      <c r="D788" t="s">
        <v>28</v>
      </c>
      <c r="E788">
        <v>5014</v>
      </c>
      <c r="F788">
        <v>770</v>
      </c>
      <c r="G788">
        <v>0.14799999999999999</v>
      </c>
      <c r="H788">
        <v>362.86</v>
      </c>
      <c r="I788" t="s">
        <v>21</v>
      </c>
      <c r="J788" s="11">
        <v>1</v>
      </c>
      <c r="K788">
        <v>46</v>
      </c>
      <c r="L788" t="s">
        <v>22</v>
      </c>
    </row>
    <row r="789" spans="1:14">
      <c r="A789" t="s">
        <v>821</v>
      </c>
      <c r="B789">
        <v>6081</v>
      </c>
      <c r="C789">
        <v>151.72999999999999</v>
      </c>
      <c r="D789" t="s">
        <v>32</v>
      </c>
      <c r="E789">
        <v>59167</v>
      </c>
      <c r="F789">
        <v>182</v>
      </c>
      <c r="G789">
        <v>2.1399999999999999E-2</v>
      </c>
      <c r="H789">
        <v>331.95</v>
      </c>
      <c r="I789" t="s">
        <v>17</v>
      </c>
      <c r="J789" s="11">
        <v>1</v>
      </c>
      <c r="K789">
        <v>20</v>
      </c>
      <c r="L789" t="s">
        <v>31</v>
      </c>
      <c r="M789" t="s">
        <v>19</v>
      </c>
      <c r="N789">
        <v>2</v>
      </c>
    </row>
    <row r="790" spans="1:14">
      <c r="A790" t="s">
        <v>822</v>
      </c>
      <c r="B790">
        <v>8177</v>
      </c>
      <c r="D790" t="s">
        <v>15</v>
      </c>
      <c r="E790">
        <v>68741</v>
      </c>
      <c r="F790">
        <v>6391</v>
      </c>
      <c r="G790">
        <v>3.1600000000000003E-2</v>
      </c>
      <c r="H790">
        <v>41.51</v>
      </c>
      <c r="I790" t="s">
        <v>21</v>
      </c>
      <c r="J790" s="11">
        <v>1</v>
      </c>
      <c r="K790">
        <v>36</v>
      </c>
      <c r="L790" t="s">
        <v>31</v>
      </c>
      <c r="M790" t="s">
        <v>19</v>
      </c>
      <c r="N790">
        <v>4</v>
      </c>
    </row>
    <row r="791" spans="1:14">
      <c r="A791" t="s">
        <v>823</v>
      </c>
      <c r="B791">
        <v>9276</v>
      </c>
      <c r="D791" t="s">
        <v>28</v>
      </c>
      <c r="E791">
        <v>5752</v>
      </c>
      <c r="F791">
        <v>7197</v>
      </c>
      <c r="G791">
        <v>3.6499999999999998E-2</v>
      </c>
      <c r="H791">
        <v>32.909999999999997</v>
      </c>
      <c r="I791" t="s">
        <v>26</v>
      </c>
      <c r="K791">
        <v>28</v>
      </c>
      <c r="L791" t="s">
        <v>37</v>
      </c>
      <c r="M791" t="s">
        <v>32</v>
      </c>
      <c r="N791">
        <v>3</v>
      </c>
    </row>
    <row r="792" spans="1:14">
      <c r="A792" t="s">
        <v>824</v>
      </c>
      <c r="B792">
        <v>7773</v>
      </c>
      <c r="C792">
        <v>72.459999999999994</v>
      </c>
      <c r="D792" t="s">
        <v>15</v>
      </c>
      <c r="E792">
        <v>48280</v>
      </c>
      <c r="F792">
        <v>7654</v>
      </c>
      <c r="G792">
        <v>0.18629999999999999</v>
      </c>
      <c r="H792">
        <v>96.9</v>
      </c>
      <c r="I792" t="s">
        <v>17</v>
      </c>
      <c r="K792">
        <v>52</v>
      </c>
      <c r="L792" t="s">
        <v>22</v>
      </c>
      <c r="N792">
        <v>3</v>
      </c>
    </row>
    <row r="793" spans="1:14">
      <c r="A793" t="s">
        <v>825</v>
      </c>
      <c r="B793">
        <v>6821</v>
      </c>
      <c r="C793">
        <v>91.38</v>
      </c>
      <c r="D793" t="s">
        <v>25</v>
      </c>
      <c r="E793">
        <v>98280</v>
      </c>
      <c r="F793">
        <v>1929</v>
      </c>
      <c r="G793">
        <v>1.0699999999999999E-2</v>
      </c>
      <c r="H793">
        <v>419.39</v>
      </c>
      <c r="I793" t="s">
        <v>21</v>
      </c>
      <c r="K793">
        <v>62</v>
      </c>
      <c r="L793" t="s">
        <v>37</v>
      </c>
      <c r="M793" t="s">
        <v>23</v>
      </c>
    </row>
    <row r="794" spans="1:14">
      <c r="A794" t="s">
        <v>826</v>
      </c>
      <c r="B794">
        <v>7000</v>
      </c>
      <c r="C794">
        <v>139.51</v>
      </c>
      <c r="D794" t="s">
        <v>15</v>
      </c>
      <c r="E794">
        <v>72411</v>
      </c>
      <c r="F794">
        <v>439</v>
      </c>
      <c r="G794">
        <v>7.8200000000000006E-2</v>
      </c>
      <c r="H794">
        <v>361.52</v>
      </c>
      <c r="I794" t="s">
        <v>26</v>
      </c>
      <c r="J794" s="11">
        <v>1</v>
      </c>
      <c r="K794">
        <v>62</v>
      </c>
      <c r="L794" t="s">
        <v>31</v>
      </c>
      <c r="M794" t="s">
        <v>38</v>
      </c>
      <c r="N794">
        <v>4</v>
      </c>
    </row>
    <row r="795" spans="1:14">
      <c r="A795" t="s">
        <v>827</v>
      </c>
      <c r="B795">
        <v>5088</v>
      </c>
      <c r="C795">
        <v>13.91</v>
      </c>
      <c r="D795" t="s">
        <v>32</v>
      </c>
      <c r="E795">
        <v>41723</v>
      </c>
      <c r="F795">
        <v>8412</v>
      </c>
      <c r="G795">
        <v>8.2299999999999998E-2</v>
      </c>
      <c r="H795">
        <v>293.5</v>
      </c>
      <c r="I795" t="s">
        <v>29</v>
      </c>
      <c r="K795">
        <v>28</v>
      </c>
      <c r="L795" t="s">
        <v>31</v>
      </c>
      <c r="M795" t="s">
        <v>38</v>
      </c>
      <c r="N795">
        <v>2</v>
      </c>
    </row>
    <row r="796" spans="1:14">
      <c r="A796" t="s">
        <v>828</v>
      </c>
      <c r="B796">
        <v>9879</v>
      </c>
      <c r="C796">
        <v>139.08000000000001</v>
      </c>
      <c r="D796" t="s">
        <v>45</v>
      </c>
      <c r="E796">
        <v>87030</v>
      </c>
      <c r="F796">
        <v>2104</v>
      </c>
      <c r="G796">
        <v>4.8599999999999997E-2</v>
      </c>
      <c r="H796">
        <v>55.71</v>
      </c>
      <c r="I796" t="s">
        <v>29</v>
      </c>
      <c r="J796" s="11">
        <v>0</v>
      </c>
      <c r="K796">
        <v>39</v>
      </c>
      <c r="L796" t="s">
        <v>22</v>
      </c>
      <c r="M796" t="s">
        <v>38</v>
      </c>
      <c r="N796">
        <v>2</v>
      </c>
    </row>
    <row r="797" spans="1:14">
      <c r="A797" t="s">
        <v>829</v>
      </c>
      <c r="B797">
        <v>3491</v>
      </c>
      <c r="C797">
        <v>46.12</v>
      </c>
      <c r="D797" t="s">
        <v>32</v>
      </c>
      <c r="E797">
        <v>65175</v>
      </c>
      <c r="F797">
        <v>9424</v>
      </c>
      <c r="G797">
        <v>3.5400000000000001E-2</v>
      </c>
      <c r="H797">
        <v>313.56</v>
      </c>
      <c r="I797" t="s">
        <v>26</v>
      </c>
      <c r="K797">
        <v>46</v>
      </c>
      <c r="L797" t="s">
        <v>22</v>
      </c>
      <c r="M797" t="s">
        <v>23</v>
      </c>
      <c r="N797">
        <v>3</v>
      </c>
    </row>
    <row r="798" spans="1:14">
      <c r="A798" t="s">
        <v>830</v>
      </c>
      <c r="B798">
        <v>5779</v>
      </c>
      <c r="C798">
        <v>61.33</v>
      </c>
      <c r="D798" t="s">
        <v>40</v>
      </c>
      <c r="E798">
        <v>68321</v>
      </c>
      <c r="F798" t="s">
        <v>16</v>
      </c>
      <c r="G798">
        <v>0.12809999999999999</v>
      </c>
      <c r="H798">
        <v>88.05</v>
      </c>
      <c r="I798" t="s">
        <v>21</v>
      </c>
      <c r="K798">
        <v>64</v>
      </c>
      <c r="L798" t="s">
        <v>18</v>
      </c>
      <c r="M798" t="s">
        <v>32</v>
      </c>
      <c r="N798">
        <v>2</v>
      </c>
    </row>
    <row r="799" spans="1:14">
      <c r="A799" t="s">
        <v>831</v>
      </c>
      <c r="B799">
        <v>2266</v>
      </c>
      <c r="C799">
        <v>91.76</v>
      </c>
      <c r="D799" t="s">
        <v>40</v>
      </c>
      <c r="E799">
        <v>42237</v>
      </c>
      <c r="F799">
        <v>1302</v>
      </c>
      <c r="I799" t="s">
        <v>17</v>
      </c>
      <c r="K799">
        <v>36</v>
      </c>
      <c r="L799" t="s">
        <v>37</v>
      </c>
      <c r="M799" t="s">
        <v>32</v>
      </c>
      <c r="N799">
        <v>3</v>
      </c>
    </row>
    <row r="800" spans="1:14">
      <c r="A800" t="s">
        <v>832</v>
      </c>
      <c r="B800">
        <v>7176</v>
      </c>
      <c r="C800">
        <v>187.39</v>
      </c>
      <c r="D800" t="s">
        <v>45</v>
      </c>
      <c r="E800">
        <v>99794</v>
      </c>
      <c r="F800">
        <v>962</v>
      </c>
      <c r="G800">
        <v>5.9400000000000001E-2</v>
      </c>
      <c r="H800">
        <v>129.36000000000001</v>
      </c>
      <c r="I800" t="s">
        <v>21</v>
      </c>
      <c r="J800" s="11">
        <v>1</v>
      </c>
      <c r="K800">
        <v>38</v>
      </c>
      <c r="L800" t="s">
        <v>37</v>
      </c>
      <c r="M800" t="s">
        <v>32</v>
      </c>
    </row>
    <row r="801" spans="1:14">
      <c r="A801" t="s">
        <v>833</v>
      </c>
      <c r="B801">
        <v>2555</v>
      </c>
      <c r="C801">
        <v>98.03</v>
      </c>
      <c r="D801" t="s">
        <v>15</v>
      </c>
      <c r="E801">
        <v>96106</v>
      </c>
      <c r="F801">
        <v>8433</v>
      </c>
      <c r="G801">
        <v>0.1353</v>
      </c>
      <c r="H801">
        <v>336.06</v>
      </c>
      <c r="I801" t="s">
        <v>49</v>
      </c>
      <c r="J801" s="11">
        <v>1</v>
      </c>
      <c r="K801">
        <v>37</v>
      </c>
      <c r="L801" t="s">
        <v>31</v>
      </c>
      <c r="M801" t="s">
        <v>38</v>
      </c>
      <c r="N801">
        <v>4</v>
      </c>
    </row>
    <row r="802" spans="1:14">
      <c r="A802" t="s">
        <v>834</v>
      </c>
      <c r="B802">
        <v>3349</v>
      </c>
      <c r="C802">
        <v>163.51</v>
      </c>
      <c r="D802" t="s">
        <v>40</v>
      </c>
      <c r="E802">
        <v>45621</v>
      </c>
      <c r="F802" t="s">
        <v>16</v>
      </c>
      <c r="G802">
        <v>1.43E-2</v>
      </c>
      <c r="H802">
        <v>488.45</v>
      </c>
      <c r="I802" t="s">
        <v>26</v>
      </c>
      <c r="K802">
        <v>57</v>
      </c>
      <c r="L802" t="s">
        <v>22</v>
      </c>
      <c r="N802">
        <v>1</v>
      </c>
    </row>
    <row r="803" spans="1:14">
      <c r="A803" t="s">
        <v>835</v>
      </c>
      <c r="B803">
        <v>2198</v>
      </c>
      <c r="C803">
        <v>23.9</v>
      </c>
      <c r="D803" t="s">
        <v>32</v>
      </c>
      <c r="E803">
        <v>54907</v>
      </c>
      <c r="F803">
        <v>1060</v>
      </c>
      <c r="G803">
        <v>7.8600000000000003E-2</v>
      </c>
      <c r="I803" t="s">
        <v>29</v>
      </c>
      <c r="K803">
        <v>42</v>
      </c>
      <c r="L803" t="s">
        <v>22</v>
      </c>
      <c r="M803" t="s">
        <v>38</v>
      </c>
      <c r="N803">
        <v>4</v>
      </c>
    </row>
    <row r="804" spans="1:14">
      <c r="A804" t="s">
        <v>836</v>
      </c>
      <c r="B804">
        <v>4650</v>
      </c>
      <c r="C804">
        <v>180.06</v>
      </c>
      <c r="D804" t="s">
        <v>25</v>
      </c>
      <c r="E804">
        <v>45918</v>
      </c>
      <c r="F804">
        <v>358</v>
      </c>
      <c r="G804">
        <v>0.12959999999999999</v>
      </c>
      <c r="I804" t="s">
        <v>17</v>
      </c>
      <c r="K804">
        <v>65</v>
      </c>
      <c r="L804" t="s">
        <v>37</v>
      </c>
      <c r="M804" t="s">
        <v>19</v>
      </c>
      <c r="N804">
        <v>3</v>
      </c>
    </row>
    <row r="805" spans="1:14">
      <c r="A805" t="s">
        <v>837</v>
      </c>
      <c r="B805">
        <v>5739</v>
      </c>
      <c r="C805">
        <v>83.48</v>
      </c>
      <c r="D805" t="s">
        <v>40</v>
      </c>
      <c r="E805">
        <v>92598</v>
      </c>
      <c r="F805">
        <v>3385</v>
      </c>
      <c r="G805">
        <v>0.11559999999999999</v>
      </c>
      <c r="I805" t="s">
        <v>21</v>
      </c>
      <c r="K805">
        <v>39</v>
      </c>
      <c r="L805" t="s">
        <v>31</v>
      </c>
      <c r="M805" t="s">
        <v>19</v>
      </c>
      <c r="N805">
        <v>2</v>
      </c>
    </row>
    <row r="806" spans="1:14">
      <c r="A806" t="s">
        <v>838</v>
      </c>
      <c r="B806">
        <v>8561</v>
      </c>
      <c r="C806">
        <v>187.95</v>
      </c>
      <c r="D806" t="s">
        <v>45</v>
      </c>
      <c r="E806">
        <v>79575</v>
      </c>
      <c r="F806">
        <v>9609</v>
      </c>
      <c r="G806">
        <v>0.16159999999999999</v>
      </c>
      <c r="H806">
        <v>250.68</v>
      </c>
      <c r="I806" t="s">
        <v>29</v>
      </c>
      <c r="L806" t="s">
        <v>18</v>
      </c>
      <c r="M806" t="s">
        <v>19</v>
      </c>
    </row>
    <row r="807" spans="1:14">
      <c r="A807" t="s">
        <v>839</v>
      </c>
      <c r="B807">
        <v>7459</v>
      </c>
      <c r="C807">
        <v>103.9</v>
      </c>
      <c r="D807" t="s">
        <v>25</v>
      </c>
      <c r="E807">
        <v>75832</v>
      </c>
      <c r="F807">
        <v>8124</v>
      </c>
      <c r="G807">
        <v>3.0700000000000002E-2</v>
      </c>
      <c r="H807">
        <v>280.52999999999997</v>
      </c>
      <c r="I807" t="s">
        <v>17</v>
      </c>
      <c r="K807">
        <v>35</v>
      </c>
      <c r="L807" t="s">
        <v>37</v>
      </c>
      <c r="M807" t="s">
        <v>19</v>
      </c>
      <c r="N807">
        <v>3</v>
      </c>
    </row>
    <row r="808" spans="1:14">
      <c r="A808" t="s">
        <v>840</v>
      </c>
      <c r="B808">
        <v>8927</v>
      </c>
      <c r="C808">
        <v>154.30000000000001</v>
      </c>
      <c r="D808" t="s">
        <v>40</v>
      </c>
      <c r="E808">
        <v>66064</v>
      </c>
      <c r="F808">
        <v>1082</v>
      </c>
      <c r="G808">
        <v>6.9900000000000004E-2</v>
      </c>
      <c r="H808">
        <v>37.25</v>
      </c>
      <c r="I808" t="s">
        <v>34</v>
      </c>
      <c r="K808">
        <v>56</v>
      </c>
      <c r="L808" t="s">
        <v>37</v>
      </c>
      <c r="N808">
        <v>5</v>
      </c>
    </row>
    <row r="809" spans="1:14">
      <c r="A809" t="s">
        <v>841</v>
      </c>
      <c r="B809">
        <v>2107</v>
      </c>
      <c r="C809">
        <v>181.35</v>
      </c>
      <c r="D809" t="s">
        <v>32</v>
      </c>
      <c r="E809">
        <v>9405</v>
      </c>
      <c r="F809">
        <v>9402</v>
      </c>
      <c r="G809">
        <v>0.1158</v>
      </c>
      <c r="H809">
        <v>111.9</v>
      </c>
      <c r="I809" t="s">
        <v>17</v>
      </c>
      <c r="K809">
        <v>51</v>
      </c>
      <c r="L809" t="s">
        <v>18</v>
      </c>
      <c r="M809" t="s">
        <v>19</v>
      </c>
      <c r="N809">
        <v>2</v>
      </c>
    </row>
    <row r="810" spans="1:14">
      <c r="A810" t="s">
        <v>842</v>
      </c>
      <c r="B810">
        <v>7836</v>
      </c>
      <c r="C810">
        <v>141.47999999999999</v>
      </c>
      <c r="D810" t="s">
        <v>15</v>
      </c>
      <c r="E810">
        <v>35996</v>
      </c>
      <c r="F810">
        <v>1105</v>
      </c>
      <c r="G810">
        <v>0.17860000000000001</v>
      </c>
      <c r="H810">
        <v>343.47</v>
      </c>
      <c r="I810" t="s">
        <v>17</v>
      </c>
      <c r="K810">
        <v>23</v>
      </c>
      <c r="L810" t="s">
        <v>18</v>
      </c>
      <c r="M810" t="s">
        <v>38</v>
      </c>
      <c r="N810">
        <v>1</v>
      </c>
    </row>
    <row r="811" spans="1:14">
      <c r="A811" t="s">
        <v>843</v>
      </c>
      <c r="B811">
        <v>9286</v>
      </c>
      <c r="C811">
        <v>78.06</v>
      </c>
      <c r="D811" t="s">
        <v>28</v>
      </c>
      <c r="E811">
        <v>32319</v>
      </c>
      <c r="F811">
        <v>6412</v>
      </c>
      <c r="H811">
        <v>232.28</v>
      </c>
      <c r="I811" t="s">
        <v>21</v>
      </c>
      <c r="J811" s="11">
        <v>1</v>
      </c>
      <c r="K811">
        <v>26</v>
      </c>
      <c r="L811" t="s">
        <v>37</v>
      </c>
      <c r="M811" t="s">
        <v>19</v>
      </c>
      <c r="N811">
        <v>3</v>
      </c>
    </row>
    <row r="812" spans="1:14">
      <c r="A812" t="s">
        <v>844</v>
      </c>
      <c r="B812">
        <v>8159</v>
      </c>
      <c r="C812">
        <v>162.72999999999999</v>
      </c>
      <c r="D812" t="s">
        <v>25</v>
      </c>
      <c r="E812">
        <v>12399</v>
      </c>
      <c r="F812">
        <v>2217</v>
      </c>
      <c r="G812">
        <v>0.16159999999999999</v>
      </c>
      <c r="H812">
        <v>494.85</v>
      </c>
      <c r="I812" t="s">
        <v>34</v>
      </c>
      <c r="J812" s="11">
        <v>0</v>
      </c>
      <c r="K812">
        <v>34</v>
      </c>
      <c r="L812" t="s">
        <v>37</v>
      </c>
      <c r="M812" t="s">
        <v>32</v>
      </c>
      <c r="N812">
        <v>3</v>
      </c>
    </row>
    <row r="813" spans="1:14">
      <c r="A813" t="s">
        <v>845</v>
      </c>
      <c r="B813">
        <v>4631</v>
      </c>
      <c r="C813">
        <v>193.06</v>
      </c>
      <c r="D813" t="s">
        <v>15</v>
      </c>
      <c r="E813">
        <v>86755</v>
      </c>
      <c r="F813">
        <v>2343</v>
      </c>
      <c r="G813">
        <v>0.15529999999999999</v>
      </c>
      <c r="H813">
        <v>85.35</v>
      </c>
      <c r="I813" t="s">
        <v>21</v>
      </c>
      <c r="K813">
        <v>29</v>
      </c>
      <c r="L813" t="s">
        <v>22</v>
      </c>
      <c r="M813" t="s">
        <v>38</v>
      </c>
      <c r="N813">
        <v>4</v>
      </c>
    </row>
    <row r="814" spans="1:14">
      <c r="A814" t="s">
        <v>846</v>
      </c>
      <c r="B814">
        <v>5408</v>
      </c>
      <c r="C814">
        <v>118.85</v>
      </c>
      <c r="D814" t="s">
        <v>32</v>
      </c>
      <c r="E814">
        <v>61564</v>
      </c>
      <c r="F814">
        <v>7483</v>
      </c>
      <c r="G814">
        <v>0.16689999999999999</v>
      </c>
      <c r="H814">
        <v>187.26</v>
      </c>
      <c r="I814" t="s">
        <v>29</v>
      </c>
      <c r="K814">
        <v>37</v>
      </c>
      <c r="L814" t="s">
        <v>18</v>
      </c>
      <c r="M814" t="s">
        <v>38</v>
      </c>
      <c r="N814">
        <v>5</v>
      </c>
    </row>
    <row r="815" spans="1:14">
      <c r="A815" t="s">
        <v>847</v>
      </c>
      <c r="B815">
        <v>2788</v>
      </c>
      <c r="C815">
        <v>47.97</v>
      </c>
      <c r="D815" t="s">
        <v>45</v>
      </c>
      <c r="E815">
        <v>16987</v>
      </c>
      <c r="F815">
        <v>422</v>
      </c>
      <c r="G815">
        <v>0.12470000000000001</v>
      </c>
      <c r="H815">
        <v>493.83</v>
      </c>
      <c r="I815" t="s">
        <v>29</v>
      </c>
      <c r="K815">
        <v>24</v>
      </c>
      <c r="L815" t="s">
        <v>31</v>
      </c>
      <c r="M815" t="s">
        <v>45</v>
      </c>
      <c r="N815">
        <v>5</v>
      </c>
    </row>
    <row r="816" spans="1:14">
      <c r="A816" t="s">
        <v>848</v>
      </c>
      <c r="B816">
        <v>2498</v>
      </c>
      <c r="C816">
        <v>161.68</v>
      </c>
      <c r="D816" t="s">
        <v>28</v>
      </c>
      <c r="E816">
        <v>60034</v>
      </c>
      <c r="F816">
        <v>2574</v>
      </c>
      <c r="H816">
        <v>57.35</v>
      </c>
      <c r="I816" t="s">
        <v>17</v>
      </c>
      <c r="K816">
        <v>54</v>
      </c>
      <c r="L816" t="s">
        <v>22</v>
      </c>
      <c r="M816" t="s">
        <v>32</v>
      </c>
      <c r="N816">
        <v>5</v>
      </c>
    </row>
    <row r="817" spans="1:14">
      <c r="A817" t="s">
        <v>849</v>
      </c>
      <c r="B817">
        <v>1278</v>
      </c>
      <c r="C817">
        <v>190.41</v>
      </c>
      <c r="D817" t="s">
        <v>15</v>
      </c>
      <c r="E817">
        <v>61542</v>
      </c>
      <c r="F817">
        <v>8660</v>
      </c>
      <c r="G817">
        <v>0.16839999999999999</v>
      </c>
      <c r="H817">
        <v>259.17</v>
      </c>
      <c r="I817" t="s">
        <v>21</v>
      </c>
      <c r="K817">
        <v>64</v>
      </c>
      <c r="L817" t="s">
        <v>18</v>
      </c>
      <c r="M817" t="s">
        <v>23</v>
      </c>
    </row>
    <row r="818" spans="1:14">
      <c r="A818" t="s">
        <v>850</v>
      </c>
      <c r="B818">
        <v>5149</v>
      </c>
      <c r="D818" t="s">
        <v>45</v>
      </c>
      <c r="E818">
        <v>93757</v>
      </c>
      <c r="F818">
        <v>7266</v>
      </c>
      <c r="G818">
        <v>5.8099999999999999E-2</v>
      </c>
      <c r="H818">
        <v>306.73</v>
      </c>
      <c r="I818" t="s">
        <v>26</v>
      </c>
      <c r="K818">
        <v>63</v>
      </c>
      <c r="L818" t="s">
        <v>31</v>
      </c>
      <c r="M818" t="s">
        <v>45</v>
      </c>
      <c r="N818">
        <v>1</v>
      </c>
    </row>
    <row r="819" spans="1:14">
      <c r="A819" t="s">
        <v>851</v>
      </c>
      <c r="B819">
        <v>8287</v>
      </c>
      <c r="C819">
        <v>161.75</v>
      </c>
      <c r="D819" t="s">
        <v>32</v>
      </c>
      <c r="E819">
        <v>5859</v>
      </c>
      <c r="F819">
        <v>4043</v>
      </c>
      <c r="G819">
        <v>4.5699999999999998E-2</v>
      </c>
      <c r="H819">
        <v>374.27</v>
      </c>
      <c r="I819" t="s">
        <v>34</v>
      </c>
      <c r="J819" s="11">
        <v>1</v>
      </c>
      <c r="K819">
        <v>34</v>
      </c>
      <c r="L819" t="s">
        <v>31</v>
      </c>
    </row>
    <row r="820" spans="1:14">
      <c r="A820" t="s">
        <v>852</v>
      </c>
      <c r="B820">
        <v>6200</v>
      </c>
      <c r="C820">
        <v>65.63</v>
      </c>
      <c r="D820" t="s">
        <v>28</v>
      </c>
      <c r="E820">
        <v>49916</v>
      </c>
      <c r="F820">
        <v>4863</v>
      </c>
      <c r="G820">
        <v>0.1076</v>
      </c>
      <c r="H820">
        <v>113.17</v>
      </c>
      <c r="I820" t="s">
        <v>17</v>
      </c>
      <c r="K820">
        <v>65</v>
      </c>
      <c r="L820" t="s">
        <v>37</v>
      </c>
    </row>
    <row r="821" spans="1:14">
      <c r="A821" t="s">
        <v>853</v>
      </c>
      <c r="B821">
        <v>8728</v>
      </c>
      <c r="D821" t="s">
        <v>45</v>
      </c>
      <c r="E821">
        <v>44550</v>
      </c>
      <c r="F821">
        <v>6573</v>
      </c>
      <c r="G821">
        <v>3.2599999999999997E-2</v>
      </c>
      <c r="H821">
        <v>62.83</v>
      </c>
      <c r="I821" t="s">
        <v>49</v>
      </c>
      <c r="L821" t="s">
        <v>31</v>
      </c>
      <c r="M821" t="s">
        <v>38</v>
      </c>
      <c r="N821">
        <v>1</v>
      </c>
    </row>
    <row r="822" spans="1:14">
      <c r="A822" t="s">
        <v>854</v>
      </c>
      <c r="B822">
        <v>4477</v>
      </c>
      <c r="D822" t="s">
        <v>32</v>
      </c>
      <c r="E822">
        <v>19857</v>
      </c>
      <c r="F822">
        <v>1141</v>
      </c>
      <c r="G822">
        <v>0.10199999999999999</v>
      </c>
      <c r="H822">
        <v>112.09</v>
      </c>
      <c r="I822" t="s">
        <v>17</v>
      </c>
      <c r="K822">
        <v>62</v>
      </c>
      <c r="L822" t="s">
        <v>31</v>
      </c>
    </row>
    <row r="823" spans="1:14">
      <c r="A823" t="s">
        <v>855</v>
      </c>
      <c r="B823">
        <v>7466</v>
      </c>
      <c r="C823">
        <v>196.29</v>
      </c>
      <c r="D823" t="s">
        <v>32</v>
      </c>
      <c r="E823">
        <v>65633</v>
      </c>
      <c r="F823">
        <v>1802</v>
      </c>
      <c r="G823">
        <v>0.14660000000000001</v>
      </c>
      <c r="H823">
        <v>357.65</v>
      </c>
      <c r="I823" t="s">
        <v>26</v>
      </c>
      <c r="J823" s="11">
        <v>1</v>
      </c>
      <c r="K823">
        <v>46</v>
      </c>
      <c r="L823" t="s">
        <v>18</v>
      </c>
      <c r="M823" t="s">
        <v>19</v>
      </c>
      <c r="N823">
        <v>4</v>
      </c>
    </row>
    <row r="824" spans="1:14">
      <c r="A824" t="s">
        <v>856</v>
      </c>
      <c r="B824">
        <v>1739</v>
      </c>
      <c r="C824">
        <v>177.75</v>
      </c>
      <c r="D824" t="s">
        <v>32</v>
      </c>
      <c r="E824">
        <v>38828</v>
      </c>
      <c r="F824">
        <v>3979</v>
      </c>
      <c r="G824">
        <v>0.16370000000000001</v>
      </c>
      <c r="H824">
        <v>496.39</v>
      </c>
      <c r="I824" t="s">
        <v>17</v>
      </c>
      <c r="J824" s="11">
        <v>0</v>
      </c>
      <c r="K824">
        <v>28</v>
      </c>
      <c r="L824" t="s">
        <v>31</v>
      </c>
      <c r="N824">
        <v>3</v>
      </c>
    </row>
    <row r="825" spans="1:14">
      <c r="A825" t="s">
        <v>857</v>
      </c>
      <c r="B825">
        <v>3062</v>
      </c>
      <c r="D825" t="s">
        <v>32</v>
      </c>
      <c r="E825">
        <v>57498</v>
      </c>
      <c r="F825">
        <v>8370</v>
      </c>
      <c r="G825">
        <v>0.1017</v>
      </c>
      <c r="H825">
        <v>476.32</v>
      </c>
      <c r="I825" t="s">
        <v>34</v>
      </c>
      <c r="J825" s="11">
        <v>0</v>
      </c>
      <c r="K825">
        <v>51</v>
      </c>
      <c r="L825" t="s">
        <v>31</v>
      </c>
      <c r="M825" t="s">
        <v>23</v>
      </c>
      <c r="N825">
        <v>3</v>
      </c>
    </row>
    <row r="826" spans="1:14">
      <c r="A826" t="s">
        <v>858</v>
      </c>
      <c r="B826">
        <v>3084</v>
      </c>
      <c r="C826">
        <v>28.52</v>
      </c>
      <c r="D826" t="s">
        <v>25</v>
      </c>
      <c r="E826">
        <v>66865</v>
      </c>
      <c r="F826">
        <v>1869</v>
      </c>
      <c r="G826">
        <v>0.19209999999999999</v>
      </c>
      <c r="H826">
        <v>177.71</v>
      </c>
      <c r="I826" t="s">
        <v>29</v>
      </c>
      <c r="J826" s="11">
        <v>1</v>
      </c>
      <c r="K826">
        <v>64</v>
      </c>
      <c r="L826" t="s">
        <v>37</v>
      </c>
      <c r="M826" t="s">
        <v>23</v>
      </c>
      <c r="N826">
        <v>2</v>
      </c>
    </row>
    <row r="827" spans="1:14">
      <c r="A827" t="s">
        <v>859</v>
      </c>
      <c r="B827">
        <v>7386</v>
      </c>
      <c r="C827">
        <v>54.54</v>
      </c>
      <c r="D827" t="s">
        <v>40</v>
      </c>
      <c r="E827">
        <v>72119</v>
      </c>
      <c r="F827">
        <v>8568</v>
      </c>
      <c r="G827">
        <v>7.9799999999999996E-2</v>
      </c>
      <c r="H827">
        <v>412.03</v>
      </c>
      <c r="I827" t="s">
        <v>17</v>
      </c>
      <c r="K827">
        <v>59</v>
      </c>
      <c r="L827" t="s">
        <v>18</v>
      </c>
      <c r="M827" t="s">
        <v>19</v>
      </c>
    </row>
    <row r="828" spans="1:14">
      <c r="A828" t="s">
        <v>860</v>
      </c>
      <c r="B828">
        <v>3006</v>
      </c>
      <c r="C828">
        <v>110.64</v>
      </c>
      <c r="D828" t="s">
        <v>25</v>
      </c>
      <c r="E828">
        <v>21131</v>
      </c>
      <c r="F828">
        <v>5671</v>
      </c>
      <c r="G828">
        <v>0.19789999999999999</v>
      </c>
      <c r="H828">
        <v>439.96</v>
      </c>
      <c r="I828" t="s">
        <v>29</v>
      </c>
      <c r="J828" s="11">
        <v>0</v>
      </c>
      <c r="K828">
        <v>22</v>
      </c>
      <c r="L828" t="s">
        <v>22</v>
      </c>
      <c r="M828" t="s">
        <v>32</v>
      </c>
      <c r="N828">
        <v>5</v>
      </c>
    </row>
    <row r="829" spans="1:14">
      <c r="A829" t="s">
        <v>861</v>
      </c>
      <c r="B829">
        <v>9409</v>
      </c>
      <c r="C829">
        <v>135.33000000000001</v>
      </c>
      <c r="D829" t="s">
        <v>40</v>
      </c>
      <c r="E829">
        <v>14435</v>
      </c>
      <c r="F829">
        <v>9025</v>
      </c>
      <c r="G829">
        <v>0.18149999999999999</v>
      </c>
      <c r="H829">
        <v>111.36</v>
      </c>
      <c r="I829" t="s">
        <v>26</v>
      </c>
      <c r="K829">
        <v>50</v>
      </c>
      <c r="L829" t="s">
        <v>18</v>
      </c>
      <c r="N829">
        <v>2</v>
      </c>
    </row>
    <row r="830" spans="1:14">
      <c r="A830" t="s">
        <v>862</v>
      </c>
      <c r="B830">
        <v>7552</v>
      </c>
      <c r="C830">
        <v>90.01</v>
      </c>
      <c r="D830" t="s">
        <v>40</v>
      </c>
      <c r="E830">
        <v>99739</v>
      </c>
      <c r="F830">
        <v>8594</v>
      </c>
      <c r="H830">
        <v>433.49</v>
      </c>
      <c r="I830" t="s">
        <v>17</v>
      </c>
      <c r="J830" s="11">
        <v>1</v>
      </c>
      <c r="K830">
        <v>64</v>
      </c>
      <c r="L830" t="s">
        <v>18</v>
      </c>
      <c r="M830" t="s">
        <v>45</v>
      </c>
      <c r="N830">
        <v>3</v>
      </c>
    </row>
    <row r="831" spans="1:14">
      <c r="A831" t="s">
        <v>863</v>
      </c>
      <c r="B831">
        <v>4725</v>
      </c>
      <c r="D831" t="s">
        <v>32</v>
      </c>
      <c r="E831">
        <v>28867</v>
      </c>
      <c r="F831">
        <v>5692</v>
      </c>
      <c r="G831">
        <v>6.1699999999999998E-2</v>
      </c>
      <c r="H831">
        <v>437.11</v>
      </c>
      <c r="I831" t="s">
        <v>21</v>
      </c>
      <c r="K831">
        <v>54</v>
      </c>
      <c r="L831" t="s">
        <v>22</v>
      </c>
      <c r="M831" t="s">
        <v>45</v>
      </c>
      <c r="N831">
        <v>1</v>
      </c>
    </row>
    <row r="832" spans="1:14">
      <c r="A832" t="s">
        <v>864</v>
      </c>
      <c r="B832">
        <v>7434</v>
      </c>
      <c r="C832">
        <v>169.83</v>
      </c>
      <c r="D832" t="s">
        <v>32</v>
      </c>
      <c r="E832">
        <v>17960</v>
      </c>
      <c r="F832">
        <v>8734</v>
      </c>
      <c r="G832">
        <v>0.1138</v>
      </c>
      <c r="H832">
        <v>88.1</v>
      </c>
      <c r="I832" t="s">
        <v>34</v>
      </c>
      <c r="J832" s="11">
        <v>0</v>
      </c>
      <c r="K832">
        <v>53</v>
      </c>
      <c r="L832" t="s">
        <v>31</v>
      </c>
    </row>
    <row r="833" spans="1:14">
      <c r="A833" t="s">
        <v>865</v>
      </c>
      <c r="B833">
        <v>9480</v>
      </c>
      <c r="C833">
        <v>186.22</v>
      </c>
      <c r="D833" t="s">
        <v>32</v>
      </c>
      <c r="E833">
        <v>78034</v>
      </c>
      <c r="F833">
        <v>6581</v>
      </c>
      <c r="G833">
        <v>0.1477</v>
      </c>
      <c r="H833">
        <v>221.78</v>
      </c>
      <c r="I833" t="s">
        <v>26</v>
      </c>
      <c r="J833" s="11">
        <v>0</v>
      </c>
      <c r="K833">
        <v>34</v>
      </c>
      <c r="L833" t="s">
        <v>18</v>
      </c>
      <c r="N833">
        <v>1</v>
      </c>
    </row>
    <row r="834" spans="1:14">
      <c r="A834" t="s">
        <v>866</v>
      </c>
      <c r="B834">
        <v>9083</v>
      </c>
      <c r="D834" t="s">
        <v>15</v>
      </c>
      <c r="E834">
        <v>54266</v>
      </c>
      <c r="F834">
        <v>5692</v>
      </c>
      <c r="G834">
        <v>0.14410000000000001</v>
      </c>
      <c r="H834">
        <v>264.39</v>
      </c>
      <c r="I834" t="s">
        <v>21</v>
      </c>
      <c r="J834" s="11">
        <v>1</v>
      </c>
      <c r="K834">
        <v>59</v>
      </c>
      <c r="L834" t="s">
        <v>18</v>
      </c>
      <c r="M834" t="s">
        <v>38</v>
      </c>
      <c r="N834">
        <v>3</v>
      </c>
    </row>
    <row r="835" spans="1:14">
      <c r="A835" t="s">
        <v>867</v>
      </c>
      <c r="B835">
        <v>1330</v>
      </c>
      <c r="C835">
        <v>172.78</v>
      </c>
      <c r="D835" t="s">
        <v>28</v>
      </c>
      <c r="E835">
        <v>37574</v>
      </c>
      <c r="F835">
        <v>9442</v>
      </c>
      <c r="I835" t="s">
        <v>17</v>
      </c>
      <c r="K835">
        <v>40</v>
      </c>
      <c r="L835" t="s">
        <v>18</v>
      </c>
      <c r="M835" t="s">
        <v>23</v>
      </c>
    </row>
    <row r="836" spans="1:14">
      <c r="A836" t="s">
        <v>868</v>
      </c>
      <c r="B836">
        <v>6392</v>
      </c>
      <c r="C836">
        <v>111.11</v>
      </c>
      <c r="D836" t="s">
        <v>28</v>
      </c>
      <c r="E836">
        <v>53475</v>
      </c>
      <c r="F836">
        <v>959</v>
      </c>
      <c r="G836">
        <v>9.2299999999999993E-2</v>
      </c>
      <c r="H836">
        <v>354.87</v>
      </c>
      <c r="I836" t="s">
        <v>29</v>
      </c>
      <c r="K836">
        <v>49</v>
      </c>
      <c r="L836" t="s">
        <v>18</v>
      </c>
      <c r="M836" t="s">
        <v>38</v>
      </c>
      <c r="N836">
        <v>5</v>
      </c>
    </row>
    <row r="837" spans="1:14">
      <c r="A837" t="s">
        <v>869</v>
      </c>
      <c r="B837">
        <v>5063</v>
      </c>
      <c r="D837" t="s">
        <v>45</v>
      </c>
      <c r="E837">
        <v>95111</v>
      </c>
      <c r="F837">
        <v>1304</v>
      </c>
      <c r="G837">
        <v>0.1847</v>
      </c>
      <c r="H837">
        <v>175.5</v>
      </c>
      <c r="I837" t="s">
        <v>29</v>
      </c>
      <c r="J837" s="11">
        <v>1</v>
      </c>
      <c r="K837">
        <v>38</v>
      </c>
      <c r="L837" t="s">
        <v>31</v>
      </c>
      <c r="M837" t="s">
        <v>23</v>
      </c>
    </row>
    <row r="838" spans="1:14">
      <c r="A838" t="s">
        <v>870</v>
      </c>
      <c r="B838">
        <v>5589</v>
      </c>
      <c r="D838" t="s">
        <v>25</v>
      </c>
      <c r="E838">
        <v>97563</v>
      </c>
      <c r="F838">
        <v>2126</v>
      </c>
      <c r="G838">
        <v>3.2500000000000001E-2</v>
      </c>
      <c r="H838">
        <v>496.77</v>
      </c>
      <c r="I838" t="s">
        <v>26</v>
      </c>
      <c r="K838">
        <v>45</v>
      </c>
      <c r="L838" t="s">
        <v>37</v>
      </c>
      <c r="M838" t="s">
        <v>19</v>
      </c>
    </row>
    <row r="839" spans="1:14">
      <c r="A839" t="s">
        <v>871</v>
      </c>
      <c r="B839">
        <v>7538</v>
      </c>
      <c r="C839">
        <v>132.65</v>
      </c>
      <c r="D839" t="s">
        <v>25</v>
      </c>
      <c r="E839">
        <v>71698</v>
      </c>
      <c r="F839">
        <v>9685</v>
      </c>
      <c r="G839">
        <v>0.1666</v>
      </c>
      <c r="H839">
        <v>449.19</v>
      </c>
      <c r="I839" t="s">
        <v>26</v>
      </c>
      <c r="J839" s="11">
        <v>1</v>
      </c>
      <c r="K839">
        <v>20</v>
      </c>
      <c r="L839" t="s">
        <v>31</v>
      </c>
    </row>
    <row r="840" spans="1:14">
      <c r="A840" t="s">
        <v>872</v>
      </c>
      <c r="B840">
        <v>8213</v>
      </c>
      <c r="C840">
        <v>105.07</v>
      </c>
      <c r="D840" t="s">
        <v>32</v>
      </c>
      <c r="E840">
        <v>96815</v>
      </c>
      <c r="F840">
        <v>9527</v>
      </c>
      <c r="G840">
        <v>9.0300000000000005E-2</v>
      </c>
      <c r="H840">
        <v>46.95</v>
      </c>
      <c r="I840" t="s">
        <v>34</v>
      </c>
      <c r="K840">
        <v>61</v>
      </c>
      <c r="L840" t="s">
        <v>22</v>
      </c>
      <c r="M840" t="s">
        <v>32</v>
      </c>
      <c r="N840">
        <v>1</v>
      </c>
    </row>
    <row r="841" spans="1:14">
      <c r="A841" t="s">
        <v>873</v>
      </c>
      <c r="B841">
        <v>7552</v>
      </c>
      <c r="C841">
        <v>135.83000000000001</v>
      </c>
      <c r="D841" t="s">
        <v>45</v>
      </c>
      <c r="E841">
        <v>95686</v>
      </c>
      <c r="F841">
        <v>3069</v>
      </c>
      <c r="G841">
        <v>5.7000000000000002E-2</v>
      </c>
      <c r="H841">
        <v>97</v>
      </c>
      <c r="I841" t="s">
        <v>34</v>
      </c>
      <c r="J841" s="11">
        <v>0</v>
      </c>
      <c r="K841">
        <v>33</v>
      </c>
      <c r="L841" t="s">
        <v>22</v>
      </c>
      <c r="M841" t="s">
        <v>23</v>
      </c>
      <c r="N841">
        <v>5</v>
      </c>
    </row>
    <row r="842" spans="1:14">
      <c r="A842" t="s">
        <v>874</v>
      </c>
      <c r="B842">
        <v>1766</v>
      </c>
      <c r="C842">
        <v>62.82</v>
      </c>
      <c r="D842" t="s">
        <v>32</v>
      </c>
      <c r="E842">
        <v>58720</v>
      </c>
      <c r="F842">
        <v>8387</v>
      </c>
      <c r="G842">
        <v>0.1978</v>
      </c>
      <c r="H842">
        <v>292.74</v>
      </c>
      <c r="I842" t="s">
        <v>34</v>
      </c>
      <c r="J842" s="11">
        <v>0</v>
      </c>
      <c r="K842">
        <v>37</v>
      </c>
      <c r="L842" t="s">
        <v>22</v>
      </c>
      <c r="N842">
        <v>3</v>
      </c>
    </row>
    <row r="843" spans="1:14">
      <c r="A843" t="s">
        <v>875</v>
      </c>
      <c r="B843">
        <v>1617</v>
      </c>
      <c r="C843">
        <v>135.91</v>
      </c>
      <c r="D843" t="s">
        <v>15</v>
      </c>
      <c r="E843">
        <v>61976</v>
      </c>
      <c r="F843">
        <v>7837</v>
      </c>
      <c r="G843">
        <v>0.1832</v>
      </c>
      <c r="H843">
        <v>241.75</v>
      </c>
      <c r="I843" t="s">
        <v>21</v>
      </c>
      <c r="J843" s="11">
        <v>0</v>
      </c>
      <c r="K843">
        <v>61</v>
      </c>
      <c r="L843" t="s">
        <v>31</v>
      </c>
      <c r="M843" t="s">
        <v>32</v>
      </c>
      <c r="N843">
        <v>5</v>
      </c>
    </row>
    <row r="844" spans="1:14">
      <c r="A844" t="s">
        <v>876</v>
      </c>
      <c r="B844">
        <v>1046</v>
      </c>
      <c r="C844">
        <v>84.73</v>
      </c>
      <c r="D844" t="s">
        <v>40</v>
      </c>
      <c r="E844">
        <v>26059</v>
      </c>
      <c r="F844">
        <v>489</v>
      </c>
      <c r="G844">
        <v>7.9899999999999999E-2</v>
      </c>
      <c r="H844">
        <v>302.27999999999997</v>
      </c>
      <c r="I844" t="s">
        <v>17</v>
      </c>
      <c r="J844" s="11">
        <v>0</v>
      </c>
      <c r="K844">
        <v>24</v>
      </c>
      <c r="L844" t="s">
        <v>37</v>
      </c>
      <c r="M844" t="s">
        <v>45</v>
      </c>
      <c r="N844">
        <v>2</v>
      </c>
    </row>
    <row r="845" spans="1:14">
      <c r="A845" t="s">
        <v>877</v>
      </c>
      <c r="B845">
        <v>3825</v>
      </c>
      <c r="C845">
        <v>59.23</v>
      </c>
      <c r="D845" t="s">
        <v>32</v>
      </c>
      <c r="E845">
        <v>42893</v>
      </c>
      <c r="F845">
        <v>3676</v>
      </c>
      <c r="G845">
        <v>4.6300000000000001E-2</v>
      </c>
      <c r="H845">
        <v>93.66</v>
      </c>
      <c r="I845" t="s">
        <v>17</v>
      </c>
      <c r="K845">
        <v>28</v>
      </c>
      <c r="L845" t="s">
        <v>31</v>
      </c>
      <c r="N845">
        <v>4</v>
      </c>
    </row>
    <row r="846" spans="1:14">
      <c r="A846" t="s">
        <v>878</v>
      </c>
      <c r="B846">
        <v>9187</v>
      </c>
      <c r="C846">
        <v>133.12</v>
      </c>
      <c r="D846" t="s">
        <v>45</v>
      </c>
      <c r="E846">
        <v>3540</v>
      </c>
      <c r="F846">
        <v>3793</v>
      </c>
      <c r="H846">
        <v>16.02</v>
      </c>
      <c r="I846" t="s">
        <v>21</v>
      </c>
      <c r="J846" s="11">
        <v>0</v>
      </c>
      <c r="K846">
        <v>42</v>
      </c>
      <c r="L846" t="s">
        <v>31</v>
      </c>
      <c r="M846" t="s">
        <v>19</v>
      </c>
      <c r="N846">
        <v>2</v>
      </c>
    </row>
    <row r="847" spans="1:14">
      <c r="A847" t="s">
        <v>879</v>
      </c>
      <c r="B847">
        <v>4146</v>
      </c>
      <c r="C847">
        <v>83.34</v>
      </c>
      <c r="D847" t="s">
        <v>45</v>
      </c>
      <c r="E847">
        <v>24846</v>
      </c>
      <c r="F847">
        <v>6847</v>
      </c>
      <c r="H847">
        <v>134.09</v>
      </c>
      <c r="I847" t="s">
        <v>21</v>
      </c>
      <c r="J847" s="11">
        <v>1</v>
      </c>
      <c r="K847">
        <v>52</v>
      </c>
      <c r="L847" t="s">
        <v>18</v>
      </c>
    </row>
    <row r="848" spans="1:14">
      <c r="A848" t="s">
        <v>880</v>
      </c>
      <c r="B848">
        <v>2594</v>
      </c>
      <c r="C848">
        <v>194.9</v>
      </c>
      <c r="D848" t="s">
        <v>25</v>
      </c>
      <c r="E848">
        <v>52657</v>
      </c>
      <c r="F848">
        <v>1407</v>
      </c>
      <c r="G848">
        <v>0.10589999999999999</v>
      </c>
      <c r="H848">
        <v>23.05</v>
      </c>
      <c r="I848" t="s">
        <v>21</v>
      </c>
      <c r="J848" s="11">
        <v>0</v>
      </c>
      <c r="L848" t="s">
        <v>22</v>
      </c>
      <c r="M848" t="s">
        <v>19</v>
      </c>
      <c r="N848">
        <v>5</v>
      </c>
    </row>
    <row r="849" spans="1:14">
      <c r="A849" t="s">
        <v>881</v>
      </c>
      <c r="B849">
        <v>3137</v>
      </c>
      <c r="C849">
        <v>28.15</v>
      </c>
      <c r="D849" t="s">
        <v>28</v>
      </c>
      <c r="E849">
        <v>96968</v>
      </c>
      <c r="F849">
        <v>6492</v>
      </c>
      <c r="G849">
        <v>0.1772</v>
      </c>
      <c r="H849">
        <v>411.67</v>
      </c>
      <c r="I849" t="s">
        <v>29</v>
      </c>
      <c r="J849" s="11">
        <v>0</v>
      </c>
      <c r="L849" t="s">
        <v>37</v>
      </c>
      <c r="M849" t="s">
        <v>19</v>
      </c>
      <c r="N849">
        <v>4</v>
      </c>
    </row>
    <row r="850" spans="1:14">
      <c r="A850" t="s">
        <v>882</v>
      </c>
      <c r="B850">
        <v>6371</v>
      </c>
      <c r="C850">
        <v>133.71</v>
      </c>
      <c r="D850" t="s">
        <v>32</v>
      </c>
      <c r="E850">
        <v>83008</v>
      </c>
      <c r="F850">
        <v>9247</v>
      </c>
      <c r="G850">
        <v>3.9699999999999999E-2</v>
      </c>
      <c r="H850">
        <v>102.51</v>
      </c>
      <c r="I850" t="s">
        <v>17</v>
      </c>
      <c r="K850">
        <v>40</v>
      </c>
      <c r="L850" t="s">
        <v>18</v>
      </c>
      <c r="N850">
        <v>5</v>
      </c>
    </row>
    <row r="851" spans="1:14">
      <c r="A851" t="s">
        <v>883</v>
      </c>
      <c r="B851">
        <v>6281</v>
      </c>
      <c r="C851">
        <v>83.95</v>
      </c>
      <c r="D851" t="s">
        <v>40</v>
      </c>
      <c r="E851">
        <v>80006</v>
      </c>
      <c r="F851">
        <v>9583</v>
      </c>
      <c r="G851">
        <v>8.0600000000000005E-2</v>
      </c>
      <c r="I851" t="s">
        <v>34</v>
      </c>
      <c r="J851" s="11">
        <v>1</v>
      </c>
      <c r="K851">
        <v>25</v>
      </c>
      <c r="L851" t="s">
        <v>22</v>
      </c>
      <c r="M851" t="s">
        <v>38</v>
      </c>
      <c r="N851">
        <v>5</v>
      </c>
    </row>
    <row r="852" spans="1:14">
      <c r="A852" t="s">
        <v>884</v>
      </c>
      <c r="B852">
        <v>4557</v>
      </c>
      <c r="C852">
        <v>109.51</v>
      </c>
      <c r="D852" t="s">
        <v>25</v>
      </c>
      <c r="E852">
        <v>98717</v>
      </c>
      <c r="F852">
        <v>7468</v>
      </c>
      <c r="H852">
        <v>488.77</v>
      </c>
      <c r="I852" t="s">
        <v>26</v>
      </c>
      <c r="J852" s="11">
        <v>1</v>
      </c>
      <c r="K852">
        <v>32</v>
      </c>
      <c r="L852" t="s">
        <v>22</v>
      </c>
    </row>
    <row r="853" spans="1:14">
      <c r="A853" t="s">
        <v>885</v>
      </c>
      <c r="B853">
        <v>9603</v>
      </c>
      <c r="D853" t="s">
        <v>32</v>
      </c>
      <c r="E853">
        <v>19062</v>
      </c>
      <c r="F853">
        <v>9849</v>
      </c>
      <c r="G853">
        <v>0.14360000000000001</v>
      </c>
      <c r="H853">
        <v>477.81</v>
      </c>
      <c r="I853" t="s">
        <v>34</v>
      </c>
      <c r="K853">
        <v>39</v>
      </c>
      <c r="L853" t="s">
        <v>31</v>
      </c>
      <c r="M853" t="s">
        <v>45</v>
      </c>
      <c r="N853">
        <v>2</v>
      </c>
    </row>
    <row r="854" spans="1:14">
      <c r="A854" t="s">
        <v>886</v>
      </c>
      <c r="B854">
        <v>2194</v>
      </c>
      <c r="C854">
        <v>74.349999999999994</v>
      </c>
      <c r="D854" t="s">
        <v>25</v>
      </c>
      <c r="E854">
        <v>52676</v>
      </c>
      <c r="F854">
        <v>3537</v>
      </c>
      <c r="G854">
        <v>0.15820000000000001</v>
      </c>
      <c r="H854">
        <v>117.49</v>
      </c>
      <c r="I854" t="s">
        <v>29</v>
      </c>
      <c r="K854">
        <v>56</v>
      </c>
      <c r="L854" t="s">
        <v>22</v>
      </c>
      <c r="N854">
        <v>4</v>
      </c>
    </row>
    <row r="855" spans="1:14">
      <c r="A855" t="s">
        <v>887</v>
      </c>
      <c r="B855">
        <v>1158</v>
      </c>
      <c r="C855">
        <v>131.41999999999999</v>
      </c>
      <c r="D855" t="s">
        <v>32</v>
      </c>
      <c r="E855">
        <v>14466</v>
      </c>
      <c r="F855">
        <v>1626</v>
      </c>
      <c r="G855">
        <v>3.09E-2</v>
      </c>
      <c r="H855">
        <v>343.34</v>
      </c>
      <c r="I855" t="s">
        <v>34</v>
      </c>
      <c r="L855" t="s">
        <v>37</v>
      </c>
      <c r="M855" t="s">
        <v>32</v>
      </c>
      <c r="N855">
        <v>1</v>
      </c>
    </row>
    <row r="856" spans="1:14">
      <c r="A856" t="s">
        <v>888</v>
      </c>
      <c r="B856">
        <v>9924</v>
      </c>
      <c r="D856" t="s">
        <v>25</v>
      </c>
      <c r="E856">
        <v>10012</v>
      </c>
      <c r="F856">
        <v>9317</v>
      </c>
      <c r="G856">
        <v>5.0799999999999998E-2</v>
      </c>
      <c r="H856">
        <v>492.61</v>
      </c>
      <c r="I856" t="s">
        <v>49</v>
      </c>
      <c r="K856">
        <v>29</v>
      </c>
      <c r="L856" t="s">
        <v>22</v>
      </c>
      <c r="M856" t="s">
        <v>23</v>
      </c>
    </row>
    <row r="857" spans="1:14">
      <c r="A857" t="s">
        <v>889</v>
      </c>
      <c r="B857">
        <v>5215</v>
      </c>
      <c r="C857">
        <v>85.67</v>
      </c>
      <c r="D857" t="s">
        <v>32</v>
      </c>
      <c r="E857">
        <v>42906</v>
      </c>
      <c r="F857">
        <v>6911</v>
      </c>
      <c r="G857">
        <v>0.1134</v>
      </c>
      <c r="H857">
        <v>233.91</v>
      </c>
      <c r="I857" t="s">
        <v>17</v>
      </c>
      <c r="J857" s="11">
        <v>1</v>
      </c>
      <c r="K857">
        <v>24</v>
      </c>
      <c r="L857" t="s">
        <v>22</v>
      </c>
      <c r="N857">
        <v>5</v>
      </c>
    </row>
    <row r="858" spans="1:14">
      <c r="A858" t="s">
        <v>890</v>
      </c>
      <c r="B858">
        <v>5368</v>
      </c>
      <c r="D858" t="s">
        <v>45</v>
      </c>
      <c r="E858">
        <v>2924</v>
      </c>
      <c r="F858">
        <v>2542</v>
      </c>
      <c r="G858">
        <v>0.19869999999999999</v>
      </c>
      <c r="H858">
        <v>224.74</v>
      </c>
      <c r="I858" t="s">
        <v>21</v>
      </c>
      <c r="K858">
        <v>64</v>
      </c>
      <c r="L858" t="s">
        <v>31</v>
      </c>
      <c r="M858" t="s">
        <v>32</v>
      </c>
      <c r="N858">
        <v>5</v>
      </c>
    </row>
    <row r="859" spans="1:14">
      <c r="A859" t="s">
        <v>891</v>
      </c>
      <c r="B859">
        <v>7854</v>
      </c>
      <c r="C859">
        <v>183.79</v>
      </c>
      <c r="D859" t="s">
        <v>32</v>
      </c>
      <c r="E859">
        <v>58254</v>
      </c>
      <c r="F859">
        <v>793</v>
      </c>
      <c r="G859">
        <v>0.1172</v>
      </c>
      <c r="H859">
        <v>355.13</v>
      </c>
      <c r="I859" t="s">
        <v>21</v>
      </c>
      <c r="J859" s="11">
        <v>1</v>
      </c>
      <c r="K859">
        <v>51</v>
      </c>
      <c r="L859" t="s">
        <v>37</v>
      </c>
      <c r="M859" t="s">
        <v>38</v>
      </c>
      <c r="N859">
        <v>2</v>
      </c>
    </row>
    <row r="860" spans="1:14">
      <c r="A860" t="s">
        <v>892</v>
      </c>
      <c r="B860">
        <v>1533</v>
      </c>
      <c r="C860">
        <v>197.01</v>
      </c>
      <c r="D860" t="s">
        <v>45</v>
      </c>
      <c r="E860">
        <v>24878</v>
      </c>
      <c r="F860">
        <v>7693</v>
      </c>
      <c r="G860">
        <v>1.5699999999999999E-2</v>
      </c>
      <c r="H860">
        <v>318.08</v>
      </c>
      <c r="I860" t="s">
        <v>26</v>
      </c>
      <c r="J860" s="11">
        <v>0</v>
      </c>
      <c r="K860">
        <v>22</v>
      </c>
      <c r="L860" t="s">
        <v>31</v>
      </c>
      <c r="M860" t="s">
        <v>38</v>
      </c>
    </row>
    <row r="861" spans="1:14">
      <c r="A861" t="s">
        <v>893</v>
      </c>
      <c r="B861">
        <v>1896</v>
      </c>
      <c r="C861">
        <v>150.27000000000001</v>
      </c>
      <c r="D861" t="s">
        <v>15</v>
      </c>
      <c r="E861">
        <v>53578</v>
      </c>
      <c r="F861">
        <v>7321</v>
      </c>
      <c r="H861">
        <v>350.19</v>
      </c>
      <c r="I861" t="s">
        <v>21</v>
      </c>
      <c r="K861">
        <v>41</v>
      </c>
      <c r="L861" t="s">
        <v>37</v>
      </c>
      <c r="N861">
        <v>1</v>
      </c>
    </row>
    <row r="862" spans="1:14">
      <c r="A862" t="s">
        <v>894</v>
      </c>
      <c r="B862">
        <v>2128</v>
      </c>
      <c r="C862">
        <v>110.01</v>
      </c>
      <c r="D862" t="s">
        <v>28</v>
      </c>
      <c r="E862">
        <v>70926</v>
      </c>
      <c r="F862">
        <v>9961</v>
      </c>
      <c r="G862">
        <v>0.1052</v>
      </c>
      <c r="H862">
        <v>204.61</v>
      </c>
      <c r="I862" t="s">
        <v>34</v>
      </c>
      <c r="K862">
        <v>56</v>
      </c>
      <c r="L862" t="s">
        <v>18</v>
      </c>
      <c r="N862">
        <v>5</v>
      </c>
    </row>
    <row r="863" spans="1:14">
      <c r="A863" t="s">
        <v>895</v>
      </c>
      <c r="B863">
        <v>1765</v>
      </c>
      <c r="C863">
        <v>88.47</v>
      </c>
      <c r="D863" t="s">
        <v>45</v>
      </c>
      <c r="E863">
        <v>78071</v>
      </c>
      <c r="F863">
        <v>4698</v>
      </c>
      <c r="G863">
        <v>0.1376</v>
      </c>
      <c r="I863" t="s">
        <v>26</v>
      </c>
      <c r="J863" s="11">
        <v>1</v>
      </c>
      <c r="K863">
        <v>31</v>
      </c>
      <c r="L863" t="s">
        <v>18</v>
      </c>
      <c r="M863" t="s">
        <v>32</v>
      </c>
      <c r="N863">
        <v>1</v>
      </c>
    </row>
    <row r="864" spans="1:14">
      <c r="A864" t="s">
        <v>896</v>
      </c>
      <c r="B864">
        <v>3427</v>
      </c>
      <c r="C864">
        <v>182.48</v>
      </c>
      <c r="D864" t="s">
        <v>40</v>
      </c>
      <c r="E864">
        <v>76682</v>
      </c>
      <c r="F864">
        <v>259</v>
      </c>
      <c r="H864">
        <v>473.71</v>
      </c>
      <c r="I864" t="s">
        <v>17</v>
      </c>
      <c r="J864" s="11">
        <v>0</v>
      </c>
      <c r="K864">
        <v>59</v>
      </c>
      <c r="L864" t="s">
        <v>37</v>
      </c>
      <c r="N864">
        <v>4</v>
      </c>
    </row>
    <row r="865" spans="1:14">
      <c r="A865" t="s">
        <v>897</v>
      </c>
      <c r="B865">
        <v>2123</v>
      </c>
      <c r="D865" t="s">
        <v>28</v>
      </c>
      <c r="E865">
        <v>4945</v>
      </c>
      <c r="F865">
        <v>3899</v>
      </c>
      <c r="G865">
        <v>2.2499999999999999E-2</v>
      </c>
      <c r="H865">
        <v>30.63</v>
      </c>
      <c r="I865" t="s">
        <v>26</v>
      </c>
      <c r="J865" s="11">
        <v>0</v>
      </c>
      <c r="L865" t="s">
        <v>37</v>
      </c>
      <c r="M865" t="s">
        <v>23</v>
      </c>
      <c r="N865">
        <v>5</v>
      </c>
    </row>
    <row r="866" spans="1:14">
      <c r="A866" t="s">
        <v>898</v>
      </c>
      <c r="B866">
        <v>8922</v>
      </c>
      <c r="C866">
        <v>171.11</v>
      </c>
      <c r="D866" t="s">
        <v>28</v>
      </c>
      <c r="E866">
        <v>23183</v>
      </c>
      <c r="F866">
        <v>3234</v>
      </c>
      <c r="G866">
        <v>0.16550000000000001</v>
      </c>
      <c r="H866">
        <v>450.27</v>
      </c>
      <c r="I866" t="s">
        <v>29</v>
      </c>
      <c r="J866" s="11">
        <v>1</v>
      </c>
      <c r="K866">
        <v>26</v>
      </c>
      <c r="L866" t="s">
        <v>18</v>
      </c>
      <c r="M866" t="s">
        <v>23</v>
      </c>
      <c r="N866">
        <v>3</v>
      </c>
    </row>
    <row r="867" spans="1:14">
      <c r="A867" t="s">
        <v>899</v>
      </c>
      <c r="B867">
        <v>4843</v>
      </c>
      <c r="C867">
        <v>34.5</v>
      </c>
      <c r="D867" t="s">
        <v>15</v>
      </c>
      <c r="E867">
        <v>55069</v>
      </c>
      <c r="F867">
        <v>8323</v>
      </c>
      <c r="G867">
        <v>2.4400000000000002E-2</v>
      </c>
      <c r="H867">
        <v>378.26</v>
      </c>
      <c r="I867" t="s">
        <v>29</v>
      </c>
      <c r="K867">
        <v>51</v>
      </c>
      <c r="L867" t="s">
        <v>37</v>
      </c>
      <c r="M867" t="s">
        <v>19</v>
      </c>
      <c r="N867">
        <v>4</v>
      </c>
    </row>
    <row r="868" spans="1:14">
      <c r="A868" t="s">
        <v>900</v>
      </c>
      <c r="B868">
        <v>1490</v>
      </c>
      <c r="C868">
        <v>88.68</v>
      </c>
      <c r="D868" t="s">
        <v>40</v>
      </c>
      <c r="E868">
        <v>10215</v>
      </c>
      <c r="F868">
        <v>5275</v>
      </c>
      <c r="G868">
        <v>0.1169</v>
      </c>
      <c r="H868">
        <v>152.58000000000001</v>
      </c>
      <c r="I868" t="s">
        <v>29</v>
      </c>
      <c r="J868" s="11">
        <v>1</v>
      </c>
      <c r="K868">
        <v>23</v>
      </c>
      <c r="L868" t="s">
        <v>37</v>
      </c>
      <c r="M868" t="s">
        <v>19</v>
      </c>
      <c r="N868">
        <v>5</v>
      </c>
    </row>
    <row r="869" spans="1:14">
      <c r="A869" t="s">
        <v>901</v>
      </c>
      <c r="B869">
        <v>6211</v>
      </c>
      <c r="C869">
        <v>30.86</v>
      </c>
      <c r="D869" t="s">
        <v>28</v>
      </c>
      <c r="E869">
        <v>22369</v>
      </c>
      <c r="F869">
        <v>750</v>
      </c>
      <c r="G869">
        <v>0.1918</v>
      </c>
      <c r="H869">
        <v>473.77</v>
      </c>
      <c r="I869" t="s">
        <v>29</v>
      </c>
      <c r="K869">
        <v>33</v>
      </c>
      <c r="L869" t="s">
        <v>37</v>
      </c>
      <c r="M869" t="s">
        <v>45</v>
      </c>
      <c r="N869">
        <v>4</v>
      </c>
    </row>
    <row r="870" spans="1:14">
      <c r="A870" t="s">
        <v>902</v>
      </c>
      <c r="B870">
        <v>6412</v>
      </c>
      <c r="C870">
        <v>190.03</v>
      </c>
      <c r="D870" t="s">
        <v>32</v>
      </c>
      <c r="E870">
        <v>81611</v>
      </c>
      <c r="F870">
        <v>4390</v>
      </c>
      <c r="G870">
        <v>9.2999999999999999E-2</v>
      </c>
      <c r="H870">
        <v>57.69</v>
      </c>
      <c r="I870" t="s">
        <v>26</v>
      </c>
      <c r="J870" s="11">
        <v>0</v>
      </c>
      <c r="K870">
        <v>46</v>
      </c>
      <c r="L870" t="s">
        <v>31</v>
      </c>
      <c r="M870" t="s">
        <v>32</v>
      </c>
      <c r="N870">
        <v>5</v>
      </c>
    </row>
    <row r="871" spans="1:14">
      <c r="A871" t="s">
        <v>903</v>
      </c>
      <c r="B871">
        <v>4815</v>
      </c>
      <c r="D871" t="s">
        <v>28</v>
      </c>
      <c r="E871">
        <v>12621</v>
      </c>
      <c r="F871">
        <v>9127</v>
      </c>
      <c r="G871">
        <v>0.13950000000000001</v>
      </c>
      <c r="H871">
        <v>121.95</v>
      </c>
      <c r="I871" t="s">
        <v>26</v>
      </c>
      <c r="J871" s="11">
        <v>1</v>
      </c>
      <c r="K871">
        <v>26</v>
      </c>
      <c r="L871" t="s">
        <v>31</v>
      </c>
      <c r="M871" t="s">
        <v>32</v>
      </c>
    </row>
    <row r="872" spans="1:14">
      <c r="A872" t="s">
        <v>904</v>
      </c>
      <c r="B872">
        <v>4060</v>
      </c>
      <c r="C872">
        <v>24.48</v>
      </c>
      <c r="D872" t="s">
        <v>15</v>
      </c>
      <c r="E872">
        <v>59345</v>
      </c>
      <c r="F872">
        <v>8435</v>
      </c>
      <c r="G872">
        <v>0.1782</v>
      </c>
      <c r="H872">
        <v>173.32</v>
      </c>
      <c r="I872" t="s">
        <v>26</v>
      </c>
      <c r="L872" t="s">
        <v>37</v>
      </c>
      <c r="M872" t="s">
        <v>32</v>
      </c>
      <c r="N872">
        <v>3</v>
      </c>
    </row>
    <row r="873" spans="1:14">
      <c r="A873" t="s">
        <v>905</v>
      </c>
      <c r="B873">
        <v>3073</v>
      </c>
      <c r="D873" t="s">
        <v>32</v>
      </c>
      <c r="E873">
        <v>71891</v>
      </c>
      <c r="F873">
        <v>5657</v>
      </c>
      <c r="G873">
        <v>0.16689999999999999</v>
      </c>
      <c r="I873" t="s">
        <v>17</v>
      </c>
      <c r="K873">
        <v>59</v>
      </c>
      <c r="L873" t="s">
        <v>31</v>
      </c>
      <c r="M873" t="s">
        <v>23</v>
      </c>
    </row>
    <row r="874" spans="1:14">
      <c r="A874" t="s">
        <v>906</v>
      </c>
      <c r="B874">
        <v>1125</v>
      </c>
      <c r="D874" t="s">
        <v>32</v>
      </c>
      <c r="E874">
        <v>53401</v>
      </c>
      <c r="F874">
        <v>6278</v>
      </c>
      <c r="G874">
        <v>8.8300000000000003E-2</v>
      </c>
      <c r="I874" t="s">
        <v>26</v>
      </c>
      <c r="J874" s="11">
        <v>0</v>
      </c>
      <c r="K874">
        <v>30</v>
      </c>
      <c r="L874" t="s">
        <v>37</v>
      </c>
      <c r="M874" t="s">
        <v>23</v>
      </c>
    </row>
    <row r="875" spans="1:14">
      <c r="A875" t="s">
        <v>907</v>
      </c>
      <c r="B875">
        <v>7763</v>
      </c>
      <c r="C875">
        <v>112.55</v>
      </c>
      <c r="D875" t="s">
        <v>45</v>
      </c>
      <c r="E875">
        <v>45637</v>
      </c>
      <c r="F875">
        <v>7195</v>
      </c>
      <c r="G875">
        <v>0.14560000000000001</v>
      </c>
      <c r="H875">
        <v>363.81</v>
      </c>
      <c r="I875" t="s">
        <v>34</v>
      </c>
      <c r="J875" s="11">
        <v>1</v>
      </c>
      <c r="L875" t="s">
        <v>37</v>
      </c>
      <c r="M875" t="s">
        <v>38</v>
      </c>
      <c r="N875">
        <v>3</v>
      </c>
    </row>
    <row r="876" spans="1:14">
      <c r="A876" t="s">
        <v>908</v>
      </c>
      <c r="B876">
        <v>2980</v>
      </c>
      <c r="C876">
        <v>98.12</v>
      </c>
      <c r="D876" t="s">
        <v>28</v>
      </c>
      <c r="E876">
        <v>1441</v>
      </c>
      <c r="F876">
        <v>2408</v>
      </c>
      <c r="G876">
        <v>5.9499999999999997E-2</v>
      </c>
      <c r="H876">
        <v>180.57</v>
      </c>
      <c r="I876" t="s">
        <v>34</v>
      </c>
      <c r="K876">
        <v>42</v>
      </c>
      <c r="L876" t="s">
        <v>18</v>
      </c>
    </row>
    <row r="877" spans="1:14">
      <c r="A877" t="s">
        <v>909</v>
      </c>
      <c r="B877">
        <v>3296</v>
      </c>
      <c r="C877">
        <v>127.45</v>
      </c>
      <c r="D877" t="s">
        <v>40</v>
      </c>
      <c r="E877">
        <v>38177</v>
      </c>
      <c r="F877">
        <v>5169</v>
      </c>
      <c r="G877">
        <v>0.18</v>
      </c>
      <c r="H877">
        <v>203.68</v>
      </c>
      <c r="I877" t="s">
        <v>21</v>
      </c>
      <c r="K877">
        <v>25</v>
      </c>
      <c r="L877" t="s">
        <v>22</v>
      </c>
      <c r="M877" t="s">
        <v>38</v>
      </c>
      <c r="N877">
        <v>2</v>
      </c>
    </row>
    <row r="878" spans="1:14">
      <c r="A878" t="s">
        <v>910</v>
      </c>
      <c r="B878">
        <v>9084</v>
      </c>
      <c r="C878">
        <v>155.77000000000001</v>
      </c>
      <c r="D878" t="s">
        <v>45</v>
      </c>
      <c r="E878">
        <v>83925</v>
      </c>
      <c r="F878">
        <v>9908</v>
      </c>
      <c r="G878">
        <v>0.18340000000000001</v>
      </c>
      <c r="H878">
        <v>119.77</v>
      </c>
      <c r="I878" t="s">
        <v>26</v>
      </c>
      <c r="J878" s="11">
        <v>0</v>
      </c>
      <c r="K878">
        <v>31</v>
      </c>
      <c r="L878" t="s">
        <v>31</v>
      </c>
      <c r="M878" t="s">
        <v>19</v>
      </c>
      <c r="N878">
        <v>3</v>
      </c>
    </row>
    <row r="879" spans="1:14">
      <c r="A879" t="s">
        <v>911</v>
      </c>
      <c r="B879">
        <v>3353</v>
      </c>
      <c r="D879" t="s">
        <v>40</v>
      </c>
      <c r="E879">
        <v>5751</v>
      </c>
      <c r="F879">
        <v>8576</v>
      </c>
      <c r="G879">
        <v>6.0199999999999997E-2</v>
      </c>
      <c r="H879">
        <v>482.98</v>
      </c>
      <c r="I879" t="s">
        <v>34</v>
      </c>
      <c r="J879" s="11">
        <v>0</v>
      </c>
      <c r="L879" t="s">
        <v>22</v>
      </c>
      <c r="M879" t="s">
        <v>32</v>
      </c>
      <c r="N879">
        <v>1</v>
      </c>
    </row>
    <row r="880" spans="1:14">
      <c r="A880" t="s">
        <v>912</v>
      </c>
      <c r="B880">
        <v>2228</v>
      </c>
      <c r="C880">
        <v>197.94</v>
      </c>
      <c r="D880" t="s">
        <v>25</v>
      </c>
      <c r="E880">
        <v>27771</v>
      </c>
      <c r="F880">
        <v>9241</v>
      </c>
      <c r="G880">
        <v>4.41E-2</v>
      </c>
      <c r="H880">
        <v>392.22</v>
      </c>
      <c r="I880" t="s">
        <v>21</v>
      </c>
      <c r="J880" s="11">
        <v>0</v>
      </c>
      <c r="K880">
        <v>31</v>
      </c>
      <c r="L880" t="s">
        <v>31</v>
      </c>
      <c r="M880" t="s">
        <v>23</v>
      </c>
    </row>
    <row r="881" spans="1:14">
      <c r="A881" t="s">
        <v>913</v>
      </c>
      <c r="B881">
        <v>1920</v>
      </c>
      <c r="C881">
        <v>176.78</v>
      </c>
      <c r="D881" t="s">
        <v>28</v>
      </c>
      <c r="E881">
        <v>5129</v>
      </c>
      <c r="F881">
        <v>4789</v>
      </c>
      <c r="G881">
        <v>0.1502</v>
      </c>
      <c r="H881">
        <v>367.87</v>
      </c>
      <c r="I881" t="s">
        <v>21</v>
      </c>
      <c r="K881">
        <v>61</v>
      </c>
      <c r="L881" t="s">
        <v>22</v>
      </c>
      <c r="M881" t="s">
        <v>38</v>
      </c>
      <c r="N881">
        <v>4</v>
      </c>
    </row>
    <row r="882" spans="1:14">
      <c r="A882" t="s">
        <v>914</v>
      </c>
      <c r="B882">
        <v>7785</v>
      </c>
      <c r="D882" t="s">
        <v>25</v>
      </c>
      <c r="E882">
        <v>71897</v>
      </c>
      <c r="F882">
        <v>3524</v>
      </c>
      <c r="G882">
        <v>3.2099999999999997E-2</v>
      </c>
      <c r="H882">
        <v>455.02</v>
      </c>
      <c r="I882" t="s">
        <v>29</v>
      </c>
      <c r="K882">
        <v>53</v>
      </c>
      <c r="L882" t="s">
        <v>18</v>
      </c>
      <c r="M882" t="s">
        <v>23</v>
      </c>
      <c r="N882">
        <v>5</v>
      </c>
    </row>
    <row r="883" spans="1:14">
      <c r="A883" t="s">
        <v>915</v>
      </c>
      <c r="B883">
        <v>6889</v>
      </c>
      <c r="D883" t="s">
        <v>25</v>
      </c>
      <c r="E883">
        <v>63353</v>
      </c>
      <c r="F883">
        <v>3985</v>
      </c>
      <c r="G883">
        <v>3.3099999999999997E-2</v>
      </c>
      <c r="H883">
        <v>283.64</v>
      </c>
      <c r="I883" t="s">
        <v>26</v>
      </c>
      <c r="J883" s="11">
        <v>0</v>
      </c>
      <c r="K883">
        <v>43</v>
      </c>
      <c r="L883" t="s">
        <v>18</v>
      </c>
      <c r="M883" t="s">
        <v>19</v>
      </c>
      <c r="N883">
        <v>2</v>
      </c>
    </row>
    <row r="884" spans="1:14">
      <c r="A884" t="s">
        <v>916</v>
      </c>
      <c r="B884">
        <v>2845</v>
      </c>
      <c r="C884">
        <v>158.63999999999999</v>
      </c>
      <c r="D884" t="s">
        <v>15</v>
      </c>
      <c r="E884">
        <v>48388</v>
      </c>
      <c r="F884">
        <v>8593</v>
      </c>
      <c r="I884" t="s">
        <v>26</v>
      </c>
      <c r="J884" s="11">
        <v>0</v>
      </c>
      <c r="K884">
        <v>19</v>
      </c>
      <c r="L884" t="s">
        <v>22</v>
      </c>
      <c r="M884" t="s">
        <v>19</v>
      </c>
      <c r="N884">
        <v>4</v>
      </c>
    </row>
    <row r="885" spans="1:14">
      <c r="A885" t="s">
        <v>917</v>
      </c>
      <c r="B885">
        <v>7602</v>
      </c>
      <c r="D885" t="s">
        <v>15</v>
      </c>
      <c r="E885">
        <v>48839</v>
      </c>
      <c r="F885">
        <v>1139</v>
      </c>
      <c r="G885">
        <v>0.16789999999999999</v>
      </c>
      <c r="H885">
        <v>37.94</v>
      </c>
      <c r="I885" t="s">
        <v>17</v>
      </c>
      <c r="K885">
        <v>38</v>
      </c>
      <c r="L885" t="s">
        <v>31</v>
      </c>
      <c r="M885" t="s">
        <v>19</v>
      </c>
      <c r="N885">
        <v>2</v>
      </c>
    </row>
    <row r="886" spans="1:14">
      <c r="A886" t="s">
        <v>918</v>
      </c>
      <c r="B886">
        <v>3277</v>
      </c>
      <c r="D886" t="s">
        <v>25</v>
      </c>
      <c r="E886">
        <v>64676</v>
      </c>
      <c r="F886">
        <v>4620</v>
      </c>
      <c r="G886">
        <v>0.1157</v>
      </c>
      <c r="H886">
        <v>62.49</v>
      </c>
      <c r="I886" t="s">
        <v>17</v>
      </c>
      <c r="J886" s="11">
        <v>1</v>
      </c>
      <c r="K886">
        <v>42</v>
      </c>
      <c r="L886" t="s">
        <v>37</v>
      </c>
      <c r="M886" t="s">
        <v>19</v>
      </c>
      <c r="N886">
        <v>4</v>
      </c>
    </row>
    <row r="887" spans="1:14">
      <c r="A887" t="s">
        <v>919</v>
      </c>
      <c r="B887">
        <v>4323</v>
      </c>
      <c r="C887">
        <v>163.13999999999999</v>
      </c>
      <c r="D887" t="s">
        <v>28</v>
      </c>
      <c r="E887">
        <v>5952</v>
      </c>
      <c r="F887">
        <v>7385</v>
      </c>
      <c r="H887">
        <v>202.39</v>
      </c>
      <c r="I887" t="s">
        <v>29</v>
      </c>
      <c r="K887">
        <v>31</v>
      </c>
      <c r="L887" t="s">
        <v>37</v>
      </c>
      <c r="N887">
        <v>5</v>
      </c>
    </row>
    <row r="888" spans="1:14">
      <c r="A888" t="s">
        <v>920</v>
      </c>
      <c r="B888">
        <v>3594</v>
      </c>
      <c r="C888">
        <v>77.69</v>
      </c>
      <c r="D888" t="s">
        <v>25</v>
      </c>
      <c r="E888">
        <v>37257</v>
      </c>
      <c r="F888">
        <v>3400</v>
      </c>
      <c r="G888">
        <v>0.1653</v>
      </c>
      <c r="H888">
        <v>475.27</v>
      </c>
      <c r="I888" t="s">
        <v>17</v>
      </c>
      <c r="J888" s="11">
        <v>1</v>
      </c>
      <c r="K888">
        <v>26</v>
      </c>
      <c r="L888" t="s">
        <v>18</v>
      </c>
      <c r="N888">
        <v>1</v>
      </c>
    </row>
    <row r="889" spans="1:14">
      <c r="A889" t="s">
        <v>921</v>
      </c>
      <c r="B889">
        <v>1627</v>
      </c>
      <c r="C889">
        <v>12.11</v>
      </c>
      <c r="D889" t="s">
        <v>15</v>
      </c>
      <c r="E889">
        <v>32925</v>
      </c>
      <c r="F889">
        <v>9132</v>
      </c>
      <c r="G889">
        <v>0.12889999999999999</v>
      </c>
      <c r="I889" t="s">
        <v>17</v>
      </c>
      <c r="J889" s="11">
        <v>0</v>
      </c>
      <c r="K889">
        <v>39</v>
      </c>
      <c r="L889" t="s">
        <v>31</v>
      </c>
      <c r="M889" t="s">
        <v>38</v>
      </c>
      <c r="N889">
        <v>5</v>
      </c>
    </row>
    <row r="890" spans="1:14">
      <c r="A890" t="s">
        <v>922</v>
      </c>
      <c r="B890">
        <v>1000</v>
      </c>
      <c r="C890">
        <v>107.79</v>
      </c>
      <c r="D890" t="s">
        <v>15</v>
      </c>
      <c r="E890">
        <v>4229</v>
      </c>
      <c r="F890">
        <v>9685</v>
      </c>
      <c r="G890">
        <v>8.0399999999999999E-2</v>
      </c>
      <c r="H890">
        <v>39.729999999999997</v>
      </c>
      <c r="I890" t="s">
        <v>26</v>
      </c>
      <c r="J890" s="11">
        <v>0</v>
      </c>
      <c r="K890">
        <v>30</v>
      </c>
      <c r="L890" t="s">
        <v>18</v>
      </c>
      <c r="M890" t="s">
        <v>19</v>
      </c>
      <c r="N890">
        <v>4</v>
      </c>
    </row>
    <row r="891" spans="1:14">
      <c r="A891" t="s">
        <v>923</v>
      </c>
      <c r="B891">
        <v>9263</v>
      </c>
      <c r="C891">
        <v>18.760000000000002</v>
      </c>
      <c r="D891" t="s">
        <v>25</v>
      </c>
      <c r="E891">
        <v>70311</v>
      </c>
      <c r="F891">
        <v>8307</v>
      </c>
      <c r="G891">
        <v>1.04E-2</v>
      </c>
      <c r="H891">
        <v>487.53</v>
      </c>
      <c r="I891" t="s">
        <v>17</v>
      </c>
      <c r="K891">
        <v>40</v>
      </c>
      <c r="L891" t="s">
        <v>22</v>
      </c>
      <c r="M891" t="s">
        <v>23</v>
      </c>
      <c r="N891">
        <v>2</v>
      </c>
    </row>
    <row r="892" spans="1:14">
      <c r="A892" t="s">
        <v>924</v>
      </c>
      <c r="B892">
        <v>1879</v>
      </c>
      <c r="C892">
        <v>57.06</v>
      </c>
      <c r="D892" t="s">
        <v>25</v>
      </c>
      <c r="E892">
        <v>86631</v>
      </c>
      <c r="F892">
        <v>9942</v>
      </c>
      <c r="G892">
        <v>0.15770000000000001</v>
      </c>
      <c r="H892">
        <v>478.44</v>
      </c>
      <c r="I892" t="s">
        <v>26</v>
      </c>
      <c r="J892" s="11">
        <v>0</v>
      </c>
      <c r="K892">
        <v>65</v>
      </c>
      <c r="L892" t="s">
        <v>37</v>
      </c>
      <c r="M892" t="s">
        <v>32</v>
      </c>
    </row>
    <row r="893" spans="1:14">
      <c r="A893" t="s">
        <v>925</v>
      </c>
      <c r="B893">
        <v>4779</v>
      </c>
      <c r="C893">
        <v>51.11</v>
      </c>
      <c r="D893" t="s">
        <v>15</v>
      </c>
      <c r="E893">
        <v>45811</v>
      </c>
      <c r="F893">
        <v>2023</v>
      </c>
      <c r="G893">
        <v>5.4899999999999997E-2</v>
      </c>
      <c r="H893">
        <v>249.06</v>
      </c>
      <c r="I893" t="s">
        <v>26</v>
      </c>
      <c r="K893">
        <v>46</v>
      </c>
      <c r="L893" t="s">
        <v>31</v>
      </c>
      <c r="M893" t="s">
        <v>32</v>
      </c>
      <c r="N893">
        <v>5</v>
      </c>
    </row>
    <row r="894" spans="1:14">
      <c r="A894" t="s">
        <v>926</v>
      </c>
      <c r="B894">
        <v>8085</v>
      </c>
      <c r="C894">
        <v>113.09</v>
      </c>
      <c r="D894" t="s">
        <v>32</v>
      </c>
      <c r="E894">
        <v>27993</v>
      </c>
      <c r="F894">
        <v>3656</v>
      </c>
      <c r="G894">
        <v>7.6600000000000001E-2</v>
      </c>
      <c r="H894">
        <v>335.58</v>
      </c>
      <c r="I894" t="s">
        <v>34</v>
      </c>
      <c r="J894" s="11">
        <v>1</v>
      </c>
      <c r="K894">
        <v>49</v>
      </c>
      <c r="L894" t="s">
        <v>22</v>
      </c>
      <c r="M894" t="s">
        <v>38</v>
      </c>
      <c r="N894">
        <v>3</v>
      </c>
    </row>
    <row r="895" spans="1:14">
      <c r="A895" t="s">
        <v>927</v>
      </c>
      <c r="B895">
        <v>6235</v>
      </c>
      <c r="C895">
        <v>180.58</v>
      </c>
      <c r="D895" t="s">
        <v>45</v>
      </c>
      <c r="E895">
        <v>13038</v>
      </c>
      <c r="F895">
        <v>5334</v>
      </c>
      <c r="G895">
        <v>5.0900000000000001E-2</v>
      </c>
      <c r="H895">
        <v>76.040000000000006</v>
      </c>
      <c r="I895" t="s">
        <v>34</v>
      </c>
      <c r="J895" s="11">
        <v>0</v>
      </c>
      <c r="K895">
        <v>43</v>
      </c>
      <c r="L895" t="s">
        <v>22</v>
      </c>
    </row>
    <row r="896" spans="1:14">
      <c r="A896" t="s">
        <v>928</v>
      </c>
      <c r="B896">
        <v>3249</v>
      </c>
      <c r="C896">
        <v>114.2</v>
      </c>
      <c r="D896" t="s">
        <v>25</v>
      </c>
      <c r="E896">
        <v>38987</v>
      </c>
      <c r="F896">
        <v>5544</v>
      </c>
      <c r="G896">
        <v>3.6299999999999999E-2</v>
      </c>
      <c r="H896">
        <v>173.4</v>
      </c>
      <c r="I896" t="s">
        <v>49</v>
      </c>
      <c r="K896">
        <v>47</v>
      </c>
      <c r="L896" t="s">
        <v>18</v>
      </c>
      <c r="M896" t="s">
        <v>19</v>
      </c>
      <c r="N896">
        <v>5</v>
      </c>
    </row>
    <row r="897" spans="1:14">
      <c r="A897" t="s">
        <v>929</v>
      </c>
      <c r="B897">
        <v>8032</v>
      </c>
      <c r="C897">
        <v>149.66999999999999</v>
      </c>
      <c r="D897" t="s">
        <v>40</v>
      </c>
      <c r="E897">
        <v>51758</v>
      </c>
      <c r="F897">
        <v>7201</v>
      </c>
      <c r="G897">
        <v>7.8200000000000006E-2</v>
      </c>
      <c r="H897">
        <v>408.07</v>
      </c>
      <c r="I897" t="s">
        <v>34</v>
      </c>
      <c r="K897">
        <v>22</v>
      </c>
      <c r="L897" t="s">
        <v>18</v>
      </c>
      <c r="M897" t="s">
        <v>32</v>
      </c>
      <c r="N897">
        <v>1</v>
      </c>
    </row>
    <row r="898" spans="1:14">
      <c r="A898" t="s">
        <v>930</v>
      </c>
      <c r="B898">
        <v>8737</v>
      </c>
      <c r="C898">
        <v>160.96</v>
      </c>
      <c r="D898" t="s">
        <v>45</v>
      </c>
      <c r="E898">
        <v>56200</v>
      </c>
      <c r="F898">
        <v>9377</v>
      </c>
      <c r="G898">
        <v>0.112</v>
      </c>
      <c r="H898">
        <v>79.459999999999994</v>
      </c>
      <c r="I898" t="s">
        <v>26</v>
      </c>
      <c r="J898" s="11">
        <v>0</v>
      </c>
      <c r="K898">
        <v>19</v>
      </c>
      <c r="L898" t="s">
        <v>37</v>
      </c>
      <c r="M898" t="s">
        <v>38</v>
      </c>
    </row>
    <row r="899" spans="1:14">
      <c r="A899" t="s">
        <v>931</v>
      </c>
      <c r="B899">
        <v>9597</v>
      </c>
      <c r="C899">
        <v>191.22</v>
      </c>
      <c r="D899" t="s">
        <v>45</v>
      </c>
      <c r="E899">
        <v>62642</v>
      </c>
      <c r="F899">
        <v>1418</v>
      </c>
      <c r="G899">
        <v>4.7699999999999999E-2</v>
      </c>
      <c r="H899">
        <v>389.92</v>
      </c>
      <c r="I899" t="s">
        <v>21</v>
      </c>
      <c r="J899" s="11">
        <v>1</v>
      </c>
      <c r="L899" t="s">
        <v>22</v>
      </c>
      <c r="M899" t="s">
        <v>19</v>
      </c>
      <c r="N899">
        <v>5</v>
      </c>
    </row>
    <row r="900" spans="1:14">
      <c r="A900" t="s">
        <v>932</v>
      </c>
      <c r="B900">
        <v>3414</v>
      </c>
      <c r="D900" t="s">
        <v>32</v>
      </c>
      <c r="E900">
        <v>22950</v>
      </c>
      <c r="F900">
        <v>2799</v>
      </c>
      <c r="G900">
        <v>8.3400000000000002E-2</v>
      </c>
      <c r="H900">
        <v>108.29</v>
      </c>
      <c r="I900" t="s">
        <v>29</v>
      </c>
      <c r="K900">
        <v>22</v>
      </c>
      <c r="L900" t="s">
        <v>37</v>
      </c>
    </row>
    <row r="901" spans="1:14">
      <c r="A901" t="s">
        <v>933</v>
      </c>
      <c r="B901">
        <v>2664</v>
      </c>
      <c r="C901">
        <v>40.79</v>
      </c>
      <c r="D901" t="s">
        <v>25</v>
      </c>
      <c r="E901">
        <v>41045</v>
      </c>
      <c r="F901">
        <v>6776</v>
      </c>
      <c r="G901">
        <v>1.2E-2</v>
      </c>
      <c r="I901" t="s">
        <v>26</v>
      </c>
      <c r="K901">
        <v>38</v>
      </c>
      <c r="L901" t="s">
        <v>22</v>
      </c>
      <c r="M901" t="s">
        <v>32</v>
      </c>
      <c r="N901">
        <v>3</v>
      </c>
    </row>
    <row r="902" spans="1:14">
      <c r="A902" t="s">
        <v>934</v>
      </c>
      <c r="B902">
        <v>4208</v>
      </c>
      <c r="C902">
        <v>111.15</v>
      </c>
      <c r="D902" t="s">
        <v>25</v>
      </c>
      <c r="E902">
        <v>95835</v>
      </c>
      <c r="F902">
        <v>8462</v>
      </c>
      <c r="G902">
        <v>0.14460000000000001</v>
      </c>
      <c r="H902">
        <v>275.55</v>
      </c>
      <c r="I902" t="s">
        <v>21</v>
      </c>
      <c r="K902">
        <v>21</v>
      </c>
      <c r="L902" t="s">
        <v>22</v>
      </c>
      <c r="M902" t="s">
        <v>38</v>
      </c>
    </row>
    <row r="903" spans="1:14">
      <c r="A903" t="s">
        <v>935</v>
      </c>
      <c r="B903">
        <v>7158</v>
      </c>
      <c r="C903">
        <v>69.040000000000006</v>
      </c>
      <c r="D903" t="s">
        <v>32</v>
      </c>
      <c r="E903">
        <v>96898</v>
      </c>
      <c r="F903">
        <v>9584</v>
      </c>
      <c r="G903">
        <v>5.5599999999999997E-2</v>
      </c>
      <c r="H903">
        <v>130.58000000000001</v>
      </c>
      <c r="I903" t="s">
        <v>17</v>
      </c>
      <c r="J903" s="11">
        <v>1</v>
      </c>
      <c r="K903">
        <v>44</v>
      </c>
      <c r="L903" t="s">
        <v>37</v>
      </c>
      <c r="M903" t="s">
        <v>19</v>
      </c>
      <c r="N903">
        <v>2</v>
      </c>
    </row>
    <row r="904" spans="1:14">
      <c r="A904" t="s">
        <v>936</v>
      </c>
      <c r="B904">
        <v>9694</v>
      </c>
      <c r="C904">
        <v>60.32</v>
      </c>
      <c r="D904" t="s">
        <v>25</v>
      </c>
      <c r="E904">
        <v>38145</v>
      </c>
      <c r="F904">
        <v>9712</v>
      </c>
      <c r="G904">
        <v>0.15629999999999999</v>
      </c>
      <c r="H904">
        <v>129.76</v>
      </c>
      <c r="I904" t="s">
        <v>34</v>
      </c>
      <c r="K904">
        <v>18</v>
      </c>
      <c r="L904" t="s">
        <v>18</v>
      </c>
      <c r="M904" t="s">
        <v>19</v>
      </c>
      <c r="N904">
        <v>4</v>
      </c>
    </row>
    <row r="905" spans="1:14">
      <c r="A905" t="s">
        <v>937</v>
      </c>
      <c r="B905">
        <v>9027</v>
      </c>
      <c r="C905">
        <v>63.48</v>
      </c>
      <c r="D905" t="s">
        <v>28</v>
      </c>
      <c r="E905">
        <v>33711</v>
      </c>
      <c r="F905">
        <v>7468</v>
      </c>
      <c r="G905">
        <v>2.3599999999999999E-2</v>
      </c>
      <c r="I905" t="s">
        <v>34</v>
      </c>
      <c r="K905">
        <v>27</v>
      </c>
      <c r="L905" t="s">
        <v>22</v>
      </c>
      <c r="M905" t="s">
        <v>23</v>
      </c>
      <c r="N905">
        <v>3</v>
      </c>
    </row>
    <row r="906" spans="1:14">
      <c r="A906" t="s">
        <v>938</v>
      </c>
      <c r="B906">
        <v>8815</v>
      </c>
      <c r="C906">
        <v>28.77</v>
      </c>
      <c r="D906" t="s">
        <v>15</v>
      </c>
      <c r="E906">
        <v>7779</v>
      </c>
      <c r="F906">
        <v>4616</v>
      </c>
      <c r="G906">
        <v>0.1057</v>
      </c>
      <c r="H906">
        <v>437.76</v>
      </c>
      <c r="I906" t="s">
        <v>26</v>
      </c>
      <c r="K906">
        <v>43</v>
      </c>
      <c r="L906" t="s">
        <v>18</v>
      </c>
      <c r="M906" t="s">
        <v>19</v>
      </c>
      <c r="N906">
        <v>1</v>
      </c>
    </row>
    <row r="907" spans="1:14">
      <c r="A907" t="s">
        <v>939</v>
      </c>
      <c r="B907">
        <v>1139</v>
      </c>
      <c r="C907">
        <v>111.43</v>
      </c>
      <c r="D907" t="s">
        <v>28</v>
      </c>
      <c r="E907">
        <v>79660</v>
      </c>
      <c r="F907">
        <v>9246</v>
      </c>
      <c r="H907">
        <v>395.59</v>
      </c>
      <c r="I907" t="s">
        <v>17</v>
      </c>
      <c r="K907">
        <v>33</v>
      </c>
      <c r="L907" t="s">
        <v>37</v>
      </c>
      <c r="M907" t="s">
        <v>23</v>
      </c>
      <c r="N907">
        <v>1</v>
      </c>
    </row>
    <row r="908" spans="1:14">
      <c r="A908" t="s">
        <v>940</v>
      </c>
      <c r="B908">
        <v>5771</v>
      </c>
      <c r="C908">
        <v>156.27000000000001</v>
      </c>
      <c r="D908" t="s">
        <v>15</v>
      </c>
      <c r="E908">
        <v>12998</v>
      </c>
      <c r="F908">
        <v>9620</v>
      </c>
      <c r="H908">
        <v>201.96</v>
      </c>
      <c r="I908" t="s">
        <v>17</v>
      </c>
      <c r="J908" s="11">
        <v>1</v>
      </c>
      <c r="K908">
        <v>29</v>
      </c>
      <c r="L908" t="s">
        <v>22</v>
      </c>
      <c r="N908">
        <v>1</v>
      </c>
    </row>
    <row r="909" spans="1:14">
      <c r="A909" t="s">
        <v>941</v>
      </c>
      <c r="B909">
        <v>4856</v>
      </c>
      <c r="C909">
        <v>146.69999999999999</v>
      </c>
      <c r="D909" t="s">
        <v>25</v>
      </c>
      <c r="E909">
        <v>11091</v>
      </c>
      <c r="F909">
        <v>8048</v>
      </c>
      <c r="G909">
        <v>0.1003</v>
      </c>
      <c r="I909" t="s">
        <v>17</v>
      </c>
      <c r="J909" s="11">
        <v>1</v>
      </c>
      <c r="K909">
        <v>45</v>
      </c>
      <c r="L909" t="s">
        <v>31</v>
      </c>
      <c r="N909">
        <v>2</v>
      </c>
    </row>
    <row r="910" spans="1:14">
      <c r="A910" t="s">
        <v>942</v>
      </c>
      <c r="B910">
        <v>7084</v>
      </c>
      <c r="C910">
        <v>88.9</v>
      </c>
      <c r="D910" t="s">
        <v>28</v>
      </c>
      <c r="E910">
        <v>76626</v>
      </c>
      <c r="F910">
        <v>1157</v>
      </c>
      <c r="G910">
        <v>0.19550000000000001</v>
      </c>
      <c r="H910">
        <v>107.32</v>
      </c>
      <c r="I910" t="s">
        <v>17</v>
      </c>
      <c r="J910" s="11">
        <v>1</v>
      </c>
      <c r="K910">
        <v>24</v>
      </c>
      <c r="L910" t="s">
        <v>22</v>
      </c>
      <c r="M910" t="s">
        <v>45</v>
      </c>
      <c r="N910">
        <v>3</v>
      </c>
    </row>
    <row r="911" spans="1:14">
      <c r="A911" t="s">
        <v>943</v>
      </c>
      <c r="B911">
        <v>7686</v>
      </c>
      <c r="D911" t="s">
        <v>15</v>
      </c>
      <c r="E911">
        <v>61762</v>
      </c>
      <c r="F911">
        <v>722</v>
      </c>
      <c r="G911">
        <v>8.09E-2</v>
      </c>
      <c r="H911">
        <v>404.36</v>
      </c>
      <c r="I911" t="s">
        <v>49</v>
      </c>
      <c r="J911" s="11">
        <v>1</v>
      </c>
      <c r="K911">
        <v>31</v>
      </c>
      <c r="L911" t="s">
        <v>31</v>
      </c>
      <c r="M911" t="s">
        <v>38</v>
      </c>
      <c r="N911">
        <v>4</v>
      </c>
    </row>
    <row r="912" spans="1:14">
      <c r="A912" t="s">
        <v>944</v>
      </c>
      <c r="B912">
        <v>7904</v>
      </c>
      <c r="C912">
        <v>197.81</v>
      </c>
      <c r="D912" t="s">
        <v>25</v>
      </c>
      <c r="E912">
        <v>39004</v>
      </c>
      <c r="F912">
        <v>357</v>
      </c>
      <c r="G912">
        <v>9.0499999999999997E-2</v>
      </c>
      <c r="H912">
        <v>335.04</v>
      </c>
      <c r="I912" t="s">
        <v>29</v>
      </c>
      <c r="J912" s="11">
        <v>0</v>
      </c>
      <c r="K912">
        <v>44</v>
      </c>
      <c r="L912" t="s">
        <v>22</v>
      </c>
      <c r="M912" t="s">
        <v>23</v>
      </c>
      <c r="N912">
        <v>4</v>
      </c>
    </row>
    <row r="913" spans="1:14">
      <c r="A913" t="s">
        <v>945</v>
      </c>
      <c r="B913">
        <v>3154</v>
      </c>
      <c r="C913">
        <v>130.77000000000001</v>
      </c>
      <c r="D913" t="s">
        <v>25</v>
      </c>
      <c r="E913">
        <v>58376</v>
      </c>
      <c r="F913">
        <v>1464</v>
      </c>
      <c r="G913">
        <v>0.1295</v>
      </c>
      <c r="H913">
        <v>425.29</v>
      </c>
      <c r="I913" t="s">
        <v>26</v>
      </c>
      <c r="L913" t="s">
        <v>18</v>
      </c>
      <c r="M913" t="s">
        <v>23</v>
      </c>
      <c r="N913">
        <v>4</v>
      </c>
    </row>
    <row r="914" spans="1:14">
      <c r="A914" t="s">
        <v>946</v>
      </c>
      <c r="B914">
        <v>3622</v>
      </c>
      <c r="C914">
        <v>86.8</v>
      </c>
      <c r="D914" t="s">
        <v>45</v>
      </c>
      <c r="E914">
        <v>24402</v>
      </c>
      <c r="F914">
        <v>5100</v>
      </c>
      <c r="G914">
        <v>5.11E-2</v>
      </c>
      <c r="H914">
        <v>272.32</v>
      </c>
      <c r="I914" t="s">
        <v>34</v>
      </c>
      <c r="J914" s="11">
        <v>1</v>
      </c>
      <c r="K914">
        <v>49</v>
      </c>
      <c r="L914" t="s">
        <v>22</v>
      </c>
      <c r="M914" t="s">
        <v>23</v>
      </c>
    </row>
    <row r="915" spans="1:14">
      <c r="A915" t="s">
        <v>947</v>
      </c>
      <c r="B915">
        <v>8238</v>
      </c>
      <c r="C915">
        <v>79.31</v>
      </c>
      <c r="D915" t="s">
        <v>32</v>
      </c>
      <c r="E915">
        <v>75249</v>
      </c>
      <c r="F915">
        <v>1855</v>
      </c>
      <c r="G915">
        <v>2.9000000000000001E-2</v>
      </c>
      <c r="I915" t="s">
        <v>29</v>
      </c>
      <c r="K915">
        <v>33</v>
      </c>
      <c r="L915" t="s">
        <v>22</v>
      </c>
    </row>
    <row r="916" spans="1:14">
      <c r="A916" t="s">
        <v>948</v>
      </c>
      <c r="B916">
        <v>8515</v>
      </c>
      <c r="C916">
        <v>29.99</v>
      </c>
      <c r="D916" t="s">
        <v>32</v>
      </c>
      <c r="E916">
        <v>56095</v>
      </c>
      <c r="F916">
        <v>371</v>
      </c>
      <c r="G916">
        <v>0.1275</v>
      </c>
      <c r="H916">
        <v>497.49</v>
      </c>
      <c r="I916" t="s">
        <v>34</v>
      </c>
      <c r="J916" s="11">
        <v>0</v>
      </c>
      <c r="K916">
        <v>36</v>
      </c>
      <c r="L916" t="s">
        <v>37</v>
      </c>
      <c r="M916" t="s">
        <v>32</v>
      </c>
      <c r="N916">
        <v>2</v>
      </c>
    </row>
    <row r="917" spans="1:14">
      <c r="A917" t="s">
        <v>949</v>
      </c>
      <c r="B917">
        <v>8979</v>
      </c>
      <c r="C917">
        <v>196.76</v>
      </c>
      <c r="D917" t="s">
        <v>32</v>
      </c>
      <c r="E917">
        <v>69759</v>
      </c>
      <c r="F917">
        <v>872</v>
      </c>
      <c r="G917">
        <v>0.1084</v>
      </c>
      <c r="H917">
        <v>116.14</v>
      </c>
      <c r="I917" t="s">
        <v>26</v>
      </c>
      <c r="J917" s="11">
        <v>0</v>
      </c>
      <c r="K917">
        <v>34</v>
      </c>
      <c r="L917" t="s">
        <v>31</v>
      </c>
      <c r="M917" t="s">
        <v>19</v>
      </c>
    </row>
    <row r="918" spans="1:14">
      <c r="A918" t="s">
        <v>950</v>
      </c>
      <c r="B918">
        <v>2739</v>
      </c>
      <c r="C918">
        <v>109.99</v>
      </c>
      <c r="D918" t="s">
        <v>28</v>
      </c>
      <c r="E918">
        <v>86128</v>
      </c>
      <c r="F918">
        <v>8206</v>
      </c>
      <c r="G918">
        <v>0.1201</v>
      </c>
      <c r="H918">
        <v>276.95999999999998</v>
      </c>
      <c r="I918" t="s">
        <v>17</v>
      </c>
      <c r="J918" s="11">
        <v>1</v>
      </c>
      <c r="K918">
        <v>35</v>
      </c>
      <c r="L918" t="s">
        <v>22</v>
      </c>
      <c r="M918" t="s">
        <v>45</v>
      </c>
    </row>
    <row r="919" spans="1:14">
      <c r="A919" t="s">
        <v>951</v>
      </c>
      <c r="B919">
        <v>4967</v>
      </c>
      <c r="D919" t="s">
        <v>28</v>
      </c>
      <c r="E919">
        <v>17542</v>
      </c>
      <c r="F919">
        <v>8013</v>
      </c>
      <c r="G919">
        <v>8.7599999999999997E-2</v>
      </c>
      <c r="H919">
        <v>398.8</v>
      </c>
      <c r="I919" t="s">
        <v>17</v>
      </c>
      <c r="K919">
        <v>21</v>
      </c>
      <c r="L919" t="s">
        <v>31</v>
      </c>
      <c r="M919" t="s">
        <v>23</v>
      </c>
      <c r="N919">
        <v>3</v>
      </c>
    </row>
    <row r="920" spans="1:14">
      <c r="A920" t="s">
        <v>952</v>
      </c>
      <c r="B920">
        <v>3013</v>
      </c>
      <c r="C920">
        <v>127.26</v>
      </c>
      <c r="D920" t="s">
        <v>40</v>
      </c>
      <c r="E920">
        <v>16692</v>
      </c>
      <c r="F920">
        <v>2275</v>
      </c>
      <c r="G920">
        <v>0.11219999999999999</v>
      </c>
      <c r="H920">
        <v>220.36</v>
      </c>
      <c r="I920" t="s">
        <v>34</v>
      </c>
      <c r="K920">
        <v>34</v>
      </c>
      <c r="L920" t="s">
        <v>18</v>
      </c>
      <c r="M920" t="s">
        <v>23</v>
      </c>
      <c r="N920">
        <v>1</v>
      </c>
    </row>
    <row r="921" spans="1:14">
      <c r="A921" t="s">
        <v>953</v>
      </c>
      <c r="B921">
        <v>5436</v>
      </c>
      <c r="C921">
        <v>109.17</v>
      </c>
      <c r="D921" t="s">
        <v>28</v>
      </c>
      <c r="E921">
        <v>32711</v>
      </c>
      <c r="F921">
        <v>989</v>
      </c>
      <c r="G921">
        <v>0.17030000000000001</v>
      </c>
      <c r="H921">
        <v>132.07</v>
      </c>
      <c r="I921" t="s">
        <v>34</v>
      </c>
      <c r="K921">
        <v>44</v>
      </c>
      <c r="L921" t="s">
        <v>22</v>
      </c>
      <c r="M921" t="s">
        <v>38</v>
      </c>
      <c r="N921">
        <v>2</v>
      </c>
    </row>
    <row r="922" spans="1:14">
      <c r="A922" t="s">
        <v>954</v>
      </c>
      <c r="B922">
        <v>7425</v>
      </c>
      <c r="C922">
        <v>40.880000000000003</v>
      </c>
      <c r="D922" t="s">
        <v>45</v>
      </c>
      <c r="E922">
        <v>45427</v>
      </c>
      <c r="F922">
        <v>5758</v>
      </c>
      <c r="G922">
        <v>9.2600000000000002E-2</v>
      </c>
      <c r="H922">
        <v>401.37</v>
      </c>
      <c r="I922" t="s">
        <v>29</v>
      </c>
      <c r="J922" s="11">
        <v>1</v>
      </c>
      <c r="K922">
        <v>36</v>
      </c>
      <c r="L922" t="s">
        <v>31</v>
      </c>
      <c r="N922">
        <v>4</v>
      </c>
    </row>
    <row r="923" spans="1:14">
      <c r="A923" t="s">
        <v>955</v>
      </c>
      <c r="B923">
        <v>9920</v>
      </c>
      <c r="C923">
        <v>36.119999999999997</v>
      </c>
      <c r="D923" t="s">
        <v>28</v>
      </c>
      <c r="E923">
        <v>79954</v>
      </c>
      <c r="F923">
        <v>3968</v>
      </c>
      <c r="H923">
        <v>437.41</v>
      </c>
      <c r="I923" t="s">
        <v>49</v>
      </c>
      <c r="K923">
        <v>51</v>
      </c>
      <c r="L923" t="s">
        <v>37</v>
      </c>
      <c r="M923" t="s">
        <v>23</v>
      </c>
      <c r="N923">
        <v>4</v>
      </c>
    </row>
    <row r="924" spans="1:14">
      <c r="A924" t="s">
        <v>956</v>
      </c>
      <c r="B924">
        <v>9424</v>
      </c>
      <c r="C924">
        <v>117.91</v>
      </c>
      <c r="D924" t="s">
        <v>40</v>
      </c>
      <c r="E924">
        <v>62854</v>
      </c>
      <c r="F924">
        <v>7963</v>
      </c>
      <c r="G924">
        <v>0.18010000000000001</v>
      </c>
      <c r="H924">
        <v>265.70999999999998</v>
      </c>
      <c r="I924" t="s">
        <v>17</v>
      </c>
      <c r="L924" t="s">
        <v>22</v>
      </c>
      <c r="M924" t="s">
        <v>38</v>
      </c>
      <c r="N924">
        <v>3</v>
      </c>
    </row>
    <row r="925" spans="1:14">
      <c r="A925" t="s">
        <v>957</v>
      </c>
      <c r="B925">
        <v>4021</v>
      </c>
      <c r="C925">
        <v>173.78</v>
      </c>
      <c r="D925" t="s">
        <v>45</v>
      </c>
      <c r="E925">
        <v>93100</v>
      </c>
      <c r="F925">
        <v>9089</v>
      </c>
      <c r="G925">
        <v>0.1031</v>
      </c>
      <c r="H925">
        <v>483.04</v>
      </c>
      <c r="I925" t="s">
        <v>49</v>
      </c>
      <c r="J925" s="11">
        <v>0</v>
      </c>
      <c r="L925" t="s">
        <v>22</v>
      </c>
      <c r="M925" t="s">
        <v>38</v>
      </c>
      <c r="N925">
        <v>2</v>
      </c>
    </row>
    <row r="926" spans="1:14">
      <c r="A926" t="s">
        <v>958</v>
      </c>
      <c r="B926">
        <v>5023</v>
      </c>
      <c r="C926">
        <v>196.06</v>
      </c>
      <c r="D926" t="s">
        <v>45</v>
      </c>
      <c r="E926">
        <v>73260</v>
      </c>
      <c r="F926">
        <v>6549</v>
      </c>
      <c r="G926">
        <v>4.0800000000000003E-2</v>
      </c>
      <c r="H926">
        <v>68.19</v>
      </c>
      <c r="I926" t="s">
        <v>17</v>
      </c>
      <c r="K926">
        <v>23</v>
      </c>
      <c r="L926" t="s">
        <v>31</v>
      </c>
      <c r="M926" t="s">
        <v>23</v>
      </c>
      <c r="N926">
        <v>2</v>
      </c>
    </row>
    <row r="927" spans="1:14">
      <c r="A927" t="s">
        <v>959</v>
      </c>
      <c r="B927">
        <v>9176</v>
      </c>
      <c r="C927">
        <v>15.52</v>
      </c>
      <c r="D927" t="s">
        <v>15</v>
      </c>
      <c r="E927">
        <v>50002</v>
      </c>
      <c r="F927">
        <v>9686</v>
      </c>
      <c r="G927">
        <v>0.1673</v>
      </c>
      <c r="H927">
        <v>260.56</v>
      </c>
      <c r="I927" t="s">
        <v>34</v>
      </c>
      <c r="K927">
        <v>55</v>
      </c>
      <c r="L927" t="s">
        <v>37</v>
      </c>
      <c r="M927" t="s">
        <v>23</v>
      </c>
      <c r="N927">
        <v>3</v>
      </c>
    </row>
    <row r="928" spans="1:14">
      <c r="A928" t="s">
        <v>960</v>
      </c>
      <c r="B928">
        <v>7656</v>
      </c>
      <c r="C928">
        <v>52.03</v>
      </c>
      <c r="D928" t="s">
        <v>25</v>
      </c>
      <c r="E928">
        <v>41336</v>
      </c>
      <c r="F928">
        <v>738</v>
      </c>
      <c r="G928">
        <v>0.19900000000000001</v>
      </c>
      <c r="H928">
        <v>214.46</v>
      </c>
      <c r="I928" t="s">
        <v>26</v>
      </c>
      <c r="L928" t="s">
        <v>22</v>
      </c>
      <c r="M928" t="s">
        <v>19</v>
      </c>
      <c r="N928">
        <v>4</v>
      </c>
    </row>
    <row r="929" spans="1:14">
      <c r="A929" t="s">
        <v>961</v>
      </c>
      <c r="B929">
        <v>6898</v>
      </c>
      <c r="C929">
        <v>72.44</v>
      </c>
      <c r="D929" t="s">
        <v>32</v>
      </c>
      <c r="E929">
        <v>44844</v>
      </c>
      <c r="F929">
        <v>5217</v>
      </c>
      <c r="H929">
        <v>186.29</v>
      </c>
      <c r="I929" t="s">
        <v>21</v>
      </c>
      <c r="K929">
        <v>20</v>
      </c>
      <c r="L929" t="s">
        <v>31</v>
      </c>
      <c r="M929" t="s">
        <v>45</v>
      </c>
      <c r="N929">
        <v>4</v>
      </c>
    </row>
    <row r="930" spans="1:14">
      <c r="A930" t="s">
        <v>962</v>
      </c>
      <c r="B930">
        <v>3827</v>
      </c>
      <c r="C930">
        <v>88.68</v>
      </c>
      <c r="D930" t="s">
        <v>32</v>
      </c>
      <c r="E930">
        <v>54935</v>
      </c>
      <c r="F930">
        <v>6390</v>
      </c>
      <c r="G930">
        <v>2.3800000000000002E-2</v>
      </c>
      <c r="H930">
        <v>408.42</v>
      </c>
      <c r="I930" t="s">
        <v>49</v>
      </c>
      <c r="J930" s="11">
        <v>0</v>
      </c>
      <c r="K930">
        <v>20</v>
      </c>
      <c r="L930" t="s">
        <v>37</v>
      </c>
      <c r="M930" t="s">
        <v>23</v>
      </c>
      <c r="N930">
        <v>3</v>
      </c>
    </row>
    <row r="931" spans="1:14">
      <c r="A931" t="s">
        <v>963</v>
      </c>
      <c r="B931">
        <v>4384</v>
      </c>
      <c r="C931">
        <v>79.959999999999994</v>
      </c>
      <c r="D931" t="s">
        <v>28</v>
      </c>
      <c r="E931">
        <v>81775</v>
      </c>
      <c r="F931">
        <v>4209</v>
      </c>
      <c r="G931">
        <v>0.1159</v>
      </c>
      <c r="H931">
        <v>195.98</v>
      </c>
      <c r="I931" t="s">
        <v>29</v>
      </c>
      <c r="L931" t="s">
        <v>37</v>
      </c>
      <c r="N931">
        <v>3</v>
      </c>
    </row>
    <row r="932" spans="1:14">
      <c r="A932" t="s">
        <v>964</v>
      </c>
      <c r="B932">
        <v>9797</v>
      </c>
      <c r="D932" t="s">
        <v>40</v>
      </c>
      <c r="E932">
        <v>57644</v>
      </c>
      <c r="F932">
        <v>3931</v>
      </c>
      <c r="H932">
        <v>355.95</v>
      </c>
      <c r="I932" t="s">
        <v>17</v>
      </c>
      <c r="J932" s="11">
        <v>1</v>
      </c>
      <c r="L932" t="s">
        <v>18</v>
      </c>
      <c r="M932" t="s">
        <v>23</v>
      </c>
      <c r="N932">
        <v>1</v>
      </c>
    </row>
    <row r="933" spans="1:14">
      <c r="A933" t="s">
        <v>965</v>
      </c>
      <c r="B933">
        <v>1347</v>
      </c>
      <c r="C933">
        <v>24.38</v>
      </c>
      <c r="D933" t="s">
        <v>25</v>
      </c>
      <c r="E933">
        <v>93464</v>
      </c>
      <c r="F933">
        <v>889</v>
      </c>
      <c r="G933">
        <v>0.18859999999999999</v>
      </c>
      <c r="H933">
        <v>166.26</v>
      </c>
      <c r="I933" t="s">
        <v>26</v>
      </c>
      <c r="K933">
        <v>52</v>
      </c>
      <c r="L933" t="s">
        <v>18</v>
      </c>
      <c r="N933">
        <v>3</v>
      </c>
    </row>
    <row r="934" spans="1:14">
      <c r="A934" t="s">
        <v>966</v>
      </c>
      <c r="B934">
        <v>7269</v>
      </c>
      <c r="D934" t="s">
        <v>32</v>
      </c>
      <c r="E934">
        <v>33789</v>
      </c>
      <c r="F934">
        <v>2402</v>
      </c>
      <c r="G934">
        <v>0.1734</v>
      </c>
      <c r="I934" t="s">
        <v>49</v>
      </c>
      <c r="J934" s="11">
        <v>1</v>
      </c>
      <c r="K934">
        <v>46</v>
      </c>
      <c r="L934" t="s">
        <v>31</v>
      </c>
      <c r="M934" t="s">
        <v>19</v>
      </c>
      <c r="N934">
        <v>2</v>
      </c>
    </row>
    <row r="935" spans="1:14">
      <c r="A935" t="s">
        <v>967</v>
      </c>
      <c r="B935">
        <v>8307</v>
      </c>
      <c r="C935">
        <v>53.77</v>
      </c>
      <c r="D935" t="s">
        <v>45</v>
      </c>
      <c r="E935">
        <v>9168</v>
      </c>
      <c r="F935">
        <v>8915</v>
      </c>
      <c r="G935">
        <v>3.8300000000000001E-2</v>
      </c>
      <c r="H935">
        <v>252.28</v>
      </c>
      <c r="I935" t="s">
        <v>29</v>
      </c>
      <c r="K935">
        <v>47</v>
      </c>
      <c r="L935" t="s">
        <v>37</v>
      </c>
      <c r="M935" t="s">
        <v>32</v>
      </c>
      <c r="N935">
        <v>3</v>
      </c>
    </row>
    <row r="936" spans="1:14">
      <c r="A936" t="s">
        <v>968</v>
      </c>
      <c r="B936">
        <v>7615</v>
      </c>
      <c r="C936">
        <v>149.97999999999999</v>
      </c>
      <c r="D936" t="s">
        <v>25</v>
      </c>
      <c r="E936">
        <v>94903</v>
      </c>
      <c r="F936">
        <v>4667</v>
      </c>
      <c r="G936">
        <v>5.7299999999999997E-2</v>
      </c>
      <c r="H936">
        <v>463.98</v>
      </c>
      <c r="I936" t="s">
        <v>26</v>
      </c>
      <c r="J936" s="11">
        <v>1</v>
      </c>
      <c r="K936">
        <v>62</v>
      </c>
      <c r="L936" t="s">
        <v>22</v>
      </c>
      <c r="M936" t="s">
        <v>23</v>
      </c>
      <c r="N936">
        <v>2</v>
      </c>
    </row>
    <row r="937" spans="1:14">
      <c r="A937" t="s">
        <v>969</v>
      </c>
      <c r="B937">
        <v>9183</v>
      </c>
      <c r="D937" t="s">
        <v>32</v>
      </c>
      <c r="E937">
        <v>12556</v>
      </c>
      <c r="F937">
        <v>5241</v>
      </c>
      <c r="G937">
        <v>0.1017</v>
      </c>
      <c r="H937">
        <v>177.27</v>
      </c>
      <c r="I937" t="s">
        <v>21</v>
      </c>
      <c r="J937" s="11">
        <v>1</v>
      </c>
      <c r="K937">
        <v>33</v>
      </c>
      <c r="L937" t="s">
        <v>18</v>
      </c>
      <c r="M937" t="s">
        <v>32</v>
      </c>
      <c r="N937">
        <v>3</v>
      </c>
    </row>
    <row r="938" spans="1:14">
      <c r="A938" t="s">
        <v>970</v>
      </c>
      <c r="B938">
        <v>6365</v>
      </c>
      <c r="C938">
        <v>53.1</v>
      </c>
      <c r="D938" t="s">
        <v>40</v>
      </c>
      <c r="E938">
        <v>34115</v>
      </c>
      <c r="F938">
        <v>402</v>
      </c>
      <c r="G938">
        <v>0.16370000000000001</v>
      </c>
      <c r="H938">
        <v>439.28</v>
      </c>
      <c r="I938" t="s">
        <v>34</v>
      </c>
      <c r="K938">
        <v>35</v>
      </c>
      <c r="L938" t="s">
        <v>18</v>
      </c>
      <c r="M938" t="s">
        <v>23</v>
      </c>
      <c r="N938">
        <v>5</v>
      </c>
    </row>
    <row r="939" spans="1:14">
      <c r="A939" t="s">
        <v>971</v>
      </c>
      <c r="B939">
        <v>3044</v>
      </c>
      <c r="D939" t="s">
        <v>15</v>
      </c>
      <c r="E939">
        <v>43272</v>
      </c>
      <c r="F939">
        <v>5049</v>
      </c>
      <c r="G939">
        <v>8.6800000000000002E-2</v>
      </c>
      <c r="H939">
        <v>23.83</v>
      </c>
      <c r="I939" t="s">
        <v>21</v>
      </c>
      <c r="K939">
        <v>27</v>
      </c>
      <c r="L939" t="s">
        <v>31</v>
      </c>
      <c r="M939" t="s">
        <v>19</v>
      </c>
      <c r="N939">
        <v>4</v>
      </c>
    </row>
    <row r="940" spans="1:14">
      <c r="A940" t="s">
        <v>972</v>
      </c>
      <c r="B940">
        <v>1783</v>
      </c>
      <c r="C940">
        <v>18.399999999999999</v>
      </c>
      <c r="D940" t="s">
        <v>40</v>
      </c>
      <c r="E940">
        <v>92328</v>
      </c>
      <c r="F940">
        <v>3673</v>
      </c>
      <c r="G940">
        <v>9.5100000000000004E-2</v>
      </c>
      <c r="I940" t="s">
        <v>17</v>
      </c>
      <c r="K940">
        <v>19</v>
      </c>
      <c r="L940" t="s">
        <v>22</v>
      </c>
      <c r="M940" t="s">
        <v>23</v>
      </c>
      <c r="N940">
        <v>1</v>
      </c>
    </row>
    <row r="941" spans="1:14">
      <c r="A941" t="s">
        <v>973</v>
      </c>
      <c r="B941">
        <v>8460</v>
      </c>
      <c r="D941" t="s">
        <v>32</v>
      </c>
      <c r="E941">
        <v>32566</v>
      </c>
      <c r="F941">
        <v>5388</v>
      </c>
      <c r="G941">
        <v>7.3800000000000004E-2</v>
      </c>
      <c r="H941">
        <v>410.83</v>
      </c>
      <c r="I941" t="s">
        <v>29</v>
      </c>
      <c r="K941">
        <v>59</v>
      </c>
      <c r="L941" t="s">
        <v>31</v>
      </c>
      <c r="M941" t="s">
        <v>38</v>
      </c>
      <c r="N941">
        <v>4</v>
      </c>
    </row>
    <row r="942" spans="1:14">
      <c r="A942" t="s">
        <v>974</v>
      </c>
      <c r="B942">
        <v>8148</v>
      </c>
      <c r="C942">
        <v>20.12</v>
      </c>
      <c r="D942" t="s">
        <v>45</v>
      </c>
      <c r="E942">
        <v>64929</v>
      </c>
      <c r="F942">
        <v>5162</v>
      </c>
      <c r="G942">
        <v>6.2199999999999998E-2</v>
      </c>
      <c r="H942">
        <v>348.31</v>
      </c>
      <c r="I942" t="s">
        <v>26</v>
      </c>
      <c r="K942">
        <v>50</v>
      </c>
      <c r="L942" t="s">
        <v>31</v>
      </c>
      <c r="M942" t="s">
        <v>38</v>
      </c>
    </row>
    <row r="943" spans="1:14">
      <c r="A943" t="s">
        <v>975</v>
      </c>
      <c r="B943">
        <v>5904</v>
      </c>
      <c r="C943">
        <v>62.55</v>
      </c>
      <c r="D943" t="s">
        <v>28</v>
      </c>
      <c r="E943">
        <v>12375</v>
      </c>
      <c r="F943">
        <v>2796</v>
      </c>
      <c r="G943">
        <v>1.9699999999999999E-2</v>
      </c>
      <c r="H943">
        <v>117.19</v>
      </c>
      <c r="I943" t="s">
        <v>26</v>
      </c>
      <c r="J943" s="11">
        <v>1</v>
      </c>
      <c r="K943">
        <v>26</v>
      </c>
      <c r="L943" t="s">
        <v>18</v>
      </c>
      <c r="M943" t="s">
        <v>23</v>
      </c>
      <c r="N943">
        <v>2</v>
      </c>
    </row>
    <row r="944" spans="1:14">
      <c r="A944" t="s">
        <v>976</v>
      </c>
      <c r="B944">
        <v>4438</v>
      </c>
      <c r="C944">
        <v>86.96</v>
      </c>
      <c r="D944" t="s">
        <v>15</v>
      </c>
      <c r="E944">
        <v>71591</v>
      </c>
      <c r="F944">
        <v>2380</v>
      </c>
      <c r="G944">
        <v>0.1139</v>
      </c>
      <c r="I944" t="s">
        <v>34</v>
      </c>
      <c r="J944" s="11">
        <v>1</v>
      </c>
      <c r="K944">
        <v>46</v>
      </c>
      <c r="L944" t="s">
        <v>18</v>
      </c>
      <c r="M944" t="s">
        <v>19</v>
      </c>
      <c r="N944">
        <v>3</v>
      </c>
    </row>
    <row r="945" spans="1:14">
      <c r="A945" t="s">
        <v>977</v>
      </c>
      <c r="B945">
        <v>8692</v>
      </c>
      <c r="D945" t="s">
        <v>15</v>
      </c>
      <c r="E945">
        <v>24463</v>
      </c>
      <c r="F945">
        <v>9971</v>
      </c>
      <c r="G945">
        <v>5.4699999999999999E-2</v>
      </c>
      <c r="I945" t="s">
        <v>21</v>
      </c>
      <c r="K945">
        <v>60</v>
      </c>
      <c r="L945" t="s">
        <v>31</v>
      </c>
      <c r="M945" t="s">
        <v>19</v>
      </c>
      <c r="N945">
        <v>1</v>
      </c>
    </row>
    <row r="946" spans="1:14">
      <c r="A946" t="s">
        <v>978</v>
      </c>
      <c r="B946">
        <v>2502</v>
      </c>
      <c r="C946">
        <v>8.25</v>
      </c>
      <c r="D946" t="s">
        <v>32</v>
      </c>
      <c r="E946">
        <v>31501</v>
      </c>
      <c r="F946">
        <v>6593</v>
      </c>
      <c r="G946">
        <v>6.3299999999999995E-2</v>
      </c>
      <c r="H946">
        <v>408.57</v>
      </c>
      <c r="I946" t="s">
        <v>34</v>
      </c>
      <c r="J946" s="11">
        <v>0</v>
      </c>
      <c r="K946">
        <v>18</v>
      </c>
      <c r="L946" t="s">
        <v>31</v>
      </c>
      <c r="M946" t="s">
        <v>38</v>
      </c>
      <c r="N946">
        <v>1</v>
      </c>
    </row>
    <row r="947" spans="1:14">
      <c r="A947" t="s">
        <v>979</v>
      </c>
      <c r="B947">
        <v>4617</v>
      </c>
      <c r="C947">
        <v>102</v>
      </c>
      <c r="D947" t="s">
        <v>32</v>
      </c>
      <c r="E947">
        <v>32787</v>
      </c>
      <c r="F947">
        <v>505</v>
      </c>
      <c r="G947">
        <v>0.1772</v>
      </c>
      <c r="H947">
        <v>211.96</v>
      </c>
      <c r="I947" t="s">
        <v>34</v>
      </c>
      <c r="J947" s="11">
        <v>0</v>
      </c>
      <c r="L947" t="s">
        <v>22</v>
      </c>
      <c r="M947" t="s">
        <v>19</v>
      </c>
      <c r="N947">
        <v>4</v>
      </c>
    </row>
    <row r="948" spans="1:14">
      <c r="A948" t="s">
        <v>980</v>
      </c>
      <c r="B948">
        <v>9569</v>
      </c>
      <c r="D948" t="s">
        <v>25</v>
      </c>
      <c r="E948">
        <v>36451</v>
      </c>
      <c r="F948">
        <v>8183</v>
      </c>
      <c r="G948">
        <v>4.7600000000000003E-2</v>
      </c>
      <c r="I948" t="s">
        <v>17</v>
      </c>
      <c r="J948" s="11">
        <v>1</v>
      </c>
      <c r="K948">
        <v>61</v>
      </c>
      <c r="L948" t="s">
        <v>22</v>
      </c>
      <c r="M948" t="s">
        <v>19</v>
      </c>
      <c r="N948">
        <v>5</v>
      </c>
    </row>
    <row r="949" spans="1:14">
      <c r="A949" t="s">
        <v>981</v>
      </c>
      <c r="B949">
        <v>6930</v>
      </c>
      <c r="C949">
        <v>122.95</v>
      </c>
      <c r="D949" t="s">
        <v>40</v>
      </c>
      <c r="E949">
        <v>95481</v>
      </c>
      <c r="F949">
        <v>9906</v>
      </c>
      <c r="G949">
        <v>0.111</v>
      </c>
      <c r="H949">
        <v>350.18</v>
      </c>
      <c r="I949" t="s">
        <v>17</v>
      </c>
      <c r="J949" s="11">
        <v>1</v>
      </c>
      <c r="K949">
        <v>34</v>
      </c>
      <c r="L949" t="s">
        <v>31</v>
      </c>
      <c r="M949" t="s">
        <v>45</v>
      </c>
      <c r="N949">
        <v>2</v>
      </c>
    </row>
    <row r="950" spans="1:14">
      <c r="A950" t="s">
        <v>982</v>
      </c>
      <c r="B950">
        <v>4981</v>
      </c>
      <c r="C950">
        <v>29.15</v>
      </c>
      <c r="D950" t="s">
        <v>28</v>
      </c>
      <c r="E950">
        <v>72363</v>
      </c>
      <c r="F950">
        <v>6036</v>
      </c>
      <c r="G950">
        <v>8.6199999999999999E-2</v>
      </c>
      <c r="H950">
        <v>465.6</v>
      </c>
      <c r="I950" t="s">
        <v>21</v>
      </c>
      <c r="J950" s="11">
        <v>1</v>
      </c>
      <c r="K950">
        <v>24</v>
      </c>
      <c r="L950" t="s">
        <v>18</v>
      </c>
      <c r="M950" t="s">
        <v>19</v>
      </c>
    </row>
    <row r="951" spans="1:14">
      <c r="A951" t="s">
        <v>983</v>
      </c>
      <c r="B951">
        <v>6141</v>
      </c>
      <c r="D951" t="s">
        <v>28</v>
      </c>
      <c r="E951">
        <v>6251</v>
      </c>
      <c r="F951">
        <v>5614</v>
      </c>
      <c r="G951">
        <v>1.06E-2</v>
      </c>
      <c r="H951">
        <v>267.73</v>
      </c>
      <c r="I951" t="s">
        <v>34</v>
      </c>
      <c r="K951">
        <v>26</v>
      </c>
      <c r="L951" t="s">
        <v>18</v>
      </c>
      <c r="M951" t="s">
        <v>38</v>
      </c>
    </row>
    <row r="952" spans="1:14">
      <c r="A952" t="s">
        <v>984</v>
      </c>
      <c r="B952">
        <v>3818</v>
      </c>
      <c r="D952" t="s">
        <v>28</v>
      </c>
      <c r="E952">
        <v>48463</v>
      </c>
      <c r="F952">
        <v>4223</v>
      </c>
      <c r="G952">
        <v>3.8300000000000001E-2</v>
      </c>
      <c r="H952">
        <v>40.57</v>
      </c>
      <c r="I952" t="s">
        <v>26</v>
      </c>
      <c r="K952">
        <v>56</v>
      </c>
      <c r="L952" t="s">
        <v>37</v>
      </c>
      <c r="M952" t="s">
        <v>38</v>
      </c>
      <c r="N952">
        <v>3</v>
      </c>
    </row>
    <row r="953" spans="1:14">
      <c r="A953" t="s">
        <v>985</v>
      </c>
      <c r="B953">
        <v>8330</v>
      </c>
      <c r="C953">
        <v>119.13</v>
      </c>
      <c r="D953" t="s">
        <v>45</v>
      </c>
      <c r="E953">
        <v>67316</v>
      </c>
      <c r="F953">
        <v>2031</v>
      </c>
      <c r="G953">
        <v>0.1031</v>
      </c>
      <c r="H953">
        <v>10.95</v>
      </c>
      <c r="I953" t="s">
        <v>29</v>
      </c>
      <c r="J953" s="11">
        <v>1</v>
      </c>
      <c r="K953">
        <v>23</v>
      </c>
      <c r="L953" t="s">
        <v>31</v>
      </c>
      <c r="M953" t="s">
        <v>38</v>
      </c>
    </row>
    <row r="954" spans="1:14">
      <c r="A954" t="s">
        <v>986</v>
      </c>
      <c r="B954">
        <v>8026</v>
      </c>
      <c r="C954">
        <v>122.55</v>
      </c>
      <c r="D954" t="s">
        <v>28</v>
      </c>
      <c r="E954">
        <v>81913</v>
      </c>
      <c r="F954">
        <v>3192</v>
      </c>
      <c r="H954">
        <v>443.91</v>
      </c>
      <c r="I954" t="s">
        <v>34</v>
      </c>
      <c r="J954" s="11">
        <v>0</v>
      </c>
      <c r="K954">
        <v>60</v>
      </c>
      <c r="L954" t="s">
        <v>37</v>
      </c>
      <c r="M954" t="s">
        <v>32</v>
      </c>
      <c r="N954">
        <v>4</v>
      </c>
    </row>
    <row r="955" spans="1:14">
      <c r="A955" t="s">
        <v>987</v>
      </c>
      <c r="B955">
        <v>9524</v>
      </c>
      <c r="C955">
        <v>51.49</v>
      </c>
      <c r="D955" t="s">
        <v>40</v>
      </c>
      <c r="E955">
        <v>41041</v>
      </c>
      <c r="F955">
        <v>428</v>
      </c>
      <c r="I955" t="s">
        <v>34</v>
      </c>
      <c r="J955" s="11">
        <v>1</v>
      </c>
      <c r="K955">
        <v>49</v>
      </c>
      <c r="L955" t="s">
        <v>31</v>
      </c>
      <c r="M955" t="s">
        <v>19</v>
      </c>
    </row>
    <row r="956" spans="1:14">
      <c r="A956" t="s">
        <v>988</v>
      </c>
      <c r="B956">
        <v>5726</v>
      </c>
      <c r="C956">
        <v>31.65</v>
      </c>
      <c r="D956" t="s">
        <v>40</v>
      </c>
      <c r="E956">
        <v>54164</v>
      </c>
      <c r="F956">
        <v>1629</v>
      </c>
      <c r="G956">
        <v>0.12479999999999999</v>
      </c>
      <c r="H956">
        <v>416.25</v>
      </c>
      <c r="I956" t="s">
        <v>29</v>
      </c>
      <c r="J956" s="11">
        <v>0</v>
      </c>
      <c r="L956" t="s">
        <v>31</v>
      </c>
      <c r="M956" t="s">
        <v>19</v>
      </c>
    </row>
    <row r="957" spans="1:14">
      <c r="A957" t="s">
        <v>989</v>
      </c>
      <c r="B957">
        <v>1641</v>
      </c>
      <c r="C957">
        <v>118.79</v>
      </c>
      <c r="D957" t="s">
        <v>25</v>
      </c>
      <c r="E957">
        <v>22823</v>
      </c>
      <c r="F957">
        <v>8201</v>
      </c>
      <c r="I957" t="s">
        <v>29</v>
      </c>
      <c r="J957" s="11">
        <v>0</v>
      </c>
      <c r="K957">
        <v>64</v>
      </c>
      <c r="L957" t="s">
        <v>18</v>
      </c>
      <c r="M957" t="s">
        <v>38</v>
      </c>
    </row>
    <row r="958" spans="1:14">
      <c r="A958" t="s">
        <v>990</v>
      </c>
      <c r="B958">
        <v>1503</v>
      </c>
      <c r="D958" t="s">
        <v>15</v>
      </c>
      <c r="E958">
        <v>78768</v>
      </c>
      <c r="F958">
        <v>8258</v>
      </c>
      <c r="G958">
        <v>8.0199999999999994E-2</v>
      </c>
      <c r="H958">
        <v>270.83</v>
      </c>
      <c r="I958" t="s">
        <v>29</v>
      </c>
      <c r="J958" s="11">
        <v>1</v>
      </c>
      <c r="K958">
        <v>32</v>
      </c>
      <c r="L958" t="s">
        <v>22</v>
      </c>
      <c r="M958" t="s">
        <v>38</v>
      </c>
    </row>
    <row r="959" spans="1:14">
      <c r="A959" t="s">
        <v>991</v>
      </c>
      <c r="B959">
        <v>9289</v>
      </c>
      <c r="C959">
        <v>57.2</v>
      </c>
      <c r="D959" t="s">
        <v>15</v>
      </c>
      <c r="E959">
        <v>65625</v>
      </c>
      <c r="F959">
        <v>4208</v>
      </c>
      <c r="G959">
        <v>7.6600000000000001E-2</v>
      </c>
      <c r="H959">
        <v>456.23</v>
      </c>
      <c r="I959" t="s">
        <v>26</v>
      </c>
      <c r="J959" s="11">
        <v>0</v>
      </c>
      <c r="K959">
        <v>29</v>
      </c>
      <c r="L959" t="s">
        <v>37</v>
      </c>
      <c r="M959" t="s">
        <v>45</v>
      </c>
    </row>
    <row r="960" spans="1:14">
      <c r="A960" t="s">
        <v>992</v>
      </c>
      <c r="B960">
        <v>9921</v>
      </c>
      <c r="C960">
        <v>106.28</v>
      </c>
      <c r="D960" t="s">
        <v>15</v>
      </c>
      <c r="E960">
        <v>66955</v>
      </c>
      <c r="F960">
        <v>9443</v>
      </c>
      <c r="G960">
        <v>8.9700000000000002E-2</v>
      </c>
      <c r="H960">
        <v>420.48</v>
      </c>
      <c r="I960" t="s">
        <v>34</v>
      </c>
      <c r="K960">
        <v>61</v>
      </c>
      <c r="L960" t="s">
        <v>31</v>
      </c>
      <c r="M960" t="s">
        <v>23</v>
      </c>
      <c r="N960">
        <v>4</v>
      </c>
    </row>
    <row r="961" spans="1:14">
      <c r="A961" t="s">
        <v>993</v>
      </c>
      <c r="B961">
        <v>3200</v>
      </c>
      <c r="C961">
        <v>123.81</v>
      </c>
      <c r="D961" t="s">
        <v>15</v>
      </c>
      <c r="E961">
        <v>26660</v>
      </c>
      <c r="F961">
        <v>7510</v>
      </c>
      <c r="I961" t="s">
        <v>21</v>
      </c>
      <c r="J961" s="11">
        <v>1</v>
      </c>
      <c r="K961">
        <v>50</v>
      </c>
      <c r="L961" t="s">
        <v>18</v>
      </c>
      <c r="M961" t="s">
        <v>38</v>
      </c>
      <c r="N961">
        <v>5</v>
      </c>
    </row>
    <row r="962" spans="1:14">
      <c r="A962" t="s">
        <v>994</v>
      </c>
      <c r="B962">
        <v>8504</v>
      </c>
      <c r="C962">
        <v>174.76</v>
      </c>
      <c r="D962" t="s">
        <v>40</v>
      </c>
      <c r="E962">
        <v>1736</v>
      </c>
      <c r="F962">
        <v>4957</v>
      </c>
      <c r="G962">
        <v>0.1653</v>
      </c>
      <c r="H962">
        <v>17.02</v>
      </c>
      <c r="I962" t="s">
        <v>29</v>
      </c>
      <c r="J962" s="11">
        <v>1</v>
      </c>
      <c r="K962">
        <v>52</v>
      </c>
      <c r="L962" t="s">
        <v>37</v>
      </c>
      <c r="N962">
        <v>2</v>
      </c>
    </row>
    <row r="963" spans="1:14">
      <c r="A963" t="s">
        <v>995</v>
      </c>
      <c r="B963">
        <v>6837</v>
      </c>
      <c r="C963">
        <v>175.13</v>
      </c>
      <c r="D963" t="s">
        <v>40</v>
      </c>
      <c r="E963">
        <v>85624</v>
      </c>
      <c r="F963">
        <v>4370</v>
      </c>
      <c r="G963">
        <v>0.125</v>
      </c>
      <c r="H963">
        <v>106.54</v>
      </c>
      <c r="I963" t="s">
        <v>29</v>
      </c>
      <c r="K963">
        <v>26</v>
      </c>
      <c r="L963" t="s">
        <v>22</v>
      </c>
      <c r="M963" t="s">
        <v>45</v>
      </c>
    </row>
    <row r="964" spans="1:14">
      <c r="A964" t="s">
        <v>996</v>
      </c>
      <c r="B964">
        <v>7656</v>
      </c>
      <c r="C964">
        <v>196.7</v>
      </c>
      <c r="D964" t="s">
        <v>28</v>
      </c>
      <c r="E964">
        <v>93069</v>
      </c>
      <c r="F964">
        <v>4163</v>
      </c>
      <c r="G964">
        <v>9.8500000000000004E-2</v>
      </c>
      <c r="H964">
        <v>129.13</v>
      </c>
      <c r="I964" t="s">
        <v>17</v>
      </c>
      <c r="L964" t="s">
        <v>37</v>
      </c>
      <c r="M964" t="s">
        <v>23</v>
      </c>
      <c r="N964">
        <v>2</v>
      </c>
    </row>
    <row r="965" spans="1:14">
      <c r="A965" t="s">
        <v>997</v>
      </c>
      <c r="B965">
        <v>5403</v>
      </c>
      <c r="C965">
        <v>136.51</v>
      </c>
      <c r="D965" t="s">
        <v>25</v>
      </c>
      <c r="E965">
        <v>30039</v>
      </c>
      <c r="F965">
        <v>138</v>
      </c>
      <c r="G965">
        <v>3.0300000000000001E-2</v>
      </c>
      <c r="H965">
        <v>225.84</v>
      </c>
      <c r="I965" t="s">
        <v>49</v>
      </c>
      <c r="K965">
        <v>56</v>
      </c>
      <c r="L965" t="s">
        <v>22</v>
      </c>
      <c r="M965" t="s">
        <v>38</v>
      </c>
      <c r="N965">
        <v>2</v>
      </c>
    </row>
    <row r="966" spans="1:14">
      <c r="A966" t="s">
        <v>998</v>
      </c>
      <c r="B966">
        <v>7789</v>
      </c>
      <c r="C966">
        <v>8.89</v>
      </c>
      <c r="D966" t="s">
        <v>40</v>
      </c>
      <c r="E966">
        <v>60528</v>
      </c>
      <c r="F966">
        <v>4145</v>
      </c>
      <c r="G966">
        <v>0.1555</v>
      </c>
      <c r="H966">
        <v>83.38</v>
      </c>
      <c r="I966" t="s">
        <v>34</v>
      </c>
      <c r="K966">
        <v>32</v>
      </c>
      <c r="L966" t="s">
        <v>37</v>
      </c>
      <c r="M966" t="s">
        <v>38</v>
      </c>
    </row>
    <row r="967" spans="1:14">
      <c r="A967" t="s">
        <v>999</v>
      </c>
      <c r="B967">
        <v>6835</v>
      </c>
      <c r="C967">
        <v>144.52000000000001</v>
      </c>
      <c r="D967" t="s">
        <v>32</v>
      </c>
      <c r="E967">
        <v>38790</v>
      </c>
      <c r="F967">
        <v>2350</v>
      </c>
      <c r="G967">
        <v>0.1303</v>
      </c>
      <c r="H967">
        <v>414.28</v>
      </c>
      <c r="I967" t="s">
        <v>21</v>
      </c>
      <c r="J967" s="11">
        <v>0</v>
      </c>
      <c r="K967">
        <v>19</v>
      </c>
      <c r="L967" t="s">
        <v>37</v>
      </c>
      <c r="M967" t="s">
        <v>19</v>
      </c>
      <c r="N967">
        <v>1</v>
      </c>
    </row>
    <row r="968" spans="1:14">
      <c r="A968" t="s">
        <v>1000</v>
      </c>
      <c r="B968">
        <v>4457</v>
      </c>
      <c r="C968">
        <v>199.06</v>
      </c>
      <c r="D968" t="s">
        <v>32</v>
      </c>
      <c r="E968">
        <v>35431</v>
      </c>
      <c r="F968">
        <v>6812</v>
      </c>
      <c r="H968">
        <v>374.18</v>
      </c>
      <c r="I968" t="s">
        <v>34</v>
      </c>
      <c r="K968">
        <v>46</v>
      </c>
      <c r="L968" t="s">
        <v>18</v>
      </c>
      <c r="M968" t="s">
        <v>23</v>
      </c>
      <c r="N968">
        <v>4</v>
      </c>
    </row>
    <row r="969" spans="1:14">
      <c r="A969" t="s">
        <v>1001</v>
      </c>
      <c r="B969">
        <v>8013</v>
      </c>
      <c r="C969">
        <v>108.99</v>
      </c>
      <c r="D969" t="s">
        <v>28</v>
      </c>
      <c r="E969">
        <v>10050</v>
      </c>
      <c r="F969">
        <v>8592</v>
      </c>
      <c r="G969">
        <v>0.1842</v>
      </c>
      <c r="I969" t="s">
        <v>29</v>
      </c>
      <c r="J969" s="11">
        <v>0</v>
      </c>
      <c r="K969">
        <v>41</v>
      </c>
      <c r="L969" t="s">
        <v>18</v>
      </c>
      <c r="M969" t="s">
        <v>38</v>
      </c>
      <c r="N969">
        <v>3</v>
      </c>
    </row>
    <row r="970" spans="1:14">
      <c r="A970" t="s">
        <v>1002</v>
      </c>
      <c r="B970">
        <v>8595</v>
      </c>
      <c r="C970">
        <v>24.14</v>
      </c>
      <c r="D970" t="s">
        <v>40</v>
      </c>
      <c r="E970">
        <v>92159</v>
      </c>
      <c r="F970">
        <v>2744</v>
      </c>
      <c r="G970">
        <v>1.5699999999999999E-2</v>
      </c>
      <c r="I970" t="s">
        <v>34</v>
      </c>
      <c r="J970" s="11">
        <v>1</v>
      </c>
      <c r="K970">
        <v>19</v>
      </c>
      <c r="L970" t="s">
        <v>37</v>
      </c>
      <c r="M970" t="s">
        <v>38</v>
      </c>
      <c r="N970">
        <v>3</v>
      </c>
    </row>
    <row r="971" spans="1:14">
      <c r="A971" t="s">
        <v>1003</v>
      </c>
      <c r="B971">
        <v>5681</v>
      </c>
      <c r="C971">
        <v>144.37</v>
      </c>
      <c r="D971" t="s">
        <v>28</v>
      </c>
      <c r="E971">
        <v>3857</v>
      </c>
      <c r="F971">
        <v>7120</v>
      </c>
      <c r="H971">
        <v>95.77</v>
      </c>
      <c r="I971" t="s">
        <v>29</v>
      </c>
      <c r="K971">
        <v>58</v>
      </c>
      <c r="L971" t="s">
        <v>31</v>
      </c>
      <c r="M971" t="s">
        <v>38</v>
      </c>
      <c r="N971">
        <v>3</v>
      </c>
    </row>
    <row r="972" spans="1:14">
      <c r="A972" t="s">
        <v>1004</v>
      </c>
      <c r="B972">
        <v>9670</v>
      </c>
      <c r="C972">
        <v>159.87</v>
      </c>
      <c r="D972" t="s">
        <v>15</v>
      </c>
      <c r="E972">
        <v>25869</v>
      </c>
      <c r="F972">
        <v>1334</v>
      </c>
      <c r="H972">
        <v>485.71</v>
      </c>
      <c r="I972" t="s">
        <v>29</v>
      </c>
      <c r="K972">
        <v>24</v>
      </c>
      <c r="L972" t="s">
        <v>22</v>
      </c>
      <c r="M972" t="s">
        <v>23</v>
      </c>
      <c r="N972">
        <v>3</v>
      </c>
    </row>
    <row r="973" spans="1:14">
      <c r="A973" t="s">
        <v>1005</v>
      </c>
      <c r="B973">
        <v>8684</v>
      </c>
      <c r="C973">
        <v>61.26</v>
      </c>
      <c r="D973" t="s">
        <v>15</v>
      </c>
      <c r="E973">
        <v>86732</v>
      </c>
      <c r="F973">
        <v>7596</v>
      </c>
      <c r="I973" t="s">
        <v>29</v>
      </c>
      <c r="K973">
        <v>56</v>
      </c>
      <c r="L973" t="s">
        <v>22</v>
      </c>
      <c r="N973">
        <v>2</v>
      </c>
    </row>
    <row r="974" spans="1:14">
      <c r="A974" t="s">
        <v>1006</v>
      </c>
      <c r="B974">
        <v>7657</v>
      </c>
      <c r="C974">
        <v>30.4</v>
      </c>
      <c r="D974" t="s">
        <v>15</v>
      </c>
      <c r="E974">
        <v>78346</v>
      </c>
      <c r="F974">
        <v>1401</v>
      </c>
      <c r="G974">
        <v>0.14849999999999999</v>
      </c>
      <c r="H974">
        <v>81.290000000000006</v>
      </c>
      <c r="I974" t="s">
        <v>26</v>
      </c>
      <c r="J974" s="11">
        <v>0</v>
      </c>
      <c r="K974">
        <v>37</v>
      </c>
      <c r="L974" t="s">
        <v>31</v>
      </c>
      <c r="M974" t="s">
        <v>32</v>
      </c>
      <c r="N974">
        <v>3</v>
      </c>
    </row>
    <row r="975" spans="1:14">
      <c r="A975" t="s">
        <v>1007</v>
      </c>
      <c r="B975">
        <v>6495</v>
      </c>
      <c r="C975">
        <v>36.340000000000003</v>
      </c>
      <c r="D975" t="s">
        <v>28</v>
      </c>
      <c r="E975">
        <v>47346</v>
      </c>
      <c r="F975">
        <v>1503</v>
      </c>
      <c r="G975">
        <v>0.02</v>
      </c>
      <c r="H975">
        <v>75.739999999999995</v>
      </c>
      <c r="I975" t="s">
        <v>17</v>
      </c>
      <c r="J975" s="11">
        <v>0</v>
      </c>
      <c r="K975">
        <v>18</v>
      </c>
      <c r="L975" t="s">
        <v>18</v>
      </c>
      <c r="M975" t="s">
        <v>23</v>
      </c>
      <c r="N975">
        <v>1</v>
      </c>
    </row>
    <row r="976" spans="1:14">
      <c r="A976" t="s">
        <v>1008</v>
      </c>
      <c r="B976">
        <v>1900</v>
      </c>
      <c r="C976">
        <v>66.459999999999994</v>
      </c>
      <c r="D976" t="s">
        <v>28</v>
      </c>
      <c r="E976">
        <v>62409</v>
      </c>
      <c r="F976">
        <v>3529</v>
      </c>
      <c r="G976">
        <v>1.9699999999999999E-2</v>
      </c>
      <c r="H976">
        <v>175.35</v>
      </c>
      <c r="I976" t="s">
        <v>34</v>
      </c>
      <c r="J976" s="11">
        <v>0</v>
      </c>
      <c r="K976">
        <v>31</v>
      </c>
      <c r="L976" t="s">
        <v>31</v>
      </c>
      <c r="M976" t="s">
        <v>38</v>
      </c>
      <c r="N976">
        <v>1</v>
      </c>
    </row>
    <row r="977" spans="1:14">
      <c r="A977" t="s">
        <v>1009</v>
      </c>
      <c r="B977">
        <v>6623</v>
      </c>
      <c r="C977">
        <v>74.92</v>
      </c>
      <c r="D977" t="s">
        <v>15</v>
      </c>
      <c r="E977">
        <v>54705</v>
      </c>
      <c r="F977">
        <v>9311</v>
      </c>
      <c r="G977">
        <v>0.14249999999999999</v>
      </c>
      <c r="H977">
        <v>239.09</v>
      </c>
      <c r="I977" t="s">
        <v>29</v>
      </c>
      <c r="K977">
        <v>50</v>
      </c>
      <c r="L977" t="s">
        <v>22</v>
      </c>
      <c r="N977">
        <v>5</v>
      </c>
    </row>
    <row r="978" spans="1:14">
      <c r="A978" t="s">
        <v>1010</v>
      </c>
      <c r="B978">
        <v>6137</v>
      </c>
      <c r="D978" t="s">
        <v>28</v>
      </c>
      <c r="E978">
        <v>18435</v>
      </c>
      <c r="F978">
        <v>1065</v>
      </c>
      <c r="G978">
        <v>3.3700000000000001E-2</v>
      </c>
      <c r="H978">
        <v>64.69</v>
      </c>
      <c r="I978" t="s">
        <v>17</v>
      </c>
      <c r="K978">
        <v>54</v>
      </c>
      <c r="L978" t="s">
        <v>31</v>
      </c>
      <c r="N978">
        <v>4</v>
      </c>
    </row>
    <row r="979" spans="1:14">
      <c r="A979" t="s">
        <v>1011</v>
      </c>
      <c r="B979">
        <v>4519</v>
      </c>
      <c r="C979">
        <v>189.85</v>
      </c>
      <c r="D979" t="s">
        <v>32</v>
      </c>
      <c r="E979">
        <v>85507</v>
      </c>
      <c r="F979">
        <v>645</v>
      </c>
      <c r="G979">
        <v>0.14799999999999999</v>
      </c>
      <c r="H979">
        <v>114.92</v>
      </c>
      <c r="I979" t="s">
        <v>49</v>
      </c>
      <c r="J979" s="11">
        <v>0</v>
      </c>
      <c r="K979">
        <v>39</v>
      </c>
      <c r="L979" t="s">
        <v>22</v>
      </c>
      <c r="M979" t="s">
        <v>45</v>
      </c>
      <c r="N979">
        <v>4</v>
      </c>
    </row>
    <row r="980" spans="1:14">
      <c r="A980" t="s">
        <v>1012</v>
      </c>
      <c r="B980">
        <v>4124</v>
      </c>
      <c r="C980">
        <v>134.27000000000001</v>
      </c>
      <c r="D980" t="s">
        <v>15</v>
      </c>
      <c r="E980">
        <v>75766</v>
      </c>
      <c r="F980">
        <v>7400</v>
      </c>
      <c r="G980">
        <v>0.12670000000000001</v>
      </c>
      <c r="H980">
        <v>245.53</v>
      </c>
      <c r="I980" t="s">
        <v>26</v>
      </c>
      <c r="K980">
        <v>56</v>
      </c>
      <c r="L980" t="s">
        <v>22</v>
      </c>
      <c r="M980" t="s">
        <v>38</v>
      </c>
    </row>
    <row r="981" spans="1:14">
      <c r="A981" t="s">
        <v>1013</v>
      </c>
      <c r="B981">
        <v>1175</v>
      </c>
      <c r="C981">
        <v>61.82</v>
      </c>
      <c r="D981" t="s">
        <v>25</v>
      </c>
      <c r="E981">
        <v>40718</v>
      </c>
      <c r="F981">
        <v>2892</v>
      </c>
      <c r="G981">
        <v>6.6699999999999995E-2</v>
      </c>
      <c r="H981">
        <v>150.38</v>
      </c>
      <c r="I981" t="s">
        <v>17</v>
      </c>
      <c r="J981" s="11">
        <v>0</v>
      </c>
      <c r="K981">
        <v>26</v>
      </c>
      <c r="L981" t="s">
        <v>31</v>
      </c>
      <c r="N981">
        <v>2</v>
      </c>
    </row>
    <row r="982" spans="1:14">
      <c r="A982" t="s">
        <v>1014</v>
      </c>
      <c r="B982">
        <v>3890</v>
      </c>
      <c r="C982">
        <v>109.42</v>
      </c>
      <c r="D982" t="s">
        <v>28</v>
      </c>
      <c r="E982">
        <v>35766</v>
      </c>
      <c r="F982">
        <v>2834</v>
      </c>
      <c r="G982">
        <v>9.1899999999999996E-2</v>
      </c>
      <c r="H982">
        <v>35.340000000000003</v>
      </c>
      <c r="I982" t="s">
        <v>21</v>
      </c>
      <c r="J982" s="11">
        <v>0</v>
      </c>
      <c r="K982">
        <v>25</v>
      </c>
      <c r="L982" t="s">
        <v>18</v>
      </c>
      <c r="M982" t="s">
        <v>38</v>
      </c>
      <c r="N982">
        <v>1</v>
      </c>
    </row>
    <row r="983" spans="1:14">
      <c r="A983" t="s">
        <v>1015</v>
      </c>
      <c r="B983">
        <v>4581</v>
      </c>
      <c r="C983">
        <v>173.85</v>
      </c>
      <c r="D983" t="s">
        <v>40</v>
      </c>
      <c r="E983">
        <v>34878</v>
      </c>
      <c r="F983">
        <v>9841</v>
      </c>
      <c r="G983">
        <v>4.6800000000000001E-2</v>
      </c>
      <c r="H983">
        <v>354.02</v>
      </c>
      <c r="I983" t="s">
        <v>17</v>
      </c>
      <c r="K983">
        <v>34</v>
      </c>
      <c r="L983" t="s">
        <v>18</v>
      </c>
      <c r="N983">
        <v>1</v>
      </c>
    </row>
    <row r="984" spans="1:14">
      <c r="A984" t="s">
        <v>1016</v>
      </c>
      <c r="B984">
        <v>8728</v>
      </c>
      <c r="C984">
        <v>78.64</v>
      </c>
      <c r="D984" t="s">
        <v>40</v>
      </c>
      <c r="E984">
        <v>70539</v>
      </c>
      <c r="F984">
        <v>5362</v>
      </c>
      <c r="G984">
        <v>9.9699999999999997E-2</v>
      </c>
      <c r="I984" t="s">
        <v>17</v>
      </c>
      <c r="L984" t="s">
        <v>37</v>
      </c>
      <c r="M984" t="s">
        <v>45</v>
      </c>
      <c r="N984">
        <v>5</v>
      </c>
    </row>
    <row r="985" spans="1:14">
      <c r="A985" t="s">
        <v>1017</v>
      </c>
      <c r="B985">
        <v>3493</v>
      </c>
      <c r="D985" t="s">
        <v>15</v>
      </c>
      <c r="E985">
        <v>39246</v>
      </c>
      <c r="F985">
        <v>2576</v>
      </c>
      <c r="G985">
        <v>6.8000000000000005E-2</v>
      </c>
      <c r="I985" t="s">
        <v>26</v>
      </c>
      <c r="J985" s="11">
        <v>0</v>
      </c>
      <c r="K985">
        <v>50</v>
      </c>
      <c r="L985" t="s">
        <v>31</v>
      </c>
      <c r="M985" t="s">
        <v>32</v>
      </c>
      <c r="N985">
        <v>2</v>
      </c>
    </row>
    <row r="986" spans="1:14">
      <c r="A986" t="s">
        <v>1018</v>
      </c>
      <c r="B986">
        <v>7530</v>
      </c>
      <c r="C986">
        <v>136.5</v>
      </c>
      <c r="D986" t="s">
        <v>45</v>
      </c>
      <c r="E986">
        <v>84026</v>
      </c>
      <c r="F986">
        <v>665</v>
      </c>
      <c r="G986">
        <v>0.1583</v>
      </c>
      <c r="H986">
        <v>186.57</v>
      </c>
      <c r="I986" t="s">
        <v>21</v>
      </c>
      <c r="J986" s="11">
        <v>0</v>
      </c>
      <c r="K986">
        <v>39</v>
      </c>
      <c r="L986" t="s">
        <v>37</v>
      </c>
      <c r="N986">
        <v>5</v>
      </c>
    </row>
    <row r="987" spans="1:14">
      <c r="A987" t="s">
        <v>1019</v>
      </c>
      <c r="B987">
        <v>8375</v>
      </c>
      <c r="C987">
        <v>131.09</v>
      </c>
      <c r="D987" t="s">
        <v>28</v>
      </c>
      <c r="E987">
        <v>86866</v>
      </c>
      <c r="F987">
        <v>4524</v>
      </c>
      <c r="G987">
        <v>0.18990000000000001</v>
      </c>
      <c r="I987" t="s">
        <v>29</v>
      </c>
      <c r="J987" s="11">
        <v>1</v>
      </c>
      <c r="K987">
        <v>31</v>
      </c>
      <c r="L987" t="s">
        <v>37</v>
      </c>
      <c r="N987">
        <v>1</v>
      </c>
    </row>
    <row r="988" spans="1:14">
      <c r="A988" t="s">
        <v>1020</v>
      </c>
      <c r="B988">
        <v>5661</v>
      </c>
      <c r="C988">
        <v>12.23</v>
      </c>
      <c r="D988" t="s">
        <v>15</v>
      </c>
      <c r="E988">
        <v>6580</v>
      </c>
      <c r="F988">
        <v>2402</v>
      </c>
      <c r="G988">
        <v>0.1908</v>
      </c>
      <c r="I988" t="s">
        <v>26</v>
      </c>
      <c r="J988" s="11">
        <v>1</v>
      </c>
      <c r="K988">
        <v>49</v>
      </c>
      <c r="L988" t="s">
        <v>31</v>
      </c>
      <c r="M988" t="s">
        <v>32</v>
      </c>
      <c r="N988">
        <v>2</v>
      </c>
    </row>
    <row r="989" spans="1:14">
      <c r="A989" t="s">
        <v>1021</v>
      </c>
      <c r="B989">
        <v>9620</v>
      </c>
      <c r="C989">
        <v>126.69</v>
      </c>
      <c r="D989" t="s">
        <v>45</v>
      </c>
      <c r="E989">
        <v>56534</v>
      </c>
      <c r="F989">
        <v>3735</v>
      </c>
      <c r="G989">
        <v>0.126</v>
      </c>
      <c r="H989">
        <v>211.63</v>
      </c>
      <c r="I989" t="s">
        <v>17</v>
      </c>
      <c r="K989">
        <v>40</v>
      </c>
      <c r="L989" t="s">
        <v>22</v>
      </c>
      <c r="N989">
        <v>3</v>
      </c>
    </row>
    <row r="990" spans="1:14">
      <c r="A990" t="s">
        <v>1022</v>
      </c>
      <c r="B990">
        <v>5895</v>
      </c>
      <c r="D990" t="s">
        <v>32</v>
      </c>
      <c r="E990">
        <v>5313</v>
      </c>
      <c r="F990">
        <v>4023</v>
      </c>
      <c r="G990">
        <v>0.1943</v>
      </c>
      <c r="H990">
        <v>185.03</v>
      </c>
      <c r="I990" t="s">
        <v>34</v>
      </c>
      <c r="K990">
        <v>48</v>
      </c>
      <c r="L990" t="s">
        <v>22</v>
      </c>
      <c r="M990" t="s">
        <v>32</v>
      </c>
      <c r="N990">
        <v>2</v>
      </c>
    </row>
    <row r="991" spans="1:14">
      <c r="A991" t="s">
        <v>1023</v>
      </c>
      <c r="B991">
        <v>2533</v>
      </c>
      <c r="C991">
        <v>128.83000000000001</v>
      </c>
      <c r="D991" t="s">
        <v>15</v>
      </c>
      <c r="E991">
        <v>40284</v>
      </c>
      <c r="F991">
        <v>3072</v>
      </c>
      <c r="G991">
        <v>0.1396</v>
      </c>
      <c r="H991">
        <v>201.52</v>
      </c>
      <c r="I991" t="s">
        <v>49</v>
      </c>
      <c r="K991">
        <v>47</v>
      </c>
      <c r="L991" t="s">
        <v>31</v>
      </c>
      <c r="M991" t="s">
        <v>19</v>
      </c>
      <c r="N991">
        <v>3</v>
      </c>
    </row>
    <row r="992" spans="1:14">
      <c r="A992" t="s">
        <v>1024</v>
      </c>
      <c r="B992">
        <v>1587</v>
      </c>
      <c r="C992">
        <v>171.35</v>
      </c>
      <c r="D992" t="s">
        <v>40</v>
      </c>
      <c r="E992">
        <v>68987</v>
      </c>
      <c r="F992">
        <v>4945</v>
      </c>
      <c r="G992">
        <v>9.4500000000000001E-2</v>
      </c>
      <c r="H992">
        <v>380.76</v>
      </c>
      <c r="I992" t="s">
        <v>29</v>
      </c>
      <c r="J992" s="11">
        <v>1</v>
      </c>
      <c r="K992">
        <v>51</v>
      </c>
      <c r="L992" t="s">
        <v>31</v>
      </c>
      <c r="M992" t="s">
        <v>38</v>
      </c>
    </row>
    <row r="993" spans="1:14">
      <c r="A993" t="s">
        <v>1025</v>
      </c>
      <c r="B993">
        <v>8725</v>
      </c>
      <c r="C993">
        <v>190.76</v>
      </c>
      <c r="D993" t="s">
        <v>28</v>
      </c>
      <c r="E993">
        <v>67501</v>
      </c>
      <c r="F993">
        <v>9330</v>
      </c>
      <c r="G993">
        <v>0.13769999999999999</v>
      </c>
      <c r="I993" t="s">
        <v>17</v>
      </c>
      <c r="J993" s="11">
        <v>0</v>
      </c>
      <c r="K993">
        <v>31</v>
      </c>
      <c r="L993" t="s">
        <v>37</v>
      </c>
      <c r="M993" t="s">
        <v>19</v>
      </c>
      <c r="N993">
        <v>5</v>
      </c>
    </row>
    <row r="994" spans="1:14">
      <c r="A994" t="s">
        <v>1026</v>
      </c>
      <c r="B994">
        <v>7923</v>
      </c>
      <c r="D994" t="s">
        <v>32</v>
      </c>
      <c r="E994">
        <v>5011</v>
      </c>
      <c r="F994">
        <v>8015</v>
      </c>
      <c r="G994">
        <v>3.8800000000000001E-2</v>
      </c>
      <c r="H994">
        <v>380.02</v>
      </c>
      <c r="I994" t="s">
        <v>26</v>
      </c>
      <c r="K994">
        <v>61</v>
      </c>
      <c r="L994" t="s">
        <v>18</v>
      </c>
      <c r="M994" t="s">
        <v>19</v>
      </c>
      <c r="N994">
        <v>1</v>
      </c>
    </row>
    <row r="995" spans="1:14">
      <c r="A995" t="s">
        <v>1027</v>
      </c>
      <c r="B995">
        <v>8365</v>
      </c>
      <c r="C995">
        <v>112.21</v>
      </c>
      <c r="D995" t="s">
        <v>32</v>
      </c>
      <c r="E995">
        <v>83634</v>
      </c>
      <c r="F995">
        <v>5451</v>
      </c>
      <c r="G995">
        <v>4.3200000000000002E-2</v>
      </c>
      <c r="H995">
        <v>480.13</v>
      </c>
      <c r="I995" t="s">
        <v>17</v>
      </c>
      <c r="K995">
        <v>43</v>
      </c>
      <c r="L995" t="s">
        <v>31</v>
      </c>
      <c r="M995" t="s">
        <v>23</v>
      </c>
      <c r="N995">
        <v>1</v>
      </c>
    </row>
    <row r="996" spans="1:14">
      <c r="A996" t="s">
        <v>1028</v>
      </c>
      <c r="B996">
        <v>4167</v>
      </c>
      <c r="C996">
        <v>168.46</v>
      </c>
      <c r="D996" t="s">
        <v>28</v>
      </c>
      <c r="E996">
        <v>22452</v>
      </c>
      <c r="F996">
        <v>8491</v>
      </c>
      <c r="G996">
        <v>0.12870000000000001</v>
      </c>
      <c r="I996" t="s">
        <v>26</v>
      </c>
      <c r="J996" s="11">
        <v>0</v>
      </c>
      <c r="K996">
        <v>33</v>
      </c>
      <c r="L996" t="s">
        <v>37</v>
      </c>
      <c r="M996" t="s">
        <v>19</v>
      </c>
      <c r="N996">
        <v>5</v>
      </c>
    </row>
    <row r="997" spans="1:14">
      <c r="A997" t="s">
        <v>1029</v>
      </c>
      <c r="B997">
        <v>4460</v>
      </c>
      <c r="D997" t="s">
        <v>45</v>
      </c>
      <c r="E997">
        <v>52524</v>
      </c>
      <c r="F997">
        <v>5203</v>
      </c>
      <c r="H997">
        <v>404.22</v>
      </c>
      <c r="I997" t="s">
        <v>29</v>
      </c>
      <c r="K997">
        <v>44</v>
      </c>
      <c r="L997" t="s">
        <v>31</v>
      </c>
      <c r="N997">
        <v>2</v>
      </c>
    </row>
    <row r="998" spans="1:14">
      <c r="A998" t="s">
        <v>1030</v>
      </c>
      <c r="B998">
        <v>7771</v>
      </c>
      <c r="C998">
        <v>17.61</v>
      </c>
      <c r="D998" t="s">
        <v>25</v>
      </c>
      <c r="E998">
        <v>48524</v>
      </c>
      <c r="F998">
        <v>8868</v>
      </c>
      <c r="G998">
        <v>5.3999999999999999E-2</v>
      </c>
      <c r="H998">
        <v>378.69</v>
      </c>
      <c r="I998" t="s">
        <v>34</v>
      </c>
      <c r="J998" s="11">
        <v>0</v>
      </c>
      <c r="K998">
        <v>46</v>
      </c>
      <c r="L998" t="s">
        <v>37</v>
      </c>
      <c r="M998" t="s">
        <v>19</v>
      </c>
      <c r="N998">
        <v>3</v>
      </c>
    </row>
    <row r="999" spans="1:14">
      <c r="A999" t="s">
        <v>1031</v>
      </c>
      <c r="B999">
        <v>9714</v>
      </c>
      <c r="D999" t="s">
        <v>28</v>
      </c>
      <c r="E999">
        <v>80734</v>
      </c>
      <c r="F999">
        <v>5097</v>
      </c>
      <c r="G999">
        <v>0.1215</v>
      </c>
      <c r="H999">
        <v>463.61</v>
      </c>
      <c r="I999" t="s">
        <v>49</v>
      </c>
      <c r="J999" s="11">
        <v>0</v>
      </c>
      <c r="K999">
        <v>59</v>
      </c>
      <c r="L999" t="s">
        <v>37</v>
      </c>
      <c r="M999" t="s">
        <v>32</v>
      </c>
      <c r="N999">
        <v>1</v>
      </c>
    </row>
    <row r="1000" spans="1:14">
      <c r="A1000" t="s">
        <v>1032</v>
      </c>
      <c r="B1000">
        <v>4699</v>
      </c>
      <c r="C1000">
        <v>78.95</v>
      </c>
      <c r="D1000" t="s">
        <v>32</v>
      </c>
      <c r="E1000">
        <v>20133</v>
      </c>
      <c r="F1000">
        <v>6218</v>
      </c>
      <c r="G1000">
        <v>0.18909999999999999</v>
      </c>
      <c r="H1000">
        <v>150.41999999999999</v>
      </c>
      <c r="I1000" t="s">
        <v>17</v>
      </c>
      <c r="K1000">
        <v>33</v>
      </c>
      <c r="L1000" t="s">
        <v>18</v>
      </c>
      <c r="M1000" t="s">
        <v>45</v>
      </c>
    </row>
    <row r="1001" spans="1:14">
      <c r="A1001" t="s">
        <v>1033</v>
      </c>
      <c r="B1001">
        <v>8888</v>
      </c>
      <c r="C1001">
        <v>148.99</v>
      </c>
      <c r="D1001" t="s">
        <v>32</v>
      </c>
      <c r="E1001">
        <v>62926</v>
      </c>
      <c r="F1001">
        <v>1757</v>
      </c>
      <c r="G1001">
        <v>8.5800000000000001E-2</v>
      </c>
      <c r="I1001" t="s">
        <v>21</v>
      </c>
      <c r="J1001" s="11">
        <v>1</v>
      </c>
      <c r="K1001">
        <v>24</v>
      </c>
      <c r="L1001" t="s">
        <v>31</v>
      </c>
      <c r="M1001" t="s">
        <v>32</v>
      </c>
      <c r="N1001">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04"/>
  <sheetViews>
    <sheetView zoomScale="89" zoomScaleNormal="89" workbookViewId="0">
      <pane ySplit="1" topLeftCell="A548" activePane="bottomLeft" state="frozen"/>
      <selection pane="bottomLeft" activeCell="P1001" sqref="P1001"/>
    </sheetView>
  </sheetViews>
  <sheetFormatPr defaultColWidth="9" defaultRowHeight="15"/>
  <cols>
    <col min="1" max="1" width="15.85546875" bestFit="1" customWidth="1"/>
    <col min="2" max="2" width="16.85546875" style="8" bestFit="1" customWidth="1"/>
    <col min="3" max="3" width="22.42578125" style="23" bestFit="1" customWidth="1"/>
    <col min="4" max="4" width="16.85546875" style="19" bestFit="1" customWidth="1"/>
    <col min="5" max="5" width="17" style="21" bestFit="1" customWidth="1"/>
    <col min="6" max="6" width="11.5703125" style="21" bestFit="1" customWidth="1"/>
    <col min="7" max="7" width="15.7109375" style="24" bestFit="1" customWidth="1"/>
    <col min="8" max="8" width="18.5703125" style="28" bestFit="1" customWidth="1"/>
    <col min="9" max="9" width="18.28515625" style="19" bestFit="1" customWidth="1"/>
    <col min="10" max="10" width="18.28515625" style="8" bestFit="1" customWidth="1"/>
    <col min="11" max="11" width="19.5703125" style="19" bestFit="1" customWidth="1"/>
    <col min="12" max="12" width="16.85546875" style="19" bestFit="1" customWidth="1"/>
    <col min="13" max="13" width="25.42578125" style="8" bestFit="1" customWidth="1"/>
    <col min="14" max="14" width="25.42578125" style="46" customWidth="1"/>
    <col min="15" max="15" width="9.85546875" style="23" bestFit="1" customWidth="1"/>
    <col min="16" max="16" width="12.7109375" style="8" bestFit="1" customWidth="1"/>
    <col min="17" max="17" width="16.5703125" style="30" bestFit="1" customWidth="1"/>
    <col min="18" max="18" width="14.42578125" style="30" bestFit="1" customWidth="1"/>
    <col min="19" max="19" width="13.42578125" style="12" hidden="1" customWidth="1"/>
    <col min="20" max="20" width="12.7109375" style="30" bestFit="1" customWidth="1"/>
    <col min="21" max="21" width="15.28515625" style="8" bestFit="1" customWidth="1"/>
  </cols>
  <sheetData>
    <row r="1" spans="1:23">
      <c r="A1" t="s">
        <v>0</v>
      </c>
      <c r="B1" s="8" t="s">
        <v>1</v>
      </c>
      <c r="C1" s="23" t="s">
        <v>2</v>
      </c>
      <c r="D1" s="19" t="s">
        <v>3</v>
      </c>
      <c r="E1" s="21" t="s">
        <v>4</v>
      </c>
      <c r="F1" s="21" t="s">
        <v>5</v>
      </c>
      <c r="G1" s="22" t="s">
        <v>7</v>
      </c>
      <c r="H1" s="25" t="s">
        <v>9</v>
      </c>
      <c r="I1" s="19" t="s">
        <v>8</v>
      </c>
      <c r="J1" s="8" t="s">
        <v>10</v>
      </c>
      <c r="K1" s="19" t="s">
        <v>11</v>
      </c>
      <c r="L1" s="19" t="s">
        <v>12</v>
      </c>
      <c r="M1" s="8" t="s">
        <v>13</v>
      </c>
      <c r="N1" s="32" t="s">
        <v>1086</v>
      </c>
      <c r="O1" s="23" t="s">
        <v>1068</v>
      </c>
      <c r="P1" s="8" t="s">
        <v>1069</v>
      </c>
      <c r="Q1" s="30" t="s">
        <v>1070</v>
      </c>
      <c r="R1" s="30" t="s">
        <v>1071</v>
      </c>
      <c r="S1" s="12" t="s">
        <v>1082</v>
      </c>
      <c r="T1" s="30" t="s">
        <v>1072</v>
      </c>
      <c r="U1" s="8" t="s">
        <v>1073</v>
      </c>
    </row>
    <row r="2" spans="1:23">
      <c r="A2" t="s">
        <v>14</v>
      </c>
      <c r="B2" s="8">
        <v>1260</v>
      </c>
      <c r="C2" s="23">
        <v>0.10188999999999999</v>
      </c>
      <c r="D2" s="19" t="s">
        <v>15</v>
      </c>
      <c r="E2" s="21">
        <v>7.5839999999999996</v>
      </c>
      <c r="F2" s="21">
        <v>0</v>
      </c>
      <c r="G2" s="23">
        <v>0</v>
      </c>
      <c r="H2" s="26">
        <v>0</v>
      </c>
      <c r="I2" s="19" t="s">
        <v>17</v>
      </c>
      <c r="J2" s="8">
        <v>20</v>
      </c>
      <c r="K2" s="19" t="s">
        <v>18</v>
      </c>
      <c r="L2" s="19" t="s">
        <v>19</v>
      </c>
      <c r="M2" s="8">
        <v>3</v>
      </c>
      <c r="N2" s="33">
        <f t="shared" ref="N2:N65" si="0">IF(F2=0,0,H2/F2)</f>
        <v>0</v>
      </c>
      <c r="O2" s="23">
        <f t="shared" ref="O2:O65" si="1">IF(F2=0,0,C2/F2)</f>
        <v>0</v>
      </c>
      <c r="P2" s="59">
        <f t="shared" ref="P2:P65" si="2">IF(E2=0,0,F2/E2)</f>
        <v>0</v>
      </c>
      <c r="Q2" s="30">
        <f t="shared" ref="Q2:Q65" si="3">IF(H2=0,0,C2/H2)</f>
        <v>0</v>
      </c>
      <c r="R2" s="30">
        <f t="shared" ref="R2:R65" si="4">IF(C2=0,0,(G2-C2)/C2)</f>
        <v>-1</v>
      </c>
      <c r="S2" s="12">
        <f t="shared" ref="S2:S65" si="5">IF(G2=0,0,G2/C2)</f>
        <v>0</v>
      </c>
      <c r="T2" s="30">
        <f t="shared" ref="T2:T65" si="6">IF(F2=0,0,G2/F2)</f>
        <v>0</v>
      </c>
      <c r="U2" s="9" t="str">
        <f>IF(J2&lt;25,"18-24",IF(J2&lt;35,"25-34",IF(J2&lt;45,"35-44",IF(J2&lt;55,"45-54","55+"))))</f>
        <v>18-24</v>
      </c>
    </row>
    <row r="3" spans="1:23">
      <c r="A3" t="s">
        <v>20</v>
      </c>
      <c r="B3" s="8">
        <v>3474</v>
      </c>
      <c r="C3" s="23">
        <v>8.8910000000000003E-2</v>
      </c>
      <c r="D3" s="19" t="s">
        <v>15</v>
      </c>
      <c r="E3" s="21">
        <v>61.262999999999998</v>
      </c>
      <c r="F3" s="21">
        <v>0.56100000000000005</v>
      </c>
      <c r="G3" s="23">
        <v>0</v>
      </c>
      <c r="H3" s="26">
        <v>0</v>
      </c>
      <c r="I3" s="19" t="s">
        <v>21</v>
      </c>
      <c r="J3" s="8">
        <v>41</v>
      </c>
      <c r="K3" s="19" t="s">
        <v>22</v>
      </c>
      <c r="L3" s="19" t="s">
        <v>23</v>
      </c>
      <c r="M3" s="8">
        <v>2</v>
      </c>
      <c r="N3" s="33">
        <f t="shared" si="0"/>
        <v>0</v>
      </c>
      <c r="O3" s="23">
        <f t="shared" si="1"/>
        <v>0.15848484848484848</v>
      </c>
      <c r="P3" s="59">
        <f t="shared" si="2"/>
        <v>9.1572400959796293E-3</v>
      </c>
      <c r="Q3" s="30">
        <f t="shared" si="3"/>
        <v>0</v>
      </c>
      <c r="R3" s="30">
        <f t="shared" si="4"/>
        <v>-1</v>
      </c>
      <c r="S3" s="12">
        <f t="shared" si="5"/>
        <v>0</v>
      </c>
      <c r="T3" s="30">
        <f t="shared" si="6"/>
        <v>0</v>
      </c>
      <c r="U3" s="9" t="str">
        <f t="shared" ref="U3:U66" si="7">IF(J3&lt;25,"18-24",IF(J3&lt;35,"25-34",IF(J3&lt;45,"35-44",IF(J3&lt;55,"45-54","55+"))))</f>
        <v>35-44</v>
      </c>
    </row>
    <row r="4" spans="1:23">
      <c r="A4" t="s">
        <v>24</v>
      </c>
      <c r="B4" s="8">
        <v>5223</v>
      </c>
      <c r="C4" s="23">
        <v>0.16042000000000001</v>
      </c>
      <c r="D4" s="19" t="s">
        <v>25</v>
      </c>
      <c r="E4" s="21">
        <v>89.887</v>
      </c>
      <c r="F4" s="21">
        <v>0.77700000000000002</v>
      </c>
      <c r="G4" s="23">
        <v>0</v>
      </c>
      <c r="H4" s="26">
        <v>0</v>
      </c>
      <c r="I4" s="19" t="s">
        <v>26</v>
      </c>
      <c r="J4" s="8">
        <v>65</v>
      </c>
      <c r="K4" s="19" t="s">
        <v>18</v>
      </c>
      <c r="L4" s="19" t="s">
        <v>45</v>
      </c>
      <c r="M4" s="8">
        <v>5</v>
      </c>
      <c r="N4" s="33">
        <f t="shared" si="0"/>
        <v>0</v>
      </c>
      <c r="O4" s="23">
        <f t="shared" si="1"/>
        <v>0.20646074646074647</v>
      </c>
      <c r="P4" s="59">
        <f t="shared" si="2"/>
        <v>8.6441865898294525E-3</v>
      </c>
      <c r="Q4" s="30">
        <f t="shared" si="3"/>
        <v>0</v>
      </c>
      <c r="R4" s="30">
        <f t="shared" si="4"/>
        <v>-1</v>
      </c>
      <c r="S4" s="12">
        <f t="shared" si="5"/>
        <v>0</v>
      </c>
      <c r="T4" s="30">
        <f t="shared" si="6"/>
        <v>0</v>
      </c>
      <c r="U4" s="9" t="str">
        <f t="shared" si="7"/>
        <v>55+</v>
      </c>
    </row>
    <row r="5" spans="1:23">
      <c r="A5" t="s">
        <v>27</v>
      </c>
      <c r="B5" s="8">
        <v>3090</v>
      </c>
      <c r="C5" s="23">
        <v>0.10652</v>
      </c>
      <c r="D5" s="19" t="s">
        <v>28</v>
      </c>
      <c r="E5" s="21">
        <v>67.188999999999993</v>
      </c>
      <c r="F5" s="21">
        <v>3.3519999999999999</v>
      </c>
      <c r="G5" s="23">
        <v>0</v>
      </c>
      <c r="H5" s="26">
        <v>0</v>
      </c>
      <c r="I5" s="19" t="s">
        <v>29</v>
      </c>
      <c r="J5" s="8">
        <v>54</v>
      </c>
      <c r="K5" s="19" t="s">
        <v>18</v>
      </c>
      <c r="L5" s="19" t="s">
        <v>23</v>
      </c>
      <c r="M5" s="8">
        <v>1</v>
      </c>
      <c r="N5" s="33">
        <f t="shared" si="0"/>
        <v>0</v>
      </c>
      <c r="O5" s="23">
        <f t="shared" si="1"/>
        <v>3.1778042959427211E-2</v>
      </c>
      <c r="P5" s="59">
        <f t="shared" si="2"/>
        <v>4.9889118754558044E-2</v>
      </c>
      <c r="Q5" s="30">
        <f t="shared" si="3"/>
        <v>0</v>
      </c>
      <c r="R5" s="30">
        <f t="shared" si="4"/>
        <v>-1</v>
      </c>
      <c r="S5" s="12">
        <f t="shared" si="5"/>
        <v>0</v>
      </c>
      <c r="T5" s="30">
        <f t="shared" si="6"/>
        <v>0</v>
      </c>
      <c r="U5" s="9" t="str">
        <f t="shared" si="7"/>
        <v>45-54</v>
      </c>
      <c r="W5">
        <v>-1</v>
      </c>
    </row>
    <row r="6" spans="1:23">
      <c r="A6" t="s">
        <v>30</v>
      </c>
      <c r="B6" s="8">
        <v>1009</v>
      </c>
      <c r="C6" s="23">
        <v>4.7649999999999998E-2</v>
      </c>
      <c r="D6" s="19" t="s">
        <v>28</v>
      </c>
      <c r="E6" s="21">
        <v>87.617999999999995</v>
      </c>
      <c r="F6" s="21">
        <v>7.6669999999999998</v>
      </c>
      <c r="G6" s="23">
        <v>0</v>
      </c>
      <c r="H6" s="26">
        <v>0</v>
      </c>
      <c r="I6" s="19" t="s">
        <v>21</v>
      </c>
      <c r="J6" s="8">
        <v>41</v>
      </c>
      <c r="K6" s="19" t="s">
        <v>31</v>
      </c>
      <c r="L6" s="19" t="s">
        <v>32</v>
      </c>
      <c r="M6" s="8">
        <v>5</v>
      </c>
      <c r="N6" s="33">
        <f t="shared" si="0"/>
        <v>0</v>
      </c>
      <c r="O6" s="23">
        <f t="shared" si="1"/>
        <v>6.2149471762097301E-3</v>
      </c>
      <c r="P6" s="59">
        <f t="shared" si="2"/>
        <v>8.7504850601474587E-2</v>
      </c>
      <c r="Q6" s="30">
        <f t="shared" si="3"/>
        <v>0</v>
      </c>
      <c r="R6" s="30">
        <f t="shared" si="4"/>
        <v>-1</v>
      </c>
      <c r="S6" s="12">
        <f t="shared" si="5"/>
        <v>0</v>
      </c>
      <c r="T6" s="30">
        <f t="shared" si="6"/>
        <v>0</v>
      </c>
      <c r="U6" s="9" t="str">
        <f t="shared" si="7"/>
        <v>35-44</v>
      </c>
    </row>
    <row r="7" spans="1:23">
      <c r="A7" t="s">
        <v>33</v>
      </c>
      <c r="B7" s="8">
        <v>3297</v>
      </c>
      <c r="C7" s="23">
        <v>0.13872000000000001</v>
      </c>
      <c r="D7" s="19" t="s">
        <v>32</v>
      </c>
      <c r="E7" s="21">
        <v>52.258000000000003</v>
      </c>
      <c r="F7" s="21">
        <v>0.434</v>
      </c>
      <c r="G7" s="23">
        <v>0</v>
      </c>
      <c r="H7" s="26">
        <v>0</v>
      </c>
      <c r="I7" s="19" t="s">
        <v>34</v>
      </c>
      <c r="J7" s="8">
        <v>41</v>
      </c>
      <c r="K7" s="19" t="s">
        <v>22</v>
      </c>
      <c r="L7" s="19" t="s">
        <v>23</v>
      </c>
      <c r="M7" s="8">
        <v>3</v>
      </c>
      <c r="N7" s="33">
        <f t="shared" si="0"/>
        <v>0</v>
      </c>
      <c r="O7" s="23">
        <f t="shared" si="1"/>
        <v>0.31963133640552999</v>
      </c>
      <c r="P7" s="59">
        <f t="shared" si="2"/>
        <v>8.3049485246278077E-3</v>
      </c>
      <c r="Q7" s="30">
        <f t="shared" si="3"/>
        <v>0</v>
      </c>
      <c r="R7" s="30">
        <f t="shared" si="4"/>
        <v>-1</v>
      </c>
      <c r="S7" s="12">
        <f t="shared" si="5"/>
        <v>0</v>
      </c>
      <c r="T7" s="30">
        <f t="shared" si="6"/>
        <v>0</v>
      </c>
      <c r="U7" s="9" t="str">
        <f t="shared" si="7"/>
        <v>35-44</v>
      </c>
    </row>
    <row r="8" spans="1:23">
      <c r="A8" t="s">
        <v>35</v>
      </c>
      <c r="B8" s="8">
        <v>2218</v>
      </c>
      <c r="C8" s="23">
        <v>0.11633</v>
      </c>
      <c r="D8" s="19" t="s">
        <v>32</v>
      </c>
      <c r="E8" s="21">
        <v>36.042000000000002</v>
      </c>
      <c r="F8" s="21">
        <v>0.93</v>
      </c>
      <c r="G8" s="23">
        <v>0</v>
      </c>
      <c r="H8" s="26">
        <v>1</v>
      </c>
      <c r="I8" s="19" t="s">
        <v>34</v>
      </c>
      <c r="J8" s="8">
        <v>23</v>
      </c>
      <c r="K8" s="19" t="s">
        <v>18</v>
      </c>
      <c r="L8" s="19" t="s">
        <v>32</v>
      </c>
      <c r="M8" s="8">
        <v>5</v>
      </c>
      <c r="N8" s="33">
        <f t="shared" si="0"/>
        <v>1.075268817204301</v>
      </c>
      <c r="O8" s="23">
        <f t="shared" si="1"/>
        <v>0.12508602150537634</v>
      </c>
      <c r="P8" s="59">
        <f t="shared" si="2"/>
        <v>2.5803229565506909E-2</v>
      </c>
      <c r="Q8" s="30">
        <f t="shared" si="3"/>
        <v>0.11633</v>
      </c>
      <c r="R8" s="30">
        <f t="shared" si="4"/>
        <v>-1</v>
      </c>
      <c r="S8" s="12">
        <f t="shared" si="5"/>
        <v>0</v>
      </c>
      <c r="T8" s="30">
        <f t="shared" si="6"/>
        <v>0</v>
      </c>
      <c r="U8" s="9" t="str">
        <f t="shared" si="7"/>
        <v>18-24</v>
      </c>
    </row>
    <row r="9" spans="1:23">
      <c r="A9" t="s">
        <v>36</v>
      </c>
      <c r="B9" s="8">
        <v>8907</v>
      </c>
      <c r="C9" s="23">
        <v>0.18590999999999999</v>
      </c>
      <c r="D9" s="19" t="s">
        <v>28</v>
      </c>
      <c r="E9" s="21">
        <v>43.183999999999997</v>
      </c>
      <c r="F9" s="21">
        <v>1.823</v>
      </c>
      <c r="G9" s="23">
        <v>0</v>
      </c>
      <c r="H9" s="26">
        <v>1</v>
      </c>
      <c r="I9" s="19" t="s">
        <v>26</v>
      </c>
      <c r="J9" s="8">
        <v>41</v>
      </c>
      <c r="K9" s="19" t="s">
        <v>37</v>
      </c>
      <c r="L9" s="19" t="s">
        <v>38</v>
      </c>
      <c r="M9" s="8">
        <v>1</v>
      </c>
      <c r="N9" s="33">
        <f t="shared" si="0"/>
        <v>0.54854635216675807</v>
      </c>
      <c r="O9" s="23">
        <f t="shared" si="1"/>
        <v>0.10198025233132199</v>
      </c>
      <c r="P9" s="59">
        <f t="shared" si="2"/>
        <v>4.2214709151537605E-2</v>
      </c>
      <c r="Q9" s="30">
        <f t="shared" si="3"/>
        <v>0.18590999999999999</v>
      </c>
      <c r="R9" s="30">
        <f t="shared" si="4"/>
        <v>-1</v>
      </c>
      <c r="S9" s="12">
        <f t="shared" si="5"/>
        <v>0</v>
      </c>
      <c r="T9" s="30">
        <f t="shared" si="6"/>
        <v>0</v>
      </c>
      <c r="U9" s="9" t="str">
        <f t="shared" si="7"/>
        <v>35-44</v>
      </c>
    </row>
    <row r="10" spans="1:23">
      <c r="A10" t="s">
        <v>39</v>
      </c>
      <c r="B10" s="8">
        <v>6506</v>
      </c>
      <c r="C10" s="23">
        <v>8.7400000000000005E-2</v>
      </c>
      <c r="D10" s="19" t="s">
        <v>40</v>
      </c>
      <c r="E10" s="21">
        <v>84.950999999999993</v>
      </c>
      <c r="F10" s="21">
        <v>6.3220000000000001</v>
      </c>
      <c r="G10" s="23">
        <v>0</v>
      </c>
      <c r="H10" s="26">
        <v>0</v>
      </c>
      <c r="I10" s="19" t="s">
        <v>21</v>
      </c>
      <c r="J10" s="8">
        <v>43</v>
      </c>
      <c r="K10" s="19" t="s">
        <v>37</v>
      </c>
      <c r="L10" s="19" t="s">
        <v>19</v>
      </c>
      <c r="M10" s="8">
        <v>5</v>
      </c>
      <c r="N10" s="33">
        <f t="shared" si="0"/>
        <v>0</v>
      </c>
      <c r="O10" s="23">
        <f t="shared" si="1"/>
        <v>1.3824739006643468E-2</v>
      </c>
      <c r="P10" s="59">
        <f t="shared" si="2"/>
        <v>7.4419371166907985E-2</v>
      </c>
      <c r="Q10" s="30">
        <f t="shared" si="3"/>
        <v>0</v>
      </c>
      <c r="R10" s="30">
        <f t="shared" si="4"/>
        <v>-1</v>
      </c>
      <c r="S10" s="12">
        <f t="shared" si="5"/>
        <v>0</v>
      </c>
      <c r="T10" s="30">
        <f t="shared" si="6"/>
        <v>0</v>
      </c>
      <c r="U10" s="9" t="str">
        <f t="shared" si="7"/>
        <v>35-44</v>
      </c>
    </row>
    <row r="11" spans="1:23">
      <c r="A11" t="s">
        <v>41</v>
      </c>
      <c r="B11" s="8">
        <v>6726</v>
      </c>
      <c r="C11" s="23">
        <v>2.163E-2</v>
      </c>
      <c r="D11" s="19" t="s">
        <v>15</v>
      </c>
      <c r="E11" s="21">
        <v>9.2170000000000005</v>
      </c>
      <c r="F11" s="21">
        <v>3.8260000000000001</v>
      </c>
      <c r="G11" s="23">
        <v>0</v>
      </c>
      <c r="H11" s="26">
        <v>0</v>
      </c>
      <c r="I11" s="19" t="s">
        <v>21</v>
      </c>
      <c r="J11" s="8">
        <v>62</v>
      </c>
      <c r="K11" s="19" t="s">
        <v>18</v>
      </c>
      <c r="L11" s="19" t="s">
        <v>32</v>
      </c>
      <c r="M11" s="8" t="s">
        <v>1065</v>
      </c>
      <c r="N11" s="33">
        <f t="shared" si="0"/>
        <v>0</v>
      </c>
      <c r="O11" s="23">
        <f t="shared" si="1"/>
        <v>5.6534239414532143E-3</v>
      </c>
      <c r="P11" s="59">
        <f t="shared" si="2"/>
        <v>0.41510252793750674</v>
      </c>
      <c r="Q11" s="30">
        <f t="shared" si="3"/>
        <v>0</v>
      </c>
      <c r="R11" s="30">
        <f t="shared" si="4"/>
        <v>-1</v>
      </c>
      <c r="S11" s="12">
        <f t="shared" si="5"/>
        <v>0</v>
      </c>
      <c r="T11" s="30">
        <f t="shared" si="6"/>
        <v>0</v>
      </c>
      <c r="U11" s="9" t="str">
        <f t="shared" si="7"/>
        <v>55+</v>
      </c>
    </row>
    <row r="12" spans="1:23">
      <c r="A12" t="s">
        <v>42</v>
      </c>
      <c r="B12" s="8">
        <v>5273</v>
      </c>
      <c r="C12" s="23">
        <v>4.0410000000000001E-2</v>
      </c>
      <c r="D12" s="19" t="s">
        <v>15</v>
      </c>
      <c r="E12" s="21">
        <v>23.359000000000002</v>
      </c>
      <c r="F12" s="21">
        <v>0</v>
      </c>
      <c r="G12" s="23">
        <v>3.5029999999999999E-2</v>
      </c>
      <c r="H12" s="26">
        <v>1</v>
      </c>
      <c r="I12" s="19" t="s">
        <v>17</v>
      </c>
      <c r="J12" s="8">
        <v>61</v>
      </c>
      <c r="K12" s="19" t="s">
        <v>37</v>
      </c>
      <c r="L12" s="19" t="s">
        <v>23</v>
      </c>
      <c r="M12" s="8">
        <v>4</v>
      </c>
      <c r="N12" s="33">
        <f t="shared" si="0"/>
        <v>0</v>
      </c>
      <c r="O12" s="23">
        <f t="shared" si="1"/>
        <v>0</v>
      </c>
      <c r="P12" s="59">
        <f t="shared" si="2"/>
        <v>0</v>
      </c>
      <c r="Q12" s="30">
        <f t="shared" si="3"/>
        <v>4.0410000000000001E-2</v>
      </c>
      <c r="R12" s="30">
        <f t="shared" si="4"/>
        <v>-0.1331353625340263</v>
      </c>
      <c r="S12" s="12">
        <f t="shared" si="5"/>
        <v>0.86686463746597375</v>
      </c>
      <c r="T12" s="30">
        <f t="shared" si="6"/>
        <v>0</v>
      </c>
      <c r="U12" s="9" t="str">
        <f t="shared" si="7"/>
        <v>55+</v>
      </c>
    </row>
    <row r="13" spans="1:23">
      <c r="A13" t="s">
        <v>43</v>
      </c>
      <c r="B13" s="8">
        <v>6848</v>
      </c>
      <c r="C13" s="23">
        <v>3.09E-2</v>
      </c>
      <c r="D13" s="19" t="s">
        <v>28</v>
      </c>
      <c r="E13" s="21">
        <v>25.023</v>
      </c>
      <c r="F13" s="21">
        <v>3.0409999999999999</v>
      </c>
      <c r="G13" s="23">
        <v>0</v>
      </c>
      <c r="H13" s="26">
        <v>0</v>
      </c>
      <c r="I13" s="19" t="s">
        <v>21</v>
      </c>
      <c r="J13" s="8">
        <v>46</v>
      </c>
      <c r="K13" s="19" t="s">
        <v>31</v>
      </c>
      <c r="L13" s="19" t="s">
        <v>45</v>
      </c>
      <c r="M13" s="8">
        <v>3</v>
      </c>
      <c r="N13" s="33">
        <f t="shared" si="0"/>
        <v>0</v>
      </c>
      <c r="O13" s="23">
        <f t="shared" si="1"/>
        <v>1.0161131206839856E-2</v>
      </c>
      <c r="P13" s="59">
        <f t="shared" si="2"/>
        <v>0.12152819406146345</v>
      </c>
      <c r="Q13" s="30">
        <f t="shared" si="3"/>
        <v>0</v>
      </c>
      <c r="R13" s="30">
        <f t="shared" si="4"/>
        <v>-1</v>
      </c>
      <c r="S13" s="12">
        <f t="shared" si="5"/>
        <v>0</v>
      </c>
      <c r="T13" s="30">
        <f t="shared" si="6"/>
        <v>0</v>
      </c>
      <c r="U13" s="9" t="str">
        <f t="shared" si="7"/>
        <v>45-54</v>
      </c>
    </row>
    <row r="14" spans="1:23">
      <c r="A14" t="s">
        <v>44</v>
      </c>
      <c r="B14" s="8">
        <v>7025</v>
      </c>
      <c r="C14" s="23">
        <v>5.1769999999999997E-2</v>
      </c>
      <c r="D14" s="19" t="s">
        <v>45</v>
      </c>
      <c r="E14" s="21">
        <v>61.399000000000001</v>
      </c>
      <c r="F14" s="21">
        <v>4.0010000000000003</v>
      </c>
      <c r="G14" s="23">
        <v>0</v>
      </c>
      <c r="H14" s="26">
        <v>0</v>
      </c>
      <c r="I14" s="19" t="s">
        <v>26</v>
      </c>
      <c r="J14" s="8">
        <v>33</v>
      </c>
      <c r="K14" s="19" t="s">
        <v>22</v>
      </c>
      <c r="L14" s="19" t="s">
        <v>45</v>
      </c>
      <c r="M14" s="8">
        <v>4</v>
      </c>
      <c r="N14" s="33">
        <f t="shared" si="0"/>
        <v>0</v>
      </c>
      <c r="O14" s="23">
        <f t="shared" si="1"/>
        <v>1.2939265183704071E-2</v>
      </c>
      <c r="P14" s="59">
        <f t="shared" si="2"/>
        <v>6.516392775126631E-2</v>
      </c>
      <c r="Q14" s="30">
        <f t="shared" si="3"/>
        <v>0</v>
      </c>
      <c r="R14" s="30">
        <f t="shared" si="4"/>
        <v>-1</v>
      </c>
      <c r="S14" s="12">
        <f t="shared" si="5"/>
        <v>0</v>
      </c>
      <c r="T14" s="30">
        <f t="shared" si="6"/>
        <v>0</v>
      </c>
      <c r="U14" s="9" t="str">
        <f t="shared" si="7"/>
        <v>25-34</v>
      </c>
    </row>
    <row r="15" spans="1:23">
      <c r="A15" t="s">
        <v>46</v>
      </c>
      <c r="B15" s="8">
        <v>7472</v>
      </c>
      <c r="C15" s="23">
        <v>0</v>
      </c>
      <c r="D15" s="19" t="s">
        <v>15</v>
      </c>
      <c r="E15" s="21">
        <v>77.253</v>
      </c>
      <c r="F15" s="21">
        <v>3.5259999999999998</v>
      </c>
      <c r="G15" s="23">
        <v>0.33565</v>
      </c>
      <c r="H15" s="26">
        <v>1</v>
      </c>
      <c r="I15" s="19" t="s">
        <v>29</v>
      </c>
      <c r="J15" s="8">
        <v>63</v>
      </c>
      <c r="K15" s="19" t="s">
        <v>18</v>
      </c>
      <c r="L15" s="19" t="s">
        <v>23</v>
      </c>
      <c r="M15" s="8">
        <v>3</v>
      </c>
      <c r="N15" s="33">
        <f t="shared" si="0"/>
        <v>0.2836074872376631</v>
      </c>
      <c r="O15" s="23">
        <f t="shared" si="1"/>
        <v>0</v>
      </c>
      <c r="P15" s="59">
        <f t="shared" si="2"/>
        <v>4.5642240430792326E-2</v>
      </c>
      <c r="Q15" s="30">
        <f t="shared" si="3"/>
        <v>0</v>
      </c>
      <c r="R15" s="30">
        <f t="shared" si="4"/>
        <v>0</v>
      </c>
      <c r="S15" s="12" t="e">
        <f t="shared" si="5"/>
        <v>#DIV/0!</v>
      </c>
      <c r="T15" s="30">
        <f t="shared" si="6"/>
        <v>9.5192853091321611E-2</v>
      </c>
      <c r="U15" s="9" t="str">
        <f t="shared" si="7"/>
        <v>55+</v>
      </c>
    </row>
    <row r="16" spans="1:23">
      <c r="A16" t="s">
        <v>47</v>
      </c>
      <c r="B16" s="8">
        <v>8998</v>
      </c>
      <c r="C16" s="23">
        <v>6.9940000000000002E-2</v>
      </c>
      <c r="D16" s="19" t="s">
        <v>15</v>
      </c>
      <c r="E16" s="21">
        <v>42.872999999999998</v>
      </c>
      <c r="F16" s="21">
        <v>1.7749999999999999</v>
      </c>
      <c r="G16" s="23">
        <v>0</v>
      </c>
      <c r="H16" s="26">
        <v>0</v>
      </c>
      <c r="I16" s="19" t="s">
        <v>26</v>
      </c>
      <c r="J16" s="8">
        <v>35</v>
      </c>
      <c r="K16" s="19" t="s">
        <v>31</v>
      </c>
      <c r="L16" s="19" t="s">
        <v>23</v>
      </c>
      <c r="M16" s="8">
        <v>2</v>
      </c>
      <c r="N16" s="33">
        <f t="shared" si="0"/>
        <v>0</v>
      </c>
      <c r="O16" s="23">
        <f t="shared" si="1"/>
        <v>3.9402816901408455E-2</v>
      </c>
      <c r="P16" s="59">
        <f t="shared" si="2"/>
        <v>4.1401348167844562E-2</v>
      </c>
      <c r="Q16" s="30">
        <f t="shared" si="3"/>
        <v>0</v>
      </c>
      <c r="R16" s="30">
        <f t="shared" si="4"/>
        <v>-1</v>
      </c>
      <c r="S16" s="12">
        <f t="shared" si="5"/>
        <v>0</v>
      </c>
      <c r="T16" s="30">
        <f t="shared" si="6"/>
        <v>0</v>
      </c>
      <c r="U16" s="9" t="str">
        <f t="shared" si="7"/>
        <v>35-44</v>
      </c>
    </row>
    <row r="17" spans="1:21">
      <c r="A17" t="s">
        <v>48</v>
      </c>
      <c r="B17" s="8">
        <v>8281</v>
      </c>
      <c r="C17" s="23">
        <v>0.18941</v>
      </c>
      <c r="D17" s="19" t="s">
        <v>32</v>
      </c>
      <c r="E17" s="21">
        <v>26.434999999999999</v>
      </c>
      <c r="F17" s="21">
        <v>4.5190000000000001</v>
      </c>
      <c r="G17" s="23">
        <v>0</v>
      </c>
      <c r="H17" s="26">
        <v>0</v>
      </c>
      <c r="I17" s="19" t="s">
        <v>1067</v>
      </c>
      <c r="J17" s="8">
        <v>20</v>
      </c>
      <c r="K17" s="19" t="s">
        <v>18</v>
      </c>
      <c r="L17" s="19" t="s">
        <v>32</v>
      </c>
      <c r="M17" s="8">
        <v>4</v>
      </c>
      <c r="N17" s="33">
        <f t="shared" si="0"/>
        <v>0</v>
      </c>
      <c r="O17" s="23">
        <f t="shared" si="1"/>
        <v>4.1914140296525779E-2</v>
      </c>
      <c r="P17" s="59">
        <f t="shared" si="2"/>
        <v>0.17094760733875544</v>
      </c>
      <c r="Q17" s="30">
        <f t="shared" si="3"/>
        <v>0</v>
      </c>
      <c r="R17" s="30">
        <f t="shared" si="4"/>
        <v>-1</v>
      </c>
      <c r="S17" s="12">
        <f t="shared" si="5"/>
        <v>0</v>
      </c>
      <c r="T17" s="30">
        <f t="shared" si="6"/>
        <v>0</v>
      </c>
      <c r="U17" s="9" t="str">
        <f t="shared" si="7"/>
        <v>18-24</v>
      </c>
    </row>
    <row r="18" spans="1:21">
      <c r="A18" t="s">
        <v>50</v>
      </c>
      <c r="B18" s="8">
        <v>5355</v>
      </c>
      <c r="C18" s="23">
        <v>0.13600000000000001</v>
      </c>
      <c r="D18" s="19" t="s">
        <v>40</v>
      </c>
      <c r="E18" s="21">
        <v>4.7670000000000003</v>
      </c>
      <c r="F18" s="21">
        <v>1.0109999999999999</v>
      </c>
      <c r="G18" s="23">
        <v>0</v>
      </c>
      <c r="H18" s="26">
        <v>0</v>
      </c>
      <c r="I18" s="19" t="s">
        <v>26</v>
      </c>
      <c r="J18" s="8">
        <v>21</v>
      </c>
      <c r="K18" s="19" t="s">
        <v>37</v>
      </c>
      <c r="L18" s="19" t="s">
        <v>23</v>
      </c>
      <c r="M18" s="8">
        <v>4</v>
      </c>
      <c r="N18" s="33">
        <f t="shared" si="0"/>
        <v>0</v>
      </c>
      <c r="O18" s="23">
        <f t="shared" si="1"/>
        <v>0.1345202769535114</v>
      </c>
      <c r="P18" s="59">
        <f t="shared" si="2"/>
        <v>0.21208307111390809</v>
      </c>
      <c r="Q18" s="30">
        <f t="shared" si="3"/>
        <v>0</v>
      </c>
      <c r="R18" s="30">
        <f t="shared" si="4"/>
        <v>-1</v>
      </c>
      <c r="S18" s="12">
        <f t="shared" si="5"/>
        <v>0</v>
      </c>
      <c r="T18" s="30">
        <f t="shared" si="6"/>
        <v>0</v>
      </c>
      <c r="U18" s="9" t="str">
        <f t="shared" si="7"/>
        <v>18-24</v>
      </c>
    </row>
    <row r="19" spans="1:21">
      <c r="A19" t="s">
        <v>51</v>
      </c>
      <c r="B19" s="8">
        <v>4295</v>
      </c>
      <c r="C19" s="23">
        <v>0.14685999999999999</v>
      </c>
      <c r="D19" s="19" t="s">
        <v>28</v>
      </c>
      <c r="E19" s="21">
        <v>14.866</v>
      </c>
      <c r="F19" s="21">
        <v>6.3650000000000002</v>
      </c>
      <c r="G19" s="23">
        <v>0.27009</v>
      </c>
      <c r="H19" s="26">
        <v>1</v>
      </c>
      <c r="I19" s="19" t="s">
        <v>17</v>
      </c>
      <c r="J19" s="8">
        <v>34</v>
      </c>
      <c r="K19" s="19" t="s">
        <v>18</v>
      </c>
      <c r="L19" s="19" t="s">
        <v>23</v>
      </c>
      <c r="M19" s="8">
        <v>2</v>
      </c>
      <c r="N19" s="33">
        <f t="shared" si="0"/>
        <v>0.15710919088766692</v>
      </c>
      <c r="O19" s="23">
        <f t="shared" si="1"/>
        <v>2.3073055773762764E-2</v>
      </c>
      <c r="P19" s="59">
        <f t="shared" si="2"/>
        <v>0.42815821337279703</v>
      </c>
      <c r="Q19" s="30">
        <f t="shared" si="3"/>
        <v>0.14685999999999999</v>
      </c>
      <c r="R19" s="30">
        <f t="shared" si="4"/>
        <v>0.83909846111943354</v>
      </c>
      <c r="S19" s="12">
        <f t="shared" si="5"/>
        <v>1.8390984611194336</v>
      </c>
      <c r="T19" s="30">
        <f t="shared" si="6"/>
        <v>4.2433621366849958E-2</v>
      </c>
      <c r="U19" s="9" t="str">
        <f t="shared" si="7"/>
        <v>25-34</v>
      </c>
    </row>
    <row r="20" spans="1:21">
      <c r="A20" t="s">
        <v>52</v>
      </c>
      <c r="B20" s="8">
        <v>5340</v>
      </c>
      <c r="C20" s="23">
        <v>6.0400000000000002E-2</v>
      </c>
      <c r="D20" s="19" t="s">
        <v>15</v>
      </c>
      <c r="E20" s="21">
        <v>51.8</v>
      </c>
      <c r="F20" s="21">
        <v>6.6890000000000001</v>
      </c>
      <c r="G20" s="23">
        <v>0</v>
      </c>
      <c r="H20" s="26">
        <v>0</v>
      </c>
      <c r="I20" s="19" t="s">
        <v>1067</v>
      </c>
      <c r="J20" s="8">
        <v>51</v>
      </c>
      <c r="K20" s="19" t="s">
        <v>22</v>
      </c>
      <c r="L20" s="19" t="s">
        <v>32</v>
      </c>
      <c r="M20" s="8" t="s">
        <v>1065</v>
      </c>
      <c r="N20" s="33">
        <f t="shared" si="0"/>
        <v>0</v>
      </c>
      <c r="O20" s="23">
        <f t="shared" si="1"/>
        <v>9.0297503363731494E-3</v>
      </c>
      <c r="P20" s="59">
        <f t="shared" si="2"/>
        <v>0.12913127413127415</v>
      </c>
      <c r="Q20" s="30">
        <f t="shared" si="3"/>
        <v>0</v>
      </c>
      <c r="R20" s="30">
        <f t="shared" si="4"/>
        <v>-1</v>
      </c>
      <c r="S20" s="12">
        <f t="shared" si="5"/>
        <v>0</v>
      </c>
      <c r="T20" s="30">
        <f t="shared" si="6"/>
        <v>0</v>
      </c>
      <c r="U20" s="9" t="str">
        <f t="shared" si="7"/>
        <v>45-54</v>
      </c>
    </row>
    <row r="21" spans="1:21">
      <c r="A21" t="s">
        <v>53</v>
      </c>
      <c r="B21" s="8">
        <v>8803</v>
      </c>
      <c r="C21" s="23">
        <v>6.6570000000000004E-2</v>
      </c>
      <c r="D21" s="19" t="s">
        <v>25</v>
      </c>
      <c r="E21" s="21">
        <v>37.012</v>
      </c>
      <c r="F21" s="21">
        <v>9.6440000000000001</v>
      </c>
      <c r="G21" s="23">
        <v>0</v>
      </c>
      <c r="H21" s="26">
        <v>0</v>
      </c>
      <c r="I21" s="19" t="s">
        <v>26</v>
      </c>
      <c r="J21" s="8">
        <v>35</v>
      </c>
      <c r="K21" s="19" t="s">
        <v>18</v>
      </c>
      <c r="L21" s="19" t="s">
        <v>23</v>
      </c>
      <c r="M21" s="8">
        <v>5</v>
      </c>
      <c r="N21" s="33">
        <f t="shared" si="0"/>
        <v>0</v>
      </c>
      <c r="O21" s="23">
        <f t="shared" si="1"/>
        <v>6.9027374533388638E-3</v>
      </c>
      <c r="P21" s="59">
        <f t="shared" si="2"/>
        <v>0.26056414135955908</v>
      </c>
      <c r="Q21" s="30">
        <f t="shared" si="3"/>
        <v>0</v>
      </c>
      <c r="R21" s="30">
        <f t="shared" si="4"/>
        <v>-1</v>
      </c>
      <c r="S21" s="12">
        <f t="shared" si="5"/>
        <v>0</v>
      </c>
      <c r="T21" s="30">
        <f t="shared" si="6"/>
        <v>0</v>
      </c>
      <c r="U21" s="9" t="str">
        <f t="shared" si="7"/>
        <v>35-44</v>
      </c>
    </row>
    <row r="22" spans="1:21">
      <c r="A22" t="s">
        <v>54</v>
      </c>
      <c r="B22" s="8">
        <v>7055</v>
      </c>
      <c r="C22" s="23">
        <v>0</v>
      </c>
      <c r="D22" s="19" t="s">
        <v>32</v>
      </c>
      <c r="E22" s="21">
        <v>64.527000000000001</v>
      </c>
      <c r="F22" s="21">
        <v>0.58099999999999996</v>
      </c>
      <c r="G22" s="23">
        <v>1.1639999999999999E-2</v>
      </c>
      <c r="H22" s="26">
        <v>1</v>
      </c>
      <c r="I22" s="19" t="s">
        <v>21</v>
      </c>
      <c r="J22" s="8">
        <v>22</v>
      </c>
      <c r="K22" s="19" t="s">
        <v>22</v>
      </c>
      <c r="L22" s="19" t="s">
        <v>23</v>
      </c>
      <c r="M22" s="8">
        <v>4</v>
      </c>
      <c r="N22" s="33">
        <f t="shared" si="0"/>
        <v>1.7211703958691911</v>
      </c>
      <c r="O22" s="23">
        <f t="shared" si="1"/>
        <v>0</v>
      </c>
      <c r="P22" s="59">
        <f t="shared" si="2"/>
        <v>9.0039828288933314E-3</v>
      </c>
      <c r="Q22" s="30">
        <f t="shared" si="3"/>
        <v>0</v>
      </c>
      <c r="R22" s="30">
        <f t="shared" si="4"/>
        <v>0</v>
      </c>
      <c r="S22" s="12" t="e">
        <f t="shared" si="5"/>
        <v>#DIV/0!</v>
      </c>
      <c r="T22" s="30">
        <f t="shared" si="6"/>
        <v>2.0034423407917383E-2</v>
      </c>
      <c r="U22" s="9" t="str">
        <f t="shared" si="7"/>
        <v>18-24</v>
      </c>
    </row>
    <row r="23" spans="1:21">
      <c r="A23" t="s">
        <v>55</v>
      </c>
      <c r="B23" s="8">
        <v>1098</v>
      </c>
      <c r="C23" s="23">
        <v>0.19461000000000001</v>
      </c>
      <c r="D23" s="19" t="s">
        <v>32</v>
      </c>
      <c r="E23" s="21">
        <v>39.222000000000001</v>
      </c>
      <c r="F23" s="21">
        <v>2.94</v>
      </c>
      <c r="G23" s="23">
        <v>0.25812000000000002</v>
      </c>
      <c r="H23" s="26">
        <v>1</v>
      </c>
      <c r="I23" s="19" t="s">
        <v>21</v>
      </c>
      <c r="J23" s="8">
        <v>18</v>
      </c>
      <c r="K23" s="19" t="s">
        <v>31</v>
      </c>
      <c r="L23" s="19" t="s">
        <v>45</v>
      </c>
      <c r="M23" s="8">
        <v>1</v>
      </c>
      <c r="N23" s="33">
        <f t="shared" si="0"/>
        <v>0.3401360544217687</v>
      </c>
      <c r="O23" s="23">
        <f t="shared" si="1"/>
        <v>6.6193877551020408E-2</v>
      </c>
      <c r="P23" s="59">
        <f t="shared" si="2"/>
        <v>7.4957931772984543E-2</v>
      </c>
      <c r="Q23" s="30">
        <f t="shared" si="3"/>
        <v>0.19461000000000001</v>
      </c>
      <c r="R23" s="30">
        <f t="shared" si="4"/>
        <v>0.3263449976876831</v>
      </c>
      <c r="S23" s="12">
        <f t="shared" si="5"/>
        <v>1.3263449976876831</v>
      </c>
      <c r="T23" s="30">
        <f t="shared" si="6"/>
        <v>8.7795918367346945E-2</v>
      </c>
      <c r="U23" s="9" t="str">
        <f t="shared" si="7"/>
        <v>18-24</v>
      </c>
    </row>
    <row r="24" spans="1:21">
      <c r="A24" t="s">
        <v>56</v>
      </c>
      <c r="B24" s="8">
        <v>3124</v>
      </c>
      <c r="C24" s="23">
        <v>8.8639999999999997E-2</v>
      </c>
      <c r="D24" s="19" t="s">
        <v>40</v>
      </c>
      <c r="E24" s="21">
        <v>91.587000000000003</v>
      </c>
      <c r="F24" s="21">
        <v>8.5440000000000005</v>
      </c>
      <c r="G24" s="23">
        <v>0</v>
      </c>
      <c r="H24" s="26">
        <v>0</v>
      </c>
      <c r="I24" s="19" t="s">
        <v>17</v>
      </c>
      <c r="J24" s="8">
        <v>39</v>
      </c>
      <c r="K24" s="19" t="s">
        <v>31</v>
      </c>
      <c r="L24" s="19" t="s">
        <v>32</v>
      </c>
      <c r="M24" s="8">
        <v>3</v>
      </c>
      <c r="N24" s="33">
        <f t="shared" si="0"/>
        <v>0</v>
      </c>
      <c r="O24" s="23">
        <f t="shared" si="1"/>
        <v>1.0374531835205992E-2</v>
      </c>
      <c r="P24" s="59">
        <f t="shared" si="2"/>
        <v>9.3288348783124239E-2</v>
      </c>
      <c r="Q24" s="30">
        <f t="shared" si="3"/>
        <v>0</v>
      </c>
      <c r="R24" s="30">
        <f t="shared" si="4"/>
        <v>-1</v>
      </c>
      <c r="S24" s="12">
        <f t="shared" si="5"/>
        <v>0</v>
      </c>
      <c r="T24" s="30">
        <f t="shared" si="6"/>
        <v>0</v>
      </c>
      <c r="U24" s="9" t="str">
        <f t="shared" si="7"/>
        <v>35-44</v>
      </c>
    </row>
    <row r="25" spans="1:21">
      <c r="A25" t="s">
        <v>57</v>
      </c>
      <c r="B25" s="8">
        <v>4550</v>
      </c>
      <c r="C25" s="23">
        <v>0.17655000000000001</v>
      </c>
      <c r="D25" s="19" t="s">
        <v>25</v>
      </c>
      <c r="E25" s="21">
        <v>57.798999999999999</v>
      </c>
      <c r="F25" s="21">
        <v>1.67</v>
      </c>
      <c r="G25" s="23">
        <v>0</v>
      </c>
      <c r="H25" s="26">
        <v>0</v>
      </c>
      <c r="I25" s="19" t="s">
        <v>34</v>
      </c>
      <c r="J25" s="8">
        <v>51</v>
      </c>
      <c r="K25" s="19" t="s">
        <v>37</v>
      </c>
      <c r="L25" s="19" t="s">
        <v>32</v>
      </c>
      <c r="M25" s="8">
        <v>5</v>
      </c>
      <c r="N25" s="33">
        <f t="shared" si="0"/>
        <v>0</v>
      </c>
      <c r="O25" s="23">
        <f t="shared" si="1"/>
        <v>0.10571856287425151</v>
      </c>
      <c r="P25" s="59">
        <f t="shared" si="2"/>
        <v>2.8893233446945447E-2</v>
      </c>
      <c r="Q25" s="30">
        <f t="shared" si="3"/>
        <v>0</v>
      </c>
      <c r="R25" s="30">
        <f t="shared" si="4"/>
        <v>-1</v>
      </c>
      <c r="S25" s="12">
        <f t="shared" si="5"/>
        <v>0</v>
      </c>
      <c r="T25" s="30">
        <f t="shared" si="6"/>
        <v>0</v>
      </c>
      <c r="U25" s="9" t="str">
        <f t="shared" si="7"/>
        <v>45-54</v>
      </c>
    </row>
    <row r="26" spans="1:21">
      <c r="A26" t="s">
        <v>58</v>
      </c>
      <c r="B26" s="8">
        <v>3989</v>
      </c>
      <c r="C26" s="23">
        <v>5.2929999999999998E-2</v>
      </c>
      <c r="D26" s="19" t="s">
        <v>40</v>
      </c>
      <c r="E26" s="21">
        <v>92.820999999999998</v>
      </c>
      <c r="F26" s="21">
        <v>7.5369999999999999</v>
      </c>
      <c r="G26" s="23">
        <v>0</v>
      </c>
      <c r="H26" s="26">
        <v>0</v>
      </c>
      <c r="I26" s="19" t="s">
        <v>29</v>
      </c>
      <c r="J26" s="8">
        <v>52</v>
      </c>
      <c r="K26" s="19" t="s">
        <v>37</v>
      </c>
      <c r="L26" s="19" t="s">
        <v>32</v>
      </c>
      <c r="M26" s="8" t="s">
        <v>1065</v>
      </c>
      <c r="N26" s="33">
        <f t="shared" si="0"/>
        <v>0</v>
      </c>
      <c r="O26" s="23">
        <f t="shared" si="1"/>
        <v>7.022688072177259E-3</v>
      </c>
      <c r="P26" s="59">
        <f t="shared" si="2"/>
        <v>8.1199297572747547E-2</v>
      </c>
      <c r="Q26" s="30">
        <f t="shared" si="3"/>
        <v>0</v>
      </c>
      <c r="R26" s="30">
        <f t="shared" si="4"/>
        <v>-1</v>
      </c>
      <c r="S26" s="12">
        <f t="shared" si="5"/>
        <v>0</v>
      </c>
      <c r="T26" s="30">
        <f t="shared" si="6"/>
        <v>0</v>
      </c>
      <c r="U26" s="9" t="str">
        <f t="shared" si="7"/>
        <v>45-54</v>
      </c>
    </row>
    <row r="27" spans="1:21">
      <c r="A27" t="s">
        <v>59</v>
      </c>
      <c r="B27" s="8">
        <v>6539</v>
      </c>
      <c r="C27" s="23">
        <v>0.1847</v>
      </c>
      <c r="D27" s="19" t="s">
        <v>15</v>
      </c>
      <c r="E27" s="21">
        <v>90.872</v>
      </c>
      <c r="F27" s="21">
        <v>2.593</v>
      </c>
      <c r="G27" s="23">
        <v>0</v>
      </c>
      <c r="H27" s="26">
        <v>0</v>
      </c>
      <c r="I27" s="19" t="s">
        <v>29</v>
      </c>
      <c r="J27" s="8">
        <v>58</v>
      </c>
      <c r="K27" s="19" t="s">
        <v>22</v>
      </c>
      <c r="L27" s="19" t="s">
        <v>45</v>
      </c>
      <c r="M27" s="8">
        <v>2</v>
      </c>
      <c r="N27" s="33">
        <f t="shared" si="0"/>
        <v>0</v>
      </c>
      <c r="O27" s="23">
        <f t="shared" si="1"/>
        <v>7.1230235248746623E-2</v>
      </c>
      <c r="P27" s="59">
        <f t="shared" si="2"/>
        <v>2.8534642133990668E-2</v>
      </c>
      <c r="Q27" s="30">
        <f t="shared" si="3"/>
        <v>0</v>
      </c>
      <c r="R27" s="30">
        <f t="shared" si="4"/>
        <v>-1</v>
      </c>
      <c r="S27" s="12">
        <f t="shared" si="5"/>
        <v>0</v>
      </c>
      <c r="T27" s="30">
        <f t="shared" si="6"/>
        <v>0</v>
      </c>
      <c r="U27" s="9" t="str">
        <f t="shared" si="7"/>
        <v>55+</v>
      </c>
    </row>
    <row r="28" spans="1:21">
      <c r="A28" t="s">
        <v>60</v>
      </c>
      <c r="B28" s="8">
        <v>8272</v>
      </c>
      <c r="C28" s="23">
        <v>2.9139999999999999E-2</v>
      </c>
      <c r="D28" s="19" t="s">
        <v>40</v>
      </c>
      <c r="E28" s="21">
        <v>73.736000000000004</v>
      </c>
      <c r="F28" s="21">
        <v>6.5720000000000001</v>
      </c>
      <c r="G28" s="23">
        <v>0.10555</v>
      </c>
      <c r="H28" s="26">
        <v>1</v>
      </c>
      <c r="I28" s="19" t="s">
        <v>29</v>
      </c>
      <c r="J28" s="8">
        <v>30</v>
      </c>
      <c r="K28" s="19" t="s">
        <v>22</v>
      </c>
      <c r="L28" s="19" t="s">
        <v>19</v>
      </c>
      <c r="M28" s="8">
        <v>3</v>
      </c>
      <c r="N28" s="33">
        <f t="shared" si="0"/>
        <v>0.15216068167985392</v>
      </c>
      <c r="O28" s="23">
        <f t="shared" si="1"/>
        <v>4.4339622641509429E-3</v>
      </c>
      <c r="P28" s="59">
        <f t="shared" si="2"/>
        <v>8.9128783769122269E-2</v>
      </c>
      <c r="Q28" s="30">
        <f t="shared" si="3"/>
        <v>2.9139999999999999E-2</v>
      </c>
      <c r="R28" s="30">
        <f t="shared" si="4"/>
        <v>2.6221688400823613</v>
      </c>
      <c r="S28" s="12">
        <f t="shared" si="5"/>
        <v>3.6221688400823613</v>
      </c>
      <c r="T28" s="30">
        <f t="shared" si="6"/>
        <v>1.6060559951308583E-2</v>
      </c>
      <c r="U28" s="9" t="str">
        <f t="shared" si="7"/>
        <v>25-34</v>
      </c>
    </row>
    <row r="29" spans="1:21">
      <c r="A29" t="s">
        <v>61</v>
      </c>
      <c r="B29" s="8">
        <v>1987</v>
      </c>
      <c r="C29" s="23">
        <v>4.9910000000000003E-2</v>
      </c>
      <c r="D29" s="19" t="s">
        <v>32</v>
      </c>
      <c r="E29" s="21">
        <v>71.283000000000001</v>
      </c>
      <c r="F29" s="21">
        <v>4.4829999999999997</v>
      </c>
      <c r="G29" s="23">
        <v>0</v>
      </c>
      <c r="H29" s="26">
        <v>0</v>
      </c>
      <c r="I29" s="19" t="s">
        <v>21</v>
      </c>
      <c r="J29" s="8">
        <v>31</v>
      </c>
      <c r="K29" s="19" t="s">
        <v>18</v>
      </c>
      <c r="L29" s="19" t="s">
        <v>45</v>
      </c>
      <c r="M29" s="8">
        <v>3</v>
      </c>
      <c r="N29" s="33">
        <f t="shared" si="0"/>
        <v>0</v>
      </c>
      <c r="O29" s="23">
        <f t="shared" si="1"/>
        <v>1.113316975239795E-2</v>
      </c>
      <c r="P29" s="59">
        <f t="shared" si="2"/>
        <v>6.289017016679993E-2</v>
      </c>
      <c r="Q29" s="30">
        <f t="shared" si="3"/>
        <v>0</v>
      </c>
      <c r="R29" s="30">
        <f t="shared" si="4"/>
        <v>-1</v>
      </c>
      <c r="S29" s="12">
        <f t="shared" si="5"/>
        <v>0</v>
      </c>
      <c r="T29" s="30">
        <f t="shared" si="6"/>
        <v>0</v>
      </c>
      <c r="U29" s="9" t="str">
        <f t="shared" si="7"/>
        <v>25-34</v>
      </c>
    </row>
    <row r="30" spans="1:21">
      <c r="A30" t="s">
        <v>62</v>
      </c>
      <c r="B30" s="8">
        <v>1555</v>
      </c>
      <c r="C30" s="23">
        <v>0</v>
      </c>
      <c r="D30" s="19" t="s">
        <v>40</v>
      </c>
      <c r="E30" s="21">
        <v>29.654</v>
      </c>
      <c r="F30" s="21">
        <v>0.98199999999999998</v>
      </c>
      <c r="G30" s="23">
        <v>0</v>
      </c>
      <c r="H30" s="26">
        <v>0</v>
      </c>
      <c r="I30" s="19" t="s">
        <v>34</v>
      </c>
      <c r="J30" s="8">
        <v>34</v>
      </c>
      <c r="K30" s="19" t="s">
        <v>18</v>
      </c>
      <c r="L30" s="19" t="s">
        <v>32</v>
      </c>
      <c r="M30" s="8" t="s">
        <v>1065</v>
      </c>
      <c r="N30" s="33">
        <f t="shared" si="0"/>
        <v>0</v>
      </c>
      <c r="O30" s="23">
        <f t="shared" si="1"/>
        <v>0</v>
      </c>
      <c r="P30" s="59">
        <f t="shared" si="2"/>
        <v>3.3115262696432182E-2</v>
      </c>
      <c r="Q30" s="30">
        <f t="shared" si="3"/>
        <v>0</v>
      </c>
      <c r="R30" s="30">
        <f t="shared" si="4"/>
        <v>0</v>
      </c>
      <c r="S30" s="12">
        <f t="shared" si="5"/>
        <v>0</v>
      </c>
      <c r="T30" s="30">
        <f t="shared" si="6"/>
        <v>0</v>
      </c>
      <c r="U30" s="9" t="str">
        <f t="shared" si="7"/>
        <v>25-34</v>
      </c>
    </row>
    <row r="31" spans="1:21">
      <c r="A31" t="s">
        <v>63</v>
      </c>
      <c r="B31" s="8">
        <v>2240</v>
      </c>
      <c r="C31" s="23">
        <v>4.0750000000000001E-2</v>
      </c>
      <c r="D31" s="19" t="s">
        <v>32</v>
      </c>
      <c r="E31" s="21">
        <v>4.4210000000000003</v>
      </c>
      <c r="F31" s="21">
        <v>4.5460000000000003</v>
      </c>
      <c r="G31" s="23">
        <v>0</v>
      </c>
      <c r="H31" s="26">
        <v>0</v>
      </c>
      <c r="I31" s="19" t="s">
        <v>29</v>
      </c>
      <c r="J31" s="8">
        <v>21</v>
      </c>
      <c r="K31" s="19" t="s">
        <v>22</v>
      </c>
      <c r="L31" s="19" t="s">
        <v>45</v>
      </c>
      <c r="M31" s="8">
        <v>3</v>
      </c>
      <c r="N31" s="33">
        <f t="shared" si="0"/>
        <v>0</v>
      </c>
      <c r="O31" s="23">
        <f t="shared" si="1"/>
        <v>8.963924329080511E-3</v>
      </c>
      <c r="P31" s="59">
        <f t="shared" si="2"/>
        <v>1.0282741461207872</v>
      </c>
      <c r="Q31" s="30">
        <f t="shared" si="3"/>
        <v>0</v>
      </c>
      <c r="R31" s="30">
        <f t="shared" si="4"/>
        <v>-1</v>
      </c>
      <c r="S31" s="12">
        <f t="shared" si="5"/>
        <v>0</v>
      </c>
      <c r="T31" s="30">
        <f t="shared" si="6"/>
        <v>0</v>
      </c>
      <c r="U31" s="9" t="str">
        <f t="shared" si="7"/>
        <v>18-24</v>
      </c>
    </row>
    <row r="32" spans="1:21">
      <c r="A32" t="s">
        <v>64</v>
      </c>
      <c r="B32" s="8">
        <v>2898</v>
      </c>
      <c r="C32" s="23">
        <v>0.12526000000000001</v>
      </c>
      <c r="D32" s="19" t="s">
        <v>15</v>
      </c>
      <c r="E32" s="21">
        <v>61.622999999999998</v>
      </c>
      <c r="F32" s="21">
        <v>1.851</v>
      </c>
      <c r="G32" s="23">
        <v>0</v>
      </c>
      <c r="H32" s="26">
        <v>0</v>
      </c>
      <c r="I32" s="19" t="s">
        <v>17</v>
      </c>
      <c r="J32" s="8">
        <v>50</v>
      </c>
      <c r="K32" s="19" t="s">
        <v>18</v>
      </c>
      <c r="L32" s="19" t="s">
        <v>23</v>
      </c>
      <c r="M32" s="8">
        <v>2</v>
      </c>
      <c r="N32" s="33">
        <f t="shared" si="0"/>
        <v>0</v>
      </c>
      <c r="O32" s="23">
        <f t="shared" si="1"/>
        <v>6.7671528903295516E-2</v>
      </c>
      <c r="P32" s="59">
        <f t="shared" si="2"/>
        <v>3.0037486003602551E-2</v>
      </c>
      <c r="Q32" s="30">
        <f t="shared" si="3"/>
        <v>0</v>
      </c>
      <c r="R32" s="30">
        <f t="shared" si="4"/>
        <v>-1</v>
      </c>
      <c r="S32" s="12">
        <f t="shared" si="5"/>
        <v>0</v>
      </c>
      <c r="T32" s="30">
        <f t="shared" si="6"/>
        <v>0</v>
      </c>
      <c r="U32" s="9" t="str">
        <f t="shared" si="7"/>
        <v>45-54</v>
      </c>
    </row>
    <row r="33" spans="1:21">
      <c r="A33" t="s">
        <v>65</v>
      </c>
      <c r="B33" s="8">
        <v>4045</v>
      </c>
      <c r="C33" s="23">
        <v>1.618E-2</v>
      </c>
      <c r="D33" s="19" t="s">
        <v>45</v>
      </c>
      <c r="E33" s="21">
        <v>36.664000000000001</v>
      </c>
      <c r="F33" s="21">
        <v>9.9039999999999999</v>
      </c>
      <c r="G33" s="23">
        <v>0</v>
      </c>
      <c r="H33" s="26">
        <v>0</v>
      </c>
      <c r="I33" s="19" t="s">
        <v>26</v>
      </c>
      <c r="J33" s="8">
        <v>41</v>
      </c>
      <c r="K33" s="19" t="s">
        <v>31</v>
      </c>
      <c r="L33" s="19" t="s">
        <v>23</v>
      </c>
      <c r="M33" s="8" t="s">
        <v>1065</v>
      </c>
      <c r="N33" s="33">
        <f t="shared" si="0"/>
        <v>0</v>
      </c>
      <c r="O33" s="23">
        <f t="shared" si="1"/>
        <v>1.6336833602584814E-3</v>
      </c>
      <c r="P33" s="59">
        <f t="shared" si="2"/>
        <v>0.27012873663539166</v>
      </c>
      <c r="Q33" s="30">
        <f t="shared" si="3"/>
        <v>0</v>
      </c>
      <c r="R33" s="30">
        <f t="shared" si="4"/>
        <v>-1</v>
      </c>
      <c r="S33" s="12">
        <f t="shared" si="5"/>
        <v>0</v>
      </c>
      <c r="T33" s="30">
        <f t="shared" si="6"/>
        <v>0</v>
      </c>
      <c r="U33" s="9" t="str">
        <f t="shared" si="7"/>
        <v>35-44</v>
      </c>
    </row>
    <row r="34" spans="1:21">
      <c r="A34" t="s">
        <v>66</v>
      </c>
      <c r="B34" s="8">
        <v>8663</v>
      </c>
      <c r="C34" s="23">
        <v>0.19775000000000001</v>
      </c>
      <c r="D34" s="19" t="s">
        <v>15</v>
      </c>
      <c r="E34" s="21">
        <v>19.420999999999999</v>
      </c>
      <c r="F34" s="21">
        <v>3.1539999999999999</v>
      </c>
      <c r="G34" s="23">
        <v>0</v>
      </c>
      <c r="H34" s="26">
        <v>0</v>
      </c>
      <c r="I34" s="19" t="s">
        <v>34</v>
      </c>
      <c r="J34" s="8">
        <v>39</v>
      </c>
      <c r="K34" s="19" t="s">
        <v>22</v>
      </c>
      <c r="L34" s="19" t="s">
        <v>23</v>
      </c>
      <c r="M34" s="8">
        <v>4</v>
      </c>
      <c r="N34" s="33">
        <f t="shared" si="0"/>
        <v>0</v>
      </c>
      <c r="O34" s="23">
        <f t="shared" si="1"/>
        <v>6.2698161065313895E-2</v>
      </c>
      <c r="P34" s="59">
        <f t="shared" si="2"/>
        <v>0.16240152412337161</v>
      </c>
      <c r="Q34" s="30">
        <f t="shared" si="3"/>
        <v>0</v>
      </c>
      <c r="R34" s="30">
        <f t="shared" si="4"/>
        <v>-1</v>
      </c>
      <c r="S34" s="12">
        <f t="shared" si="5"/>
        <v>0</v>
      </c>
      <c r="T34" s="30">
        <f t="shared" si="6"/>
        <v>0</v>
      </c>
      <c r="U34" s="9" t="str">
        <f t="shared" si="7"/>
        <v>35-44</v>
      </c>
    </row>
    <row r="35" spans="1:21">
      <c r="A35" t="s">
        <v>67</v>
      </c>
      <c r="B35" s="8">
        <v>2766</v>
      </c>
      <c r="C35" s="23">
        <v>0.14607000000000001</v>
      </c>
      <c r="D35" s="19" t="s">
        <v>45</v>
      </c>
      <c r="E35" s="21">
        <v>65.275000000000006</v>
      </c>
      <c r="F35" s="21">
        <v>1.391</v>
      </c>
      <c r="G35" s="23">
        <v>0</v>
      </c>
      <c r="H35" s="26">
        <v>0</v>
      </c>
      <c r="I35" s="19" t="s">
        <v>26</v>
      </c>
      <c r="J35" s="8">
        <v>25</v>
      </c>
      <c r="K35" s="19" t="s">
        <v>22</v>
      </c>
      <c r="L35" s="19" t="s">
        <v>32</v>
      </c>
      <c r="M35" s="8">
        <v>3</v>
      </c>
      <c r="N35" s="33">
        <f t="shared" si="0"/>
        <v>0</v>
      </c>
      <c r="O35" s="23">
        <f t="shared" si="1"/>
        <v>0.10501078360891446</v>
      </c>
      <c r="P35" s="59">
        <f t="shared" si="2"/>
        <v>2.1309842972041363E-2</v>
      </c>
      <c r="Q35" s="30">
        <f t="shared" si="3"/>
        <v>0</v>
      </c>
      <c r="R35" s="30">
        <f t="shared" si="4"/>
        <v>-1</v>
      </c>
      <c r="S35" s="12">
        <f t="shared" si="5"/>
        <v>0</v>
      </c>
      <c r="T35" s="30">
        <f t="shared" si="6"/>
        <v>0</v>
      </c>
      <c r="U35" s="9" t="str">
        <f t="shared" si="7"/>
        <v>25-34</v>
      </c>
    </row>
    <row r="36" spans="1:21">
      <c r="A36" t="s">
        <v>68</v>
      </c>
      <c r="B36" s="8">
        <v>2484</v>
      </c>
      <c r="C36" s="23">
        <v>8.473E-2</v>
      </c>
      <c r="D36" s="19" t="s">
        <v>32</v>
      </c>
      <c r="E36" s="21">
        <v>37.718000000000004</v>
      </c>
      <c r="F36" s="21">
        <v>2.0859999999999999</v>
      </c>
      <c r="G36" s="23">
        <v>0</v>
      </c>
      <c r="H36" s="26">
        <v>0</v>
      </c>
      <c r="I36" s="19" t="s">
        <v>21</v>
      </c>
      <c r="J36" s="8">
        <v>31</v>
      </c>
      <c r="K36" s="19" t="s">
        <v>22</v>
      </c>
      <c r="L36" s="19" t="s">
        <v>23</v>
      </c>
      <c r="M36" s="8" t="s">
        <v>1065</v>
      </c>
      <c r="N36" s="33">
        <f t="shared" si="0"/>
        <v>0</v>
      </c>
      <c r="O36" s="23">
        <f t="shared" si="1"/>
        <v>4.0618408437200389E-2</v>
      </c>
      <c r="P36" s="59">
        <f t="shared" si="2"/>
        <v>5.5305159340367983E-2</v>
      </c>
      <c r="Q36" s="30">
        <f t="shared" si="3"/>
        <v>0</v>
      </c>
      <c r="R36" s="30">
        <f t="shared" si="4"/>
        <v>-1</v>
      </c>
      <c r="S36" s="12">
        <f t="shared" si="5"/>
        <v>0</v>
      </c>
      <c r="T36" s="30">
        <f t="shared" si="6"/>
        <v>0</v>
      </c>
      <c r="U36" s="9" t="str">
        <f t="shared" si="7"/>
        <v>25-34</v>
      </c>
    </row>
    <row r="37" spans="1:21">
      <c r="A37" t="s">
        <v>69</v>
      </c>
      <c r="B37" s="8">
        <v>6139</v>
      </c>
      <c r="C37" s="23">
        <v>6.7180000000000004E-2</v>
      </c>
      <c r="D37" s="19" t="s">
        <v>45</v>
      </c>
      <c r="E37" s="21">
        <v>62.164000000000001</v>
      </c>
      <c r="F37" s="21">
        <v>5.9669999999999996</v>
      </c>
      <c r="G37" s="23">
        <v>0</v>
      </c>
      <c r="H37" s="26">
        <v>0</v>
      </c>
      <c r="I37" s="19" t="s">
        <v>34</v>
      </c>
      <c r="J37" s="8">
        <v>49</v>
      </c>
      <c r="K37" s="19" t="s">
        <v>18</v>
      </c>
      <c r="L37" s="19" t="s">
        <v>23</v>
      </c>
      <c r="M37" s="8">
        <v>4</v>
      </c>
      <c r="N37" s="33">
        <f t="shared" si="0"/>
        <v>0</v>
      </c>
      <c r="O37" s="23">
        <f t="shared" si="1"/>
        <v>1.125858890564773E-2</v>
      </c>
      <c r="P37" s="59">
        <f t="shared" si="2"/>
        <v>9.5988031658194445E-2</v>
      </c>
      <c r="Q37" s="30">
        <f t="shared" si="3"/>
        <v>0</v>
      </c>
      <c r="R37" s="30">
        <f t="shared" si="4"/>
        <v>-1</v>
      </c>
      <c r="S37" s="12">
        <f t="shared" si="5"/>
        <v>0</v>
      </c>
      <c r="T37" s="30">
        <f t="shared" si="6"/>
        <v>0</v>
      </c>
      <c r="U37" s="9" t="str">
        <f t="shared" si="7"/>
        <v>45-54</v>
      </c>
    </row>
    <row r="38" spans="1:21">
      <c r="A38" t="s">
        <v>70</v>
      </c>
      <c r="B38" s="8">
        <v>7197</v>
      </c>
      <c r="C38" s="23">
        <v>0</v>
      </c>
      <c r="D38" s="19" t="s">
        <v>25</v>
      </c>
      <c r="E38" s="21">
        <v>2.3719999999999999</v>
      </c>
      <c r="F38" s="21">
        <v>4.5259999999999998</v>
      </c>
      <c r="G38" s="23">
        <v>0</v>
      </c>
      <c r="H38" s="26">
        <v>0</v>
      </c>
      <c r="I38" s="19" t="s">
        <v>1067</v>
      </c>
      <c r="J38" s="8">
        <v>61</v>
      </c>
      <c r="K38" s="19" t="s">
        <v>18</v>
      </c>
      <c r="L38" s="19" t="s">
        <v>38</v>
      </c>
      <c r="M38" s="8">
        <v>4</v>
      </c>
      <c r="N38" s="33">
        <f t="shared" si="0"/>
        <v>0</v>
      </c>
      <c r="O38" s="23">
        <f t="shared" si="1"/>
        <v>0</v>
      </c>
      <c r="P38" s="59">
        <f t="shared" si="2"/>
        <v>1.9080944350758853</v>
      </c>
      <c r="Q38" s="30">
        <f t="shared" si="3"/>
        <v>0</v>
      </c>
      <c r="R38" s="30">
        <f t="shared" si="4"/>
        <v>0</v>
      </c>
      <c r="S38" s="12">
        <f t="shared" si="5"/>
        <v>0</v>
      </c>
      <c r="T38" s="30">
        <f t="shared" si="6"/>
        <v>0</v>
      </c>
      <c r="U38" s="9" t="str">
        <f t="shared" si="7"/>
        <v>55+</v>
      </c>
    </row>
    <row r="39" spans="1:21">
      <c r="A39" t="s">
        <v>71</v>
      </c>
      <c r="B39" s="8">
        <v>5180</v>
      </c>
      <c r="C39" s="23">
        <v>0</v>
      </c>
      <c r="D39" s="19" t="s">
        <v>28</v>
      </c>
      <c r="E39" s="21">
        <v>3.601</v>
      </c>
      <c r="F39" s="21">
        <v>4.6790000000000003</v>
      </c>
      <c r="G39" s="23">
        <v>0</v>
      </c>
      <c r="H39" s="26">
        <v>0</v>
      </c>
      <c r="I39" s="19" t="s">
        <v>26</v>
      </c>
      <c r="J39" s="8">
        <v>29</v>
      </c>
      <c r="K39" s="19" t="s">
        <v>31</v>
      </c>
      <c r="L39" s="19" t="s">
        <v>32</v>
      </c>
      <c r="M39" s="8" t="s">
        <v>1065</v>
      </c>
      <c r="N39" s="33">
        <f t="shared" si="0"/>
        <v>0</v>
      </c>
      <c r="O39" s="23">
        <f t="shared" si="1"/>
        <v>0</v>
      </c>
      <c r="P39" s="59">
        <f t="shared" si="2"/>
        <v>1.2993612885309638</v>
      </c>
      <c r="Q39" s="30">
        <f t="shared" si="3"/>
        <v>0</v>
      </c>
      <c r="R39" s="30">
        <f t="shared" si="4"/>
        <v>0</v>
      </c>
      <c r="S39" s="12">
        <f t="shared" si="5"/>
        <v>0</v>
      </c>
      <c r="T39" s="30">
        <f t="shared" si="6"/>
        <v>0</v>
      </c>
      <c r="U39" s="9" t="str">
        <f t="shared" si="7"/>
        <v>25-34</v>
      </c>
    </row>
    <row r="40" spans="1:21">
      <c r="A40" t="s">
        <v>72</v>
      </c>
      <c r="B40" s="8">
        <v>1825</v>
      </c>
      <c r="C40" s="23">
        <v>6.6640000000000005E-2</v>
      </c>
      <c r="D40" s="19" t="s">
        <v>45</v>
      </c>
      <c r="E40" s="21">
        <v>19.966999999999999</v>
      </c>
      <c r="F40" s="21">
        <v>9.8379999999999992</v>
      </c>
      <c r="G40" s="23">
        <v>0</v>
      </c>
      <c r="H40" s="26">
        <v>0</v>
      </c>
      <c r="I40" s="19" t="s">
        <v>29</v>
      </c>
      <c r="J40" s="8">
        <v>43</v>
      </c>
      <c r="K40" s="19" t="s">
        <v>37</v>
      </c>
      <c r="L40" s="19" t="s">
        <v>45</v>
      </c>
      <c r="M40" s="8" t="s">
        <v>1065</v>
      </c>
      <c r="N40" s="33">
        <f t="shared" si="0"/>
        <v>0</v>
      </c>
      <c r="O40" s="23">
        <f t="shared" si="1"/>
        <v>6.7737344988818872E-3</v>
      </c>
      <c r="P40" s="59">
        <f t="shared" si="2"/>
        <v>0.49271297641107825</v>
      </c>
      <c r="Q40" s="30">
        <f t="shared" si="3"/>
        <v>0</v>
      </c>
      <c r="R40" s="30">
        <f t="shared" si="4"/>
        <v>-1</v>
      </c>
      <c r="S40" s="12">
        <f t="shared" si="5"/>
        <v>0</v>
      </c>
      <c r="T40" s="30">
        <f t="shared" si="6"/>
        <v>0</v>
      </c>
      <c r="U40" s="9" t="str">
        <f t="shared" si="7"/>
        <v>35-44</v>
      </c>
    </row>
    <row r="41" spans="1:21">
      <c r="A41" t="s">
        <v>73</v>
      </c>
      <c r="B41" s="8">
        <v>5349</v>
      </c>
      <c r="C41" s="23">
        <v>5.1580000000000001E-2</v>
      </c>
      <c r="D41" s="19" t="s">
        <v>32</v>
      </c>
      <c r="E41" s="21">
        <v>65.638999999999996</v>
      </c>
      <c r="F41" s="21">
        <v>8.3350000000000009</v>
      </c>
      <c r="G41" s="23">
        <v>0</v>
      </c>
      <c r="H41" s="26">
        <v>0</v>
      </c>
      <c r="I41" s="19" t="s">
        <v>29</v>
      </c>
      <c r="J41" s="8">
        <v>28</v>
      </c>
      <c r="K41" s="19" t="s">
        <v>31</v>
      </c>
      <c r="L41" s="19" t="s">
        <v>38</v>
      </c>
      <c r="M41" s="8" t="s">
        <v>1065</v>
      </c>
      <c r="N41" s="33">
        <f t="shared" si="0"/>
        <v>0</v>
      </c>
      <c r="O41" s="23">
        <f t="shared" si="1"/>
        <v>6.1883623275344928E-3</v>
      </c>
      <c r="P41" s="59">
        <f t="shared" si="2"/>
        <v>0.12698243422355615</v>
      </c>
      <c r="Q41" s="30">
        <f t="shared" si="3"/>
        <v>0</v>
      </c>
      <c r="R41" s="30">
        <f t="shared" si="4"/>
        <v>-1</v>
      </c>
      <c r="S41" s="12">
        <f t="shared" si="5"/>
        <v>0</v>
      </c>
      <c r="T41" s="30">
        <f t="shared" si="6"/>
        <v>0</v>
      </c>
      <c r="U41" s="9" t="str">
        <f t="shared" si="7"/>
        <v>25-34</v>
      </c>
    </row>
    <row r="42" spans="1:21">
      <c r="A42" t="s">
        <v>74</v>
      </c>
      <c r="B42" s="8">
        <v>8656</v>
      </c>
      <c r="C42" s="23">
        <v>0.13186999999999999</v>
      </c>
      <c r="D42" s="19" t="s">
        <v>25</v>
      </c>
      <c r="E42" s="21">
        <v>6.0880000000000001</v>
      </c>
      <c r="F42" s="21">
        <v>7.4770000000000003</v>
      </c>
      <c r="G42" s="23">
        <v>0</v>
      </c>
      <c r="H42" s="26">
        <v>1</v>
      </c>
      <c r="I42" s="19" t="s">
        <v>29</v>
      </c>
      <c r="J42" s="8">
        <v>26</v>
      </c>
      <c r="K42" s="19" t="s">
        <v>18</v>
      </c>
      <c r="L42" s="19" t="s">
        <v>32</v>
      </c>
      <c r="M42" s="8">
        <v>4</v>
      </c>
      <c r="N42" s="33">
        <f t="shared" si="0"/>
        <v>0.13374348000534975</v>
      </c>
      <c r="O42" s="23">
        <f t="shared" si="1"/>
        <v>1.7636752708305468E-2</v>
      </c>
      <c r="P42" s="59">
        <f t="shared" si="2"/>
        <v>1.2281537450722733</v>
      </c>
      <c r="Q42" s="30">
        <f t="shared" si="3"/>
        <v>0.13186999999999999</v>
      </c>
      <c r="R42" s="30">
        <f t="shared" si="4"/>
        <v>-1</v>
      </c>
      <c r="S42" s="12">
        <f t="shared" si="5"/>
        <v>0</v>
      </c>
      <c r="T42" s="30">
        <f t="shared" si="6"/>
        <v>0</v>
      </c>
      <c r="U42" s="9" t="str">
        <f t="shared" si="7"/>
        <v>25-34</v>
      </c>
    </row>
    <row r="43" spans="1:21">
      <c r="A43" t="s">
        <v>75</v>
      </c>
      <c r="B43" s="8">
        <v>9373</v>
      </c>
      <c r="C43" s="23">
        <v>8.3299999999999999E-2</v>
      </c>
      <c r="D43" s="19" t="s">
        <v>40</v>
      </c>
      <c r="E43" s="21">
        <v>47.790999999999997</v>
      </c>
      <c r="F43" s="21">
        <v>9.2859999999999996</v>
      </c>
      <c r="G43" s="23">
        <v>0</v>
      </c>
      <c r="H43" s="26">
        <v>0</v>
      </c>
      <c r="I43" s="19" t="s">
        <v>34</v>
      </c>
      <c r="J43" s="8">
        <v>19</v>
      </c>
      <c r="K43" s="19" t="s">
        <v>37</v>
      </c>
      <c r="L43" s="19" t="s">
        <v>45</v>
      </c>
      <c r="M43" s="8">
        <v>1</v>
      </c>
      <c r="N43" s="33">
        <f t="shared" si="0"/>
        <v>0</v>
      </c>
      <c r="O43" s="23">
        <f t="shared" si="1"/>
        <v>8.9704932155933673E-3</v>
      </c>
      <c r="P43" s="59">
        <f t="shared" si="2"/>
        <v>0.19430436693101211</v>
      </c>
      <c r="Q43" s="30">
        <f t="shared" si="3"/>
        <v>0</v>
      </c>
      <c r="R43" s="30">
        <f t="shared" si="4"/>
        <v>-1</v>
      </c>
      <c r="S43" s="12">
        <f t="shared" si="5"/>
        <v>0</v>
      </c>
      <c r="T43" s="30">
        <f t="shared" si="6"/>
        <v>0</v>
      </c>
      <c r="U43" s="9" t="str">
        <f t="shared" si="7"/>
        <v>18-24</v>
      </c>
    </row>
    <row r="44" spans="1:21">
      <c r="A44" t="s">
        <v>76</v>
      </c>
      <c r="B44" s="8">
        <v>9866</v>
      </c>
      <c r="C44" s="23">
        <v>0.11265</v>
      </c>
      <c r="D44" s="19" t="s">
        <v>28</v>
      </c>
      <c r="E44" s="21">
        <v>21.719000000000001</v>
      </c>
      <c r="F44" s="21">
        <v>0</v>
      </c>
      <c r="G44" s="23">
        <v>0</v>
      </c>
      <c r="H44" s="26">
        <v>0</v>
      </c>
      <c r="I44" s="19" t="s">
        <v>26</v>
      </c>
      <c r="J44" s="8">
        <v>41</v>
      </c>
      <c r="K44" s="19" t="s">
        <v>22</v>
      </c>
      <c r="L44" s="19" t="s">
        <v>19</v>
      </c>
      <c r="M44" s="8" t="s">
        <v>1065</v>
      </c>
      <c r="N44" s="33">
        <f t="shared" si="0"/>
        <v>0</v>
      </c>
      <c r="O44" s="23">
        <f t="shared" si="1"/>
        <v>0</v>
      </c>
      <c r="P44" s="59">
        <f t="shared" si="2"/>
        <v>0</v>
      </c>
      <c r="Q44" s="30">
        <f t="shared" si="3"/>
        <v>0</v>
      </c>
      <c r="R44" s="30">
        <f t="shared" si="4"/>
        <v>-1</v>
      </c>
      <c r="S44" s="12">
        <f t="shared" si="5"/>
        <v>0</v>
      </c>
      <c r="T44" s="30">
        <f t="shared" si="6"/>
        <v>0</v>
      </c>
      <c r="U44" s="9" t="str">
        <f t="shared" si="7"/>
        <v>35-44</v>
      </c>
    </row>
    <row r="45" spans="1:21">
      <c r="A45" t="s">
        <v>77</v>
      </c>
      <c r="B45" s="8">
        <v>4760</v>
      </c>
      <c r="C45" s="23">
        <v>4.6710000000000002E-2</v>
      </c>
      <c r="D45" s="19" t="s">
        <v>40</v>
      </c>
      <c r="E45" s="21">
        <v>72.322000000000003</v>
      </c>
      <c r="F45" s="21">
        <v>4.6900000000000004</v>
      </c>
      <c r="G45" s="23">
        <v>0</v>
      </c>
      <c r="H45" s="26">
        <v>0</v>
      </c>
      <c r="I45" s="19" t="s">
        <v>34</v>
      </c>
      <c r="J45" s="8">
        <v>64</v>
      </c>
      <c r="K45" s="19" t="s">
        <v>37</v>
      </c>
      <c r="L45" s="19" t="s">
        <v>19</v>
      </c>
      <c r="M45" s="8">
        <v>5</v>
      </c>
      <c r="N45" s="33">
        <f t="shared" si="0"/>
        <v>0</v>
      </c>
      <c r="O45" s="23">
        <f t="shared" si="1"/>
        <v>9.9594882729211083E-3</v>
      </c>
      <c r="P45" s="59">
        <f t="shared" si="2"/>
        <v>6.4848870329913447E-2</v>
      </c>
      <c r="Q45" s="30">
        <f t="shared" si="3"/>
        <v>0</v>
      </c>
      <c r="R45" s="30">
        <f t="shared" si="4"/>
        <v>-1</v>
      </c>
      <c r="S45" s="12">
        <f t="shared" si="5"/>
        <v>0</v>
      </c>
      <c r="T45" s="30">
        <f t="shared" si="6"/>
        <v>0</v>
      </c>
      <c r="U45" s="9" t="str">
        <f t="shared" si="7"/>
        <v>55+</v>
      </c>
    </row>
    <row r="46" spans="1:21">
      <c r="A46" t="s">
        <v>78</v>
      </c>
      <c r="B46" s="8">
        <v>4935</v>
      </c>
      <c r="C46" s="23">
        <v>2.5260000000000001E-2</v>
      </c>
      <c r="D46" s="19" t="s">
        <v>25</v>
      </c>
      <c r="E46" s="21">
        <v>51.756999999999998</v>
      </c>
      <c r="F46" s="21">
        <v>6.3769999999999998</v>
      </c>
      <c r="G46" s="23">
        <v>0</v>
      </c>
      <c r="H46" s="26">
        <v>0</v>
      </c>
      <c r="I46" s="19" t="s">
        <v>21</v>
      </c>
      <c r="J46" s="8">
        <v>41</v>
      </c>
      <c r="K46" s="19" t="s">
        <v>37</v>
      </c>
      <c r="L46" s="19" t="s">
        <v>38</v>
      </c>
      <c r="M46" s="8">
        <v>1</v>
      </c>
      <c r="N46" s="33">
        <f t="shared" si="0"/>
        <v>0</v>
      </c>
      <c r="O46" s="23">
        <f t="shared" si="1"/>
        <v>3.9611102399247297E-3</v>
      </c>
      <c r="P46" s="59">
        <f t="shared" si="2"/>
        <v>0.12321038700079216</v>
      </c>
      <c r="Q46" s="30">
        <f t="shared" si="3"/>
        <v>0</v>
      </c>
      <c r="R46" s="30">
        <f t="shared" si="4"/>
        <v>-1</v>
      </c>
      <c r="S46" s="12">
        <f t="shared" si="5"/>
        <v>0</v>
      </c>
      <c r="T46" s="30">
        <f t="shared" si="6"/>
        <v>0</v>
      </c>
      <c r="U46" s="9" t="str">
        <f t="shared" si="7"/>
        <v>35-44</v>
      </c>
    </row>
    <row r="47" spans="1:21">
      <c r="A47" t="s">
        <v>79</v>
      </c>
      <c r="B47" s="8">
        <v>5760</v>
      </c>
      <c r="C47" s="23">
        <v>3.3890000000000003E-2</v>
      </c>
      <c r="D47" s="19" t="s">
        <v>28</v>
      </c>
      <c r="E47" s="21">
        <v>88.676000000000002</v>
      </c>
      <c r="F47" s="21">
        <v>7.41</v>
      </c>
      <c r="G47" s="23">
        <v>0</v>
      </c>
      <c r="H47" s="26">
        <v>0</v>
      </c>
      <c r="I47" s="19" t="s">
        <v>21</v>
      </c>
      <c r="J47" s="8">
        <v>34</v>
      </c>
      <c r="K47" s="19" t="s">
        <v>22</v>
      </c>
      <c r="L47" s="19" t="s">
        <v>19</v>
      </c>
      <c r="M47" s="8">
        <v>1</v>
      </c>
      <c r="N47" s="33">
        <f t="shared" si="0"/>
        <v>0</v>
      </c>
      <c r="O47" s="23">
        <f t="shared" si="1"/>
        <v>4.5735492577597845E-3</v>
      </c>
      <c r="P47" s="59">
        <f t="shared" si="2"/>
        <v>8.3562632504849119E-2</v>
      </c>
      <c r="Q47" s="30">
        <f t="shared" si="3"/>
        <v>0</v>
      </c>
      <c r="R47" s="30">
        <f t="shared" si="4"/>
        <v>-1</v>
      </c>
      <c r="S47" s="12">
        <f t="shared" si="5"/>
        <v>0</v>
      </c>
      <c r="T47" s="30">
        <f t="shared" si="6"/>
        <v>0</v>
      </c>
      <c r="U47" s="9" t="str">
        <f t="shared" si="7"/>
        <v>25-34</v>
      </c>
    </row>
    <row r="48" spans="1:21">
      <c r="A48" t="s">
        <v>80</v>
      </c>
      <c r="B48" s="8">
        <v>7017</v>
      </c>
      <c r="C48" s="23">
        <v>0.19494</v>
      </c>
      <c r="D48" s="19" t="s">
        <v>45</v>
      </c>
      <c r="E48" s="21">
        <v>7.1740000000000004</v>
      </c>
      <c r="F48" s="21">
        <v>7.3490000000000002</v>
      </c>
      <c r="G48" s="23">
        <v>0</v>
      </c>
      <c r="H48" s="26">
        <v>0</v>
      </c>
      <c r="I48" s="19" t="s">
        <v>29</v>
      </c>
      <c r="J48" s="8">
        <v>38</v>
      </c>
      <c r="K48" s="19" t="s">
        <v>31</v>
      </c>
      <c r="L48" s="19" t="s">
        <v>38</v>
      </c>
      <c r="M48" s="8" t="s">
        <v>1065</v>
      </c>
      <c r="N48" s="33">
        <f t="shared" si="0"/>
        <v>0</v>
      </c>
      <c r="O48" s="23">
        <f t="shared" si="1"/>
        <v>2.652605796707035E-2</v>
      </c>
      <c r="P48" s="59">
        <f t="shared" si="2"/>
        <v>1.0243936437134096</v>
      </c>
      <c r="Q48" s="30">
        <f t="shared" si="3"/>
        <v>0</v>
      </c>
      <c r="R48" s="30">
        <f t="shared" si="4"/>
        <v>-1</v>
      </c>
      <c r="S48" s="12">
        <f t="shared" si="5"/>
        <v>0</v>
      </c>
      <c r="T48" s="30">
        <f t="shared" si="6"/>
        <v>0</v>
      </c>
      <c r="U48" s="9" t="str">
        <f t="shared" si="7"/>
        <v>35-44</v>
      </c>
    </row>
    <row r="49" spans="1:21">
      <c r="A49" t="s">
        <v>81</v>
      </c>
      <c r="B49" s="8">
        <v>7721</v>
      </c>
      <c r="C49" s="23">
        <v>1.787E-2</v>
      </c>
      <c r="D49" s="19" t="s">
        <v>25</v>
      </c>
      <c r="E49" s="21">
        <v>23.449000000000002</v>
      </c>
      <c r="F49" s="21">
        <v>1.07</v>
      </c>
      <c r="G49" s="23">
        <v>0</v>
      </c>
      <c r="H49" s="26">
        <v>0</v>
      </c>
      <c r="I49" s="19" t="s">
        <v>34</v>
      </c>
      <c r="J49" s="8">
        <v>26</v>
      </c>
      <c r="K49" s="19" t="s">
        <v>22</v>
      </c>
      <c r="L49" s="19" t="s">
        <v>38</v>
      </c>
      <c r="M49" s="8">
        <v>4</v>
      </c>
      <c r="N49" s="33">
        <f t="shared" si="0"/>
        <v>0</v>
      </c>
      <c r="O49" s="23">
        <f t="shared" si="1"/>
        <v>1.6700934579439251E-2</v>
      </c>
      <c r="P49" s="59">
        <f t="shared" si="2"/>
        <v>4.5630943750266537E-2</v>
      </c>
      <c r="Q49" s="30">
        <f t="shared" si="3"/>
        <v>0</v>
      </c>
      <c r="R49" s="30">
        <f t="shared" si="4"/>
        <v>-1</v>
      </c>
      <c r="S49" s="12">
        <f t="shared" si="5"/>
        <v>0</v>
      </c>
      <c r="T49" s="30">
        <f t="shared" si="6"/>
        <v>0</v>
      </c>
      <c r="U49" s="9" t="str">
        <f t="shared" si="7"/>
        <v>25-34</v>
      </c>
    </row>
    <row r="50" spans="1:21">
      <c r="A50" t="s">
        <v>82</v>
      </c>
      <c r="B50" s="8">
        <v>6293</v>
      </c>
      <c r="C50" s="23">
        <v>3.4009999999999999E-2</v>
      </c>
      <c r="D50" s="19" t="s">
        <v>25</v>
      </c>
      <c r="E50" s="21">
        <v>38.023000000000003</v>
      </c>
      <c r="F50" s="21">
        <v>9.718</v>
      </c>
      <c r="G50" s="23">
        <v>0</v>
      </c>
      <c r="H50" s="26">
        <v>0</v>
      </c>
      <c r="I50" s="19" t="s">
        <v>26</v>
      </c>
      <c r="J50" s="8">
        <v>55</v>
      </c>
      <c r="K50" s="19" t="s">
        <v>31</v>
      </c>
      <c r="L50" s="19" t="s">
        <v>19</v>
      </c>
      <c r="M50" s="8">
        <v>2</v>
      </c>
      <c r="N50" s="33">
        <f t="shared" si="0"/>
        <v>0</v>
      </c>
      <c r="O50" s="23">
        <f t="shared" si="1"/>
        <v>3.499691294505042E-3</v>
      </c>
      <c r="P50" s="59">
        <f t="shared" si="2"/>
        <v>0.2555821476474765</v>
      </c>
      <c r="Q50" s="30">
        <f t="shared" si="3"/>
        <v>0</v>
      </c>
      <c r="R50" s="30">
        <f t="shared" si="4"/>
        <v>-1</v>
      </c>
      <c r="S50" s="12">
        <f t="shared" si="5"/>
        <v>0</v>
      </c>
      <c r="T50" s="30">
        <f t="shared" si="6"/>
        <v>0</v>
      </c>
      <c r="U50" s="9" t="str">
        <f t="shared" si="7"/>
        <v>55+</v>
      </c>
    </row>
    <row r="51" spans="1:21">
      <c r="A51" t="s">
        <v>83</v>
      </c>
      <c r="B51" s="8">
        <v>9203</v>
      </c>
      <c r="C51" s="23">
        <v>0.16977999999999999</v>
      </c>
      <c r="D51" s="19" t="s">
        <v>15</v>
      </c>
      <c r="E51" s="21">
        <v>96.391000000000005</v>
      </c>
      <c r="F51" s="21">
        <v>2.4750000000000001</v>
      </c>
      <c r="G51" s="23">
        <v>0</v>
      </c>
      <c r="H51" s="26">
        <v>0</v>
      </c>
      <c r="I51" s="19" t="s">
        <v>29</v>
      </c>
      <c r="J51" s="8">
        <v>21</v>
      </c>
      <c r="K51" s="19" t="s">
        <v>22</v>
      </c>
      <c r="L51" s="19" t="s">
        <v>38</v>
      </c>
      <c r="M51" s="8">
        <v>3</v>
      </c>
      <c r="N51" s="33">
        <f t="shared" si="0"/>
        <v>0</v>
      </c>
      <c r="O51" s="23">
        <f t="shared" si="1"/>
        <v>6.8597979797979797E-2</v>
      </c>
      <c r="P51" s="59">
        <f t="shared" si="2"/>
        <v>2.5676671058501313E-2</v>
      </c>
      <c r="Q51" s="30">
        <f t="shared" si="3"/>
        <v>0</v>
      </c>
      <c r="R51" s="30">
        <f t="shared" si="4"/>
        <v>-1</v>
      </c>
      <c r="S51" s="12">
        <f t="shared" si="5"/>
        <v>0</v>
      </c>
      <c r="T51" s="30">
        <f t="shared" si="6"/>
        <v>0</v>
      </c>
      <c r="U51" s="9" t="str">
        <f t="shared" si="7"/>
        <v>18-24</v>
      </c>
    </row>
    <row r="52" spans="1:21">
      <c r="A52" t="s">
        <v>84</v>
      </c>
      <c r="B52" s="8">
        <v>6968</v>
      </c>
      <c r="C52" s="23">
        <v>8.5500000000000007E-2</v>
      </c>
      <c r="D52" s="19" t="s">
        <v>25</v>
      </c>
      <c r="E52" s="21">
        <v>12.606999999999999</v>
      </c>
      <c r="F52" s="21">
        <v>3.1680000000000001</v>
      </c>
      <c r="G52" s="23">
        <v>0</v>
      </c>
      <c r="H52" s="26">
        <v>0</v>
      </c>
      <c r="I52" s="19" t="s">
        <v>21</v>
      </c>
      <c r="J52" s="8">
        <v>40</v>
      </c>
      <c r="K52" s="19" t="s">
        <v>31</v>
      </c>
      <c r="L52" s="19" t="s">
        <v>32</v>
      </c>
      <c r="M52" s="8" t="s">
        <v>1065</v>
      </c>
      <c r="N52" s="33">
        <f t="shared" si="0"/>
        <v>0</v>
      </c>
      <c r="O52" s="23">
        <f t="shared" si="1"/>
        <v>2.6988636363636364E-2</v>
      </c>
      <c r="P52" s="59">
        <f t="shared" si="2"/>
        <v>0.25128896644721188</v>
      </c>
      <c r="Q52" s="30">
        <f t="shared" si="3"/>
        <v>0</v>
      </c>
      <c r="R52" s="30">
        <f t="shared" si="4"/>
        <v>-1</v>
      </c>
      <c r="S52" s="12">
        <f t="shared" si="5"/>
        <v>0</v>
      </c>
      <c r="T52" s="30">
        <f t="shared" si="6"/>
        <v>0</v>
      </c>
      <c r="U52" s="9" t="str">
        <f t="shared" si="7"/>
        <v>35-44</v>
      </c>
    </row>
    <row r="53" spans="1:21">
      <c r="A53" t="s">
        <v>85</v>
      </c>
      <c r="B53" s="8">
        <v>8460</v>
      </c>
      <c r="C53" s="23">
        <v>6.3740000000000005E-2</v>
      </c>
      <c r="D53" s="19" t="s">
        <v>40</v>
      </c>
      <c r="E53" s="21">
        <v>65.144999999999996</v>
      </c>
      <c r="F53" s="21">
        <v>4.242</v>
      </c>
      <c r="G53" s="23">
        <v>0</v>
      </c>
      <c r="H53" s="26">
        <v>0</v>
      </c>
      <c r="I53" s="19" t="s">
        <v>17</v>
      </c>
      <c r="J53" s="8">
        <v>49</v>
      </c>
      <c r="K53" s="19" t="s">
        <v>18</v>
      </c>
      <c r="L53" s="19" t="s">
        <v>38</v>
      </c>
      <c r="M53" s="8">
        <v>5</v>
      </c>
      <c r="N53" s="33">
        <f t="shared" si="0"/>
        <v>0</v>
      </c>
      <c r="O53" s="23">
        <f t="shared" si="1"/>
        <v>1.5025931164545028E-2</v>
      </c>
      <c r="P53" s="59">
        <f t="shared" si="2"/>
        <v>6.5116279069767441E-2</v>
      </c>
      <c r="Q53" s="30">
        <f t="shared" si="3"/>
        <v>0</v>
      </c>
      <c r="R53" s="30">
        <f t="shared" si="4"/>
        <v>-1</v>
      </c>
      <c r="S53" s="12">
        <f t="shared" si="5"/>
        <v>0</v>
      </c>
      <c r="T53" s="30">
        <f t="shared" si="6"/>
        <v>0</v>
      </c>
      <c r="U53" s="9" t="str">
        <f t="shared" si="7"/>
        <v>45-54</v>
      </c>
    </row>
    <row r="54" spans="1:21">
      <c r="A54" t="s">
        <v>86</v>
      </c>
      <c r="B54" s="8">
        <v>5049</v>
      </c>
      <c r="C54" s="23">
        <v>2.0060000000000001E-2</v>
      </c>
      <c r="D54" s="19" t="s">
        <v>28</v>
      </c>
      <c r="E54" s="21">
        <v>84.66</v>
      </c>
      <c r="F54" s="21">
        <v>1.0900000000000001</v>
      </c>
      <c r="G54" s="23">
        <v>0</v>
      </c>
      <c r="H54" s="26">
        <v>0</v>
      </c>
      <c r="I54" s="19" t="s">
        <v>26</v>
      </c>
      <c r="J54" s="8">
        <v>41</v>
      </c>
      <c r="K54" s="19" t="s">
        <v>22</v>
      </c>
      <c r="L54" s="19" t="s">
        <v>45</v>
      </c>
      <c r="M54" s="8" t="s">
        <v>1065</v>
      </c>
      <c r="N54" s="33">
        <f t="shared" si="0"/>
        <v>0</v>
      </c>
      <c r="O54" s="23">
        <f t="shared" si="1"/>
        <v>1.8403669724770644E-2</v>
      </c>
      <c r="P54" s="59">
        <f t="shared" si="2"/>
        <v>1.2875029529884244E-2</v>
      </c>
      <c r="Q54" s="30">
        <f t="shared" si="3"/>
        <v>0</v>
      </c>
      <c r="R54" s="30">
        <f t="shared" si="4"/>
        <v>-1</v>
      </c>
      <c r="S54" s="12">
        <f t="shared" si="5"/>
        <v>0</v>
      </c>
      <c r="T54" s="30">
        <f t="shared" si="6"/>
        <v>0</v>
      </c>
      <c r="U54" s="9" t="str">
        <f t="shared" si="7"/>
        <v>35-44</v>
      </c>
    </row>
    <row r="55" spans="1:21">
      <c r="A55" t="s">
        <v>87</v>
      </c>
      <c r="B55" s="8">
        <v>5747</v>
      </c>
      <c r="C55" s="23">
        <v>0.11990000000000001</v>
      </c>
      <c r="D55" s="19" t="s">
        <v>32</v>
      </c>
      <c r="E55" s="21">
        <v>25.177</v>
      </c>
      <c r="F55" s="21">
        <v>0.42399999999999999</v>
      </c>
      <c r="G55" s="23">
        <v>0</v>
      </c>
      <c r="H55" s="26">
        <v>0</v>
      </c>
      <c r="I55" s="19" t="s">
        <v>26</v>
      </c>
      <c r="J55" s="8">
        <v>28</v>
      </c>
      <c r="K55" s="19" t="s">
        <v>31</v>
      </c>
      <c r="L55" s="19" t="s">
        <v>23</v>
      </c>
      <c r="M55" s="8" t="s">
        <v>1065</v>
      </c>
      <c r="N55" s="33">
        <f t="shared" si="0"/>
        <v>0</v>
      </c>
      <c r="O55" s="23">
        <f t="shared" si="1"/>
        <v>0.28278301886792456</v>
      </c>
      <c r="P55" s="59">
        <f t="shared" si="2"/>
        <v>1.6840767367041348E-2</v>
      </c>
      <c r="Q55" s="30">
        <f t="shared" si="3"/>
        <v>0</v>
      </c>
      <c r="R55" s="30">
        <f t="shared" si="4"/>
        <v>-1</v>
      </c>
      <c r="S55" s="12">
        <f t="shared" si="5"/>
        <v>0</v>
      </c>
      <c r="T55" s="30">
        <f t="shared" si="6"/>
        <v>0</v>
      </c>
      <c r="U55" s="9" t="str">
        <f t="shared" si="7"/>
        <v>25-34</v>
      </c>
    </row>
    <row r="56" spans="1:21">
      <c r="A56" t="s">
        <v>88</v>
      </c>
      <c r="B56" s="8">
        <v>5425</v>
      </c>
      <c r="C56" s="23">
        <v>8.3330000000000001E-2</v>
      </c>
      <c r="D56" s="19" t="s">
        <v>15</v>
      </c>
      <c r="E56" s="21">
        <v>7.3280000000000003</v>
      </c>
      <c r="F56" s="21">
        <v>0.95599999999999996</v>
      </c>
      <c r="G56" s="23">
        <v>0</v>
      </c>
      <c r="H56" s="26">
        <v>0</v>
      </c>
      <c r="I56" s="19" t="s">
        <v>29</v>
      </c>
      <c r="J56" s="8">
        <v>60</v>
      </c>
      <c r="K56" s="19" t="s">
        <v>22</v>
      </c>
      <c r="L56" s="19" t="s">
        <v>23</v>
      </c>
      <c r="M56" s="8">
        <v>4</v>
      </c>
      <c r="N56" s="33">
        <f t="shared" si="0"/>
        <v>0</v>
      </c>
      <c r="O56" s="23">
        <f t="shared" si="1"/>
        <v>8.7165271966527208E-2</v>
      </c>
      <c r="P56" s="59">
        <f t="shared" si="2"/>
        <v>0.13045851528384278</v>
      </c>
      <c r="Q56" s="30">
        <f t="shared" si="3"/>
        <v>0</v>
      </c>
      <c r="R56" s="30">
        <f t="shared" si="4"/>
        <v>-1</v>
      </c>
      <c r="S56" s="12">
        <f t="shared" si="5"/>
        <v>0</v>
      </c>
      <c r="T56" s="30">
        <f t="shared" si="6"/>
        <v>0</v>
      </c>
      <c r="U56" s="9" t="str">
        <f t="shared" si="7"/>
        <v>55+</v>
      </c>
    </row>
    <row r="57" spans="1:21">
      <c r="A57" t="s">
        <v>89</v>
      </c>
      <c r="B57" s="8">
        <v>8611</v>
      </c>
      <c r="C57" s="23">
        <v>9.6750000000000003E-2</v>
      </c>
      <c r="D57" s="19" t="s">
        <v>40</v>
      </c>
      <c r="E57" s="21">
        <v>59.536999999999999</v>
      </c>
      <c r="F57" s="21">
        <v>0.996</v>
      </c>
      <c r="G57" s="23">
        <v>0</v>
      </c>
      <c r="H57" s="26">
        <v>0</v>
      </c>
      <c r="I57" s="19" t="s">
        <v>21</v>
      </c>
      <c r="J57" s="8">
        <v>62</v>
      </c>
      <c r="K57" s="19" t="s">
        <v>18</v>
      </c>
      <c r="L57" s="19" t="s">
        <v>19</v>
      </c>
      <c r="M57" s="8">
        <v>2</v>
      </c>
      <c r="N57" s="33">
        <f t="shared" si="0"/>
        <v>0</v>
      </c>
      <c r="O57" s="23">
        <f t="shared" si="1"/>
        <v>9.713855421686747E-2</v>
      </c>
      <c r="P57" s="59">
        <f t="shared" si="2"/>
        <v>1.6729092833028199E-2</v>
      </c>
      <c r="Q57" s="30">
        <f t="shared" si="3"/>
        <v>0</v>
      </c>
      <c r="R57" s="30">
        <f t="shared" si="4"/>
        <v>-1</v>
      </c>
      <c r="S57" s="12">
        <f t="shared" si="5"/>
        <v>0</v>
      </c>
      <c r="T57" s="30">
        <f t="shared" si="6"/>
        <v>0</v>
      </c>
      <c r="U57" s="9" t="str">
        <f t="shared" si="7"/>
        <v>55+</v>
      </c>
    </row>
    <row r="58" spans="1:21">
      <c r="A58" t="s">
        <v>90</v>
      </c>
      <c r="B58" s="8">
        <v>4920</v>
      </c>
      <c r="C58" s="23">
        <v>0</v>
      </c>
      <c r="D58" s="19" t="s">
        <v>28</v>
      </c>
      <c r="E58" s="21">
        <v>70.153000000000006</v>
      </c>
      <c r="F58" s="21">
        <v>3.4740000000000002</v>
      </c>
      <c r="G58" s="23">
        <v>0</v>
      </c>
      <c r="H58" s="26">
        <v>0</v>
      </c>
      <c r="I58" s="19" t="s">
        <v>21</v>
      </c>
      <c r="J58" s="8">
        <v>58</v>
      </c>
      <c r="K58" s="19" t="s">
        <v>37</v>
      </c>
      <c r="L58" s="19" t="s">
        <v>32</v>
      </c>
      <c r="M58" s="8">
        <v>2</v>
      </c>
      <c r="N58" s="33">
        <f t="shared" si="0"/>
        <v>0</v>
      </c>
      <c r="O58" s="23">
        <f t="shared" si="1"/>
        <v>0</v>
      </c>
      <c r="P58" s="59">
        <f t="shared" si="2"/>
        <v>4.9520334126837054E-2</v>
      </c>
      <c r="Q58" s="30">
        <f t="shared" si="3"/>
        <v>0</v>
      </c>
      <c r="R58" s="30">
        <f t="shared" si="4"/>
        <v>0</v>
      </c>
      <c r="S58" s="12">
        <f t="shared" si="5"/>
        <v>0</v>
      </c>
      <c r="T58" s="30">
        <f t="shared" si="6"/>
        <v>0</v>
      </c>
      <c r="U58" s="9" t="str">
        <f t="shared" si="7"/>
        <v>55+</v>
      </c>
    </row>
    <row r="59" spans="1:21">
      <c r="A59" t="s">
        <v>91</v>
      </c>
      <c r="B59" s="8">
        <v>6267</v>
      </c>
      <c r="C59" s="23">
        <v>0.16519</v>
      </c>
      <c r="D59" s="19" t="s">
        <v>15</v>
      </c>
      <c r="E59" s="21">
        <v>80.228999999999999</v>
      </c>
      <c r="F59" s="21">
        <v>7.4139999999999997</v>
      </c>
      <c r="G59" s="23">
        <v>0</v>
      </c>
      <c r="H59" s="26">
        <v>0</v>
      </c>
      <c r="I59" s="19" t="s">
        <v>21</v>
      </c>
      <c r="J59" s="8">
        <v>34</v>
      </c>
      <c r="K59" s="19" t="s">
        <v>37</v>
      </c>
      <c r="L59" s="19" t="s">
        <v>45</v>
      </c>
      <c r="M59" s="8" t="s">
        <v>1065</v>
      </c>
      <c r="N59" s="33">
        <f t="shared" si="0"/>
        <v>0</v>
      </c>
      <c r="O59" s="23">
        <f t="shared" si="1"/>
        <v>2.228082007013758E-2</v>
      </c>
      <c r="P59" s="59">
        <f t="shared" si="2"/>
        <v>9.2410475015268792E-2</v>
      </c>
      <c r="Q59" s="30">
        <f t="shared" si="3"/>
        <v>0</v>
      </c>
      <c r="R59" s="30">
        <f t="shared" si="4"/>
        <v>-1</v>
      </c>
      <c r="S59" s="12">
        <f t="shared" si="5"/>
        <v>0</v>
      </c>
      <c r="T59" s="30">
        <f t="shared" si="6"/>
        <v>0</v>
      </c>
      <c r="U59" s="9" t="str">
        <f t="shared" si="7"/>
        <v>25-34</v>
      </c>
    </row>
    <row r="60" spans="1:21">
      <c r="A60" t="s">
        <v>92</v>
      </c>
      <c r="B60" s="8">
        <v>4147</v>
      </c>
      <c r="C60" s="23">
        <v>0.1187</v>
      </c>
      <c r="D60" s="19" t="s">
        <v>28</v>
      </c>
      <c r="E60" s="21">
        <v>95.58</v>
      </c>
      <c r="F60" s="21">
        <v>7.133</v>
      </c>
      <c r="G60" s="23">
        <v>0</v>
      </c>
      <c r="H60" s="26">
        <v>0</v>
      </c>
      <c r="I60" s="19" t="s">
        <v>21</v>
      </c>
      <c r="J60" s="8">
        <v>49</v>
      </c>
      <c r="K60" s="19" t="s">
        <v>18</v>
      </c>
      <c r="L60" s="19" t="s">
        <v>38</v>
      </c>
      <c r="M60" s="8">
        <v>5</v>
      </c>
      <c r="N60" s="33">
        <f t="shared" si="0"/>
        <v>0</v>
      </c>
      <c r="O60" s="23">
        <f t="shared" si="1"/>
        <v>1.6640964531052852E-2</v>
      </c>
      <c r="P60" s="59">
        <f t="shared" si="2"/>
        <v>7.4628583385645528E-2</v>
      </c>
      <c r="Q60" s="30">
        <f t="shared" si="3"/>
        <v>0</v>
      </c>
      <c r="R60" s="30">
        <f t="shared" si="4"/>
        <v>-1</v>
      </c>
      <c r="S60" s="12">
        <f t="shared" si="5"/>
        <v>0</v>
      </c>
      <c r="T60" s="30">
        <f t="shared" si="6"/>
        <v>0</v>
      </c>
      <c r="U60" s="9" t="str">
        <f t="shared" si="7"/>
        <v>45-54</v>
      </c>
    </row>
    <row r="61" spans="1:21">
      <c r="A61" t="s">
        <v>93</v>
      </c>
      <c r="B61" s="8">
        <v>3195</v>
      </c>
      <c r="C61" s="23">
        <v>0</v>
      </c>
      <c r="D61" s="19" t="s">
        <v>15</v>
      </c>
      <c r="E61" s="21">
        <v>85.887</v>
      </c>
      <c r="F61" s="21">
        <v>1.982</v>
      </c>
      <c r="G61" s="23">
        <v>0</v>
      </c>
      <c r="H61" s="26">
        <v>0</v>
      </c>
      <c r="I61" s="19" t="s">
        <v>34</v>
      </c>
      <c r="J61" s="8">
        <v>41</v>
      </c>
      <c r="K61" s="19" t="s">
        <v>37</v>
      </c>
      <c r="L61" s="19" t="s">
        <v>38</v>
      </c>
      <c r="M61" s="8">
        <v>3</v>
      </c>
      <c r="N61" s="33">
        <f t="shared" si="0"/>
        <v>0</v>
      </c>
      <c r="O61" s="23">
        <f t="shared" si="1"/>
        <v>0</v>
      </c>
      <c r="P61" s="59">
        <f t="shared" si="2"/>
        <v>2.3076833513803019E-2</v>
      </c>
      <c r="Q61" s="30">
        <f t="shared" si="3"/>
        <v>0</v>
      </c>
      <c r="R61" s="30">
        <f t="shared" si="4"/>
        <v>0</v>
      </c>
      <c r="S61" s="12">
        <f t="shared" si="5"/>
        <v>0</v>
      </c>
      <c r="T61" s="30">
        <f t="shared" si="6"/>
        <v>0</v>
      </c>
      <c r="U61" s="9" t="str">
        <f t="shared" si="7"/>
        <v>35-44</v>
      </c>
    </row>
    <row r="62" spans="1:21">
      <c r="A62" t="s">
        <v>94</v>
      </c>
      <c r="B62" s="8">
        <v>2104</v>
      </c>
      <c r="C62" s="23">
        <v>2.3230000000000001E-2</v>
      </c>
      <c r="D62" s="19" t="s">
        <v>45</v>
      </c>
      <c r="E62" s="21">
        <v>54.152000000000001</v>
      </c>
      <c r="F62" s="21">
        <v>2.8479999999999999</v>
      </c>
      <c r="G62" s="23">
        <v>0.32147999999999999</v>
      </c>
      <c r="H62" s="26">
        <v>1</v>
      </c>
      <c r="I62" s="19" t="s">
        <v>17</v>
      </c>
      <c r="J62" s="8">
        <v>55</v>
      </c>
      <c r="K62" s="19" t="s">
        <v>22</v>
      </c>
      <c r="L62" s="19" t="s">
        <v>19</v>
      </c>
      <c r="M62" s="8">
        <v>2</v>
      </c>
      <c r="N62" s="33">
        <f t="shared" si="0"/>
        <v>0.351123595505618</v>
      </c>
      <c r="O62" s="23">
        <f t="shared" si="1"/>
        <v>8.1566011235955065E-3</v>
      </c>
      <c r="P62" s="59">
        <f t="shared" si="2"/>
        <v>5.2592702023932632E-2</v>
      </c>
      <c r="Q62" s="30">
        <f t="shared" si="3"/>
        <v>2.3230000000000001E-2</v>
      </c>
      <c r="R62" s="30">
        <f t="shared" si="4"/>
        <v>12.839001291433492</v>
      </c>
      <c r="S62" s="12">
        <f t="shared" si="5"/>
        <v>13.83900129143349</v>
      </c>
      <c r="T62" s="30">
        <f t="shared" si="6"/>
        <v>0.11287921348314607</v>
      </c>
      <c r="U62" s="9" t="str">
        <f t="shared" si="7"/>
        <v>55+</v>
      </c>
    </row>
    <row r="63" spans="1:21">
      <c r="A63" t="s">
        <v>95</v>
      </c>
      <c r="B63" s="8">
        <v>4634</v>
      </c>
      <c r="C63" s="23">
        <v>5.2830000000000002E-2</v>
      </c>
      <c r="D63" s="19" t="s">
        <v>45</v>
      </c>
      <c r="E63" s="21">
        <v>44.151000000000003</v>
      </c>
      <c r="F63" s="21">
        <v>7.2480000000000002</v>
      </c>
      <c r="G63" s="23">
        <v>0.18523999999999999</v>
      </c>
      <c r="H63" s="26">
        <v>1</v>
      </c>
      <c r="I63" s="19" t="s">
        <v>29</v>
      </c>
      <c r="J63" s="8">
        <v>41</v>
      </c>
      <c r="K63" s="19" t="s">
        <v>31</v>
      </c>
      <c r="L63" s="19" t="s">
        <v>45</v>
      </c>
      <c r="M63" s="8">
        <v>5</v>
      </c>
      <c r="N63" s="33">
        <f t="shared" si="0"/>
        <v>0.13796909492273729</v>
      </c>
      <c r="O63" s="23">
        <f t="shared" si="1"/>
        <v>7.2889072847682123E-3</v>
      </c>
      <c r="P63" s="59">
        <f t="shared" si="2"/>
        <v>0.16416389209757423</v>
      </c>
      <c r="Q63" s="30">
        <f t="shared" si="3"/>
        <v>5.2830000000000002E-2</v>
      </c>
      <c r="R63" s="30">
        <f t="shared" si="4"/>
        <v>2.5063410940753355</v>
      </c>
      <c r="S63" s="12">
        <f t="shared" si="5"/>
        <v>3.5063410940753355</v>
      </c>
      <c r="T63" s="30">
        <f t="shared" si="6"/>
        <v>2.5557395143487857E-2</v>
      </c>
      <c r="U63" s="9" t="str">
        <f t="shared" si="7"/>
        <v>35-44</v>
      </c>
    </row>
    <row r="64" spans="1:21">
      <c r="A64" t="s">
        <v>96</v>
      </c>
      <c r="B64" s="8">
        <v>6905</v>
      </c>
      <c r="C64" s="23">
        <v>8.7100000000000007E-3</v>
      </c>
      <c r="D64" s="19" t="s">
        <v>28</v>
      </c>
      <c r="E64" s="21">
        <v>67.747</v>
      </c>
      <c r="F64" s="21">
        <v>8.8879999999999999</v>
      </c>
      <c r="G64" s="23">
        <v>0</v>
      </c>
      <c r="H64" s="26">
        <v>0</v>
      </c>
      <c r="I64" s="19" t="s">
        <v>26</v>
      </c>
      <c r="J64" s="8">
        <v>53</v>
      </c>
      <c r="K64" s="19" t="s">
        <v>31</v>
      </c>
      <c r="L64" s="19" t="s">
        <v>19</v>
      </c>
      <c r="M64" s="8">
        <v>4</v>
      </c>
      <c r="N64" s="33">
        <f t="shared" si="0"/>
        <v>0</v>
      </c>
      <c r="O64" s="23">
        <f t="shared" si="1"/>
        <v>9.7997299729973017E-4</v>
      </c>
      <c r="P64" s="59">
        <f t="shared" si="2"/>
        <v>0.13119400121038569</v>
      </c>
      <c r="Q64" s="30">
        <f t="shared" si="3"/>
        <v>0</v>
      </c>
      <c r="R64" s="30">
        <f t="shared" si="4"/>
        <v>-1</v>
      </c>
      <c r="S64" s="12">
        <f t="shared" si="5"/>
        <v>0</v>
      </c>
      <c r="T64" s="30">
        <f t="shared" si="6"/>
        <v>0</v>
      </c>
      <c r="U64" s="9" t="str">
        <f t="shared" si="7"/>
        <v>45-54</v>
      </c>
    </row>
    <row r="65" spans="1:21">
      <c r="A65" t="s">
        <v>97</v>
      </c>
      <c r="B65" s="8">
        <v>1279</v>
      </c>
      <c r="C65" s="23">
        <v>1.7239999999999998E-2</v>
      </c>
      <c r="D65" s="19" t="s">
        <v>28</v>
      </c>
      <c r="E65" s="21">
        <v>67.456000000000003</v>
      </c>
      <c r="F65" s="21">
        <v>3.601</v>
      </c>
      <c r="G65" s="23">
        <v>0.18140999999999999</v>
      </c>
      <c r="H65" s="26">
        <v>1</v>
      </c>
      <c r="I65" s="19" t="s">
        <v>29</v>
      </c>
      <c r="J65" s="8">
        <v>61</v>
      </c>
      <c r="K65" s="19" t="s">
        <v>31</v>
      </c>
      <c r="L65" s="19" t="s">
        <v>45</v>
      </c>
      <c r="M65" s="8">
        <v>3</v>
      </c>
      <c r="N65" s="33">
        <f t="shared" si="0"/>
        <v>0.27770063871146905</v>
      </c>
      <c r="O65" s="23">
        <f t="shared" si="1"/>
        <v>4.787559011385726E-3</v>
      </c>
      <c r="P65" s="59">
        <f t="shared" si="2"/>
        <v>5.3382945920303605E-2</v>
      </c>
      <c r="Q65" s="30">
        <f t="shared" si="3"/>
        <v>1.7239999999999998E-2</v>
      </c>
      <c r="R65" s="30">
        <f t="shared" si="4"/>
        <v>9.5226218097447788</v>
      </c>
      <c r="S65" s="12">
        <f t="shared" si="5"/>
        <v>10.522621809744781</v>
      </c>
      <c r="T65" s="30">
        <f t="shared" si="6"/>
        <v>5.0377672868647597E-2</v>
      </c>
      <c r="U65" s="9" t="str">
        <f t="shared" si="7"/>
        <v>55+</v>
      </c>
    </row>
    <row r="66" spans="1:21">
      <c r="A66" t="s">
        <v>98</v>
      </c>
      <c r="B66" s="8">
        <v>6923</v>
      </c>
      <c r="C66" s="23">
        <v>6.3400000000000001E-3</v>
      </c>
      <c r="D66" s="19" t="s">
        <v>40</v>
      </c>
      <c r="E66" s="21">
        <v>62.707999999999998</v>
      </c>
      <c r="F66" s="21">
        <v>3.53</v>
      </c>
      <c r="G66" s="23">
        <v>0</v>
      </c>
      <c r="H66" s="26">
        <v>0</v>
      </c>
      <c r="I66" s="19" t="s">
        <v>21</v>
      </c>
      <c r="J66" s="8">
        <v>28</v>
      </c>
      <c r="K66" s="19" t="s">
        <v>31</v>
      </c>
      <c r="L66" s="19" t="s">
        <v>23</v>
      </c>
      <c r="M66" s="8">
        <v>5</v>
      </c>
      <c r="N66" s="33">
        <f t="shared" ref="N66:N129" si="8">IF(F66=0,0,H66/F66)</f>
        <v>0</v>
      </c>
      <c r="O66" s="23">
        <f t="shared" ref="O66:O129" si="9">IF(F66=0,0,C66/F66)</f>
        <v>1.7960339943342777E-3</v>
      </c>
      <c r="P66" s="59">
        <f t="shared" ref="P66:P129" si="10">IF(E66=0,0,F66/E66)</f>
        <v>5.6292658034062637E-2</v>
      </c>
      <c r="Q66" s="30">
        <f t="shared" ref="Q66:Q129" si="11">IF(H66=0,0,C66/H66)</f>
        <v>0</v>
      </c>
      <c r="R66" s="30">
        <f t="shared" ref="R66:R129" si="12">IF(C66=0,0,(G66-C66)/C66)</f>
        <v>-1</v>
      </c>
      <c r="S66" s="12">
        <f t="shared" ref="S66:S129" si="13">IF(G66=0,0,G66/C66)</f>
        <v>0</v>
      </c>
      <c r="T66" s="30">
        <f t="shared" ref="T66:T129" si="14">IF(F66=0,0,G66/F66)</f>
        <v>0</v>
      </c>
      <c r="U66" s="9" t="str">
        <f t="shared" si="7"/>
        <v>25-34</v>
      </c>
    </row>
    <row r="67" spans="1:21">
      <c r="A67" t="s">
        <v>99</v>
      </c>
      <c r="B67" s="8">
        <v>3212</v>
      </c>
      <c r="C67" s="23">
        <v>0.19064</v>
      </c>
      <c r="D67" s="19" t="s">
        <v>32</v>
      </c>
      <c r="E67" s="21">
        <v>84.177000000000007</v>
      </c>
      <c r="F67" s="21">
        <v>7.2270000000000003</v>
      </c>
      <c r="G67" s="23">
        <v>0</v>
      </c>
      <c r="H67" s="26">
        <v>0</v>
      </c>
      <c r="I67" s="19" t="s">
        <v>34</v>
      </c>
      <c r="J67" s="8">
        <v>19</v>
      </c>
      <c r="K67" s="19" t="s">
        <v>22</v>
      </c>
      <c r="L67" s="19" t="s">
        <v>45</v>
      </c>
      <c r="M67" s="8">
        <v>1</v>
      </c>
      <c r="N67" s="33">
        <f t="shared" si="8"/>
        <v>0</v>
      </c>
      <c r="O67" s="23">
        <f t="shared" si="9"/>
        <v>2.637885706378857E-2</v>
      </c>
      <c r="P67" s="59">
        <f t="shared" si="10"/>
        <v>8.5854805944616697E-2</v>
      </c>
      <c r="Q67" s="30">
        <f t="shared" si="11"/>
        <v>0</v>
      </c>
      <c r="R67" s="30">
        <f t="shared" si="12"/>
        <v>-1</v>
      </c>
      <c r="S67" s="12">
        <f t="shared" si="13"/>
        <v>0</v>
      </c>
      <c r="T67" s="30">
        <f t="shared" si="14"/>
        <v>0</v>
      </c>
      <c r="U67" s="9" t="str">
        <f t="shared" ref="U67:U130" si="15">IF(J67&lt;25,"18-24",IF(J67&lt;35,"25-34",IF(J67&lt;45,"35-44",IF(J67&lt;55,"45-54","55+"))))</f>
        <v>18-24</v>
      </c>
    </row>
    <row r="68" spans="1:21">
      <c r="A68" t="s">
        <v>100</v>
      </c>
      <c r="B68" s="8">
        <v>2262</v>
      </c>
      <c r="C68" s="23">
        <v>3.3660000000000002E-2</v>
      </c>
      <c r="D68" s="19" t="s">
        <v>32</v>
      </c>
      <c r="E68" s="21">
        <v>94.828000000000003</v>
      </c>
      <c r="F68" s="21">
        <v>5.2030000000000003</v>
      </c>
      <c r="G68" s="23">
        <v>0</v>
      </c>
      <c r="H68" s="26">
        <v>0</v>
      </c>
      <c r="I68" s="19" t="s">
        <v>17</v>
      </c>
      <c r="J68" s="8">
        <v>23</v>
      </c>
      <c r="K68" s="19" t="s">
        <v>18</v>
      </c>
      <c r="L68" s="19" t="s">
        <v>19</v>
      </c>
      <c r="M68" s="8">
        <v>2</v>
      </c>
      <c r="N68" s="33">
        <f t="shared" si="8"/>
        <v>0</v>
      </c>
      <c r="O68" s="23">
        <f t="shared" si="9"/>
        <v>6.469344608879493E-3</v>
      </c>
      <c r="P68" s="59">
        <f t="shared" si="10"/>
        <v>5.4867760577044754E-2</v>
      </c>
      <c r="Q68" s="30">
        <f t="shared" si="11"/>
        <v>0</v>
      </c>
      <c r="R68" s="30">
        <f t="shared" si="12"/>
        <v>-1</v>
      </c>
      <c r="S68" s="12">
        <f t="shared" si="13"/>
        <v>0</v>
      </c>
      <c r="T68" s="30">
        <f t="shared" si="14"/>
        <v>0</v>
      </c>
      <c r="U68" s="9" t="str">
        <f t="shared" si="15"/>
        <v>18-24</v>
      </c>
    </row>
    <row r="69" spans="1:21">
      <c r="A69" t="s">
        <v>101</v>
      </c>
      <c r="B69" s="8">
        <v>1661</v>
      </c>
      <c r="C69" s="23">
        <v>3.9879999999999999E-2</v>
      </c>
      <c r="D69" s="19" t="s">
        <v>25</v>
      </c>
      <c r="E69" s="21">
        <v>14.388999999999999</v>
      </c>
      <c r="F69" s="21">
        <v>7.492</v>
      </c>
      <c r="G69" s="23">
        <v>0</v>
      </c>
      <c r="H69" s="26">
        <v>0</v>
      </c>
      <c r="I69" s="19" t="s">
        <v>26</v>
      </c>
      <c r="J69" s="8">
        <v>35</v>
      </c>
      <c r="K69" s="19" t="s">
        <v>37</v>
      </c>
      <c r="L69" s="19" t="s">
        <v>23</v>
      </c>
      <c r="M69" s="8">
        <v>4</v>
      </c>
      <c r="N69" s="33">
        <f t="shared" si="8"/>
        <v>0</v>
      </c>
      <c r="O69" s="23">
        <f t="shared" si="9"/>
        <v>5.323011211959423E-3</v>
      </c>
      <c r="P69" s="59">
        <f t="shared" si="10"/>
        <v>0.52067551601918138</v>
      </c>
      <c r="Q69" s="30">
        <f t="shared" si="11"/>
        <v>0</v>
      </c>
      <c r="R69" s="30">
        <f t="shared" si="12"/>
        <v>-1</v>
      </c>
      <c r="S69" s="12">
        <f t="shared" si="13"/>
        <v>0</v>
      </c>
      <c r="T69" s="30">
        <f t="shared" si="14"/>
        <v>0</v>
      </c>
      <c r="U69" s="9" t="str">
        <f t="shared" si="15"/>
        <v>35-44</v>
      </c>
    </row>
    <row r="70" spans="1:21">
      <c r="A70" t="s">
        <v>102</v>
      </c>
      <c r="B70" s="8">
        <v>7913</v>
      </c>
      <c r="C70" s="23">
        <v>1.6619999999999999E-2</v>
      </c>
      <c r="D70" s="19" t="s">
        <v>32</v>
      </c>
      <c r="E70" s="21">
        <v>44.219000000000001</v>
      </c>
      <c r="F70" s="21">
        <v>8.2780000000000005</v>
      </c>
      <c r="G70" s="23">
        <v>0</v>
      </c>
      <c r="H70" s="26">
        <v>0</v>
      </c>
      <c r="I70" s="19" t="s">
        <v>34</v>
      </c>
      <c r="J70" s="8">
        <v>59</v>
      </c>
      <c r="K70" s="19" t="s">
        <v>37</v>
      </c>
      <c r="L70" s="19" t="s">
        <v>19</v>
      </c>
      <c r="M70" s="8" t="s">
        <v>1065</v>
      </c>
      <c r="N70" s="33">
        <f t="shared" si="8"/>
        <v>0</v>
      </c>
      <c r="O70" s="23">
        <f t="shared" si="9"/>
        <v>2.0077313360715148E-3</v>
      </c>
      <c r="P70" s="59">
        <f t="shared" si="10"/>
        <v>0.18720459530970851</v>
      </c>
      <c r="Q70" s="30">
        <f t="shared" si="11"/>
        <v>0</v>
      </c>
      <c r="R70" s="30">
        <f t="shared" si="12"/>
        <v>-1</v>
      </c>
      <c r="S70" s="12">
        <f t="shared" si="13"/>
        <v>0</v>
      </c>
      <c r="T70" s="30">
        <f t="shared" si="14"/>
        <v>0</v>
      </c>
      <c r="U70" s="9" t="str">
        <f t="shared" si="15"/>
        <v>55+</v>
      </c>
    </row>
    <row r="71" spans="1:21">
      <c r="A71" t="s">
        <v>103</v>
      </c>
      <c r="B71" s="8">
        <v>8841</v>
      </c>
      <c r="C71" s="23">
        <v>1.346E-2</v>
      </c>
      <c r="D71" s="19" t="s">
        <v>40</v>
      </c>
      <c r="E71" s="21">
        <v>16.952999999999999</v>
      </c>
      <c r="F71" s="21">
        <v>7.2149999999999999</v>
      </c>
      <c r="G71" s="23">
        <v>0</v>
      </c>
      <c r="H71" s="26">
        <v>0</v>
      </c>
      <c r="I71" s="19" t="s">
        <v>17</v>
      </c>
      <c r="J71" s="8">
        <v>44</v>
      </c>
      <c r="K71" s="19" t="s">
        <v>37</v>
      </c>
      <c r="L71" s="19" t="s">
        <v>32</v>
      </c>
      <c r="M71" s="8">
        <v>4</v>
      </c>
      <c r="N71" s="33">
        <f t="shared" si="8"/>
        <v>0</v>
      </c>
      <c r="O71" s="23">
        <f t="shared" si="9"/>
        <v>1.8655578655578655E-3</v>
      </c>
      <c r="P71" s="59">
        <f t="shared" si="10"/>
        <v>0.42558839143514421</v>
      </c>
      <c r="Q71" s="30">
        <f t="shared" si="11"/>
        <v>0</v>
      </c>
      <c r="R71" s="30">
        <f t="shared" si="12"/>
        <v>-1</v>
      </c>
      <c r="S71" s="12">
        <f t="shared" si="13"/>
        <v>0</v>
      </c>
      <c r="T71" s="30">
        <f t="shared" si="14"/>
        <v>0</v>
      </c>
      <c r="U71" s="9" t="str">
        <f t="shared" si="15"/>
        <v>35-44</v>
      </c>
    </row>
    <row r="72" spans="1:21">
      <c r="A72" t="s">
        <v>104</v>
      </c>
      <c r="B72" s="8">
        <v>6353</v>
      </c>
      <c r="C72" s="23">
        <v>0</v>
      </c>
      <c r="D72" s="19" t="s">
        <v>45</v>
      </c>
      <c r="E72" s="21">
        <v>48.883000000000003</v>
      </c>
      <c r="F72" s="21">
        <v>9.4629999999999992</v>
      </c>
      <c r="G72" s="23">
        <v>0.20038</v>
      </c>
      <c r="H72" s="26">
        <v>1</v>
      </c>
      <c r="I72" s="19" t="s">
        <v>21</v>
      </c>
      <c r="J72" s="8">
        <v>33</v>
      </c>
      <c r="K72" s="19" t="s">
        <v>22</v>
      </c>
      <c r="L72" s="19" t="s">
        <v>38</v>
      </c>
      <c r="M72" s="8">
        <v>4</v>
      </c>
      <c r="N72" s="33">
        <f t="shared" si="8"/>
        <v>0.10567473317129875</v>
      </c>
      <c r="O72" s="23">
        <f t="shared" si="9"/>
        <v>0</v>
      </c>
      <c r="P72" s="59">
        <f t="shared" si="10"/>
        <v>0.19358468179121574</v>
      </c>
      <c r="Q72" s="30">
        <f t="shared" si="11"/>
        <v>0</v>
      </c>
      <c r="R72" s="30">
        <f t="shared" si="12"/>
        <v>0</v>
      </c>
      <c r="S72" s="12" t="e">
        <f t="shared" si="13"/>
        <v>#DIV/0!</v>
      </c>
      <c r="T72" s="30">
        <f t="shared" si="14"/>
        <v>2.1175103032864843E-2</v>
      </c>
      <c r="U72" s="9" t="str">
        <f t="shared" si="15"/>
        <v>25-34</v>
      </c>
    </row>
    <row r="73" spans="1:21">
      <c r="A73" t="s">
        <v>105</v>
      </c>
      <c r="B73" s="8">
        <v>7772</v>
      </c>
      <c r="C73" s="23">
        <v>2.7060000000000001E-2</v>
      </c>
      <c r="D73" s="19" t="s">
        <v>15</v>
      </c>
      <c r="E73" s="21">
        <v>41.05</v>
      </c>
      <c r="F73" s="21">
        <v>9.7579999999999991</v>
      </c>
      <c r="G73" s="23">
        <v>0.22267999999999999</v>
      </c>
      <c r="H73" s="26">
        <v>1</v>
      </c>
      <c r="I73" s="19" t="s">
        <v>21</v>
      </c>
      <c r="J73" s="8">
        <v>46</v>
      </c>
      <c r="K73" s="19" t="s">
        <v>37</v>
      </c>
      <c r="L73" s="19" t="s">
        <v>45</v>
      </c>
      <c r="M73" s="8">
        <v>5</v>
      </c>
      <c r="N73" s="33">
        <f t="shared" si="8"/>
        <v>0.10248001639680264</v>
      </c>
      <c r="O73" s="23">
        <f t="shared" si="9"/>
        <v>2.7731092436974795E-3</v>
      </c>
      <c r="P73" s="59">
        <f t="shared" si="10"/>
        <v>0.23771010962241168</v>
      </c>
      <c r="Q73" s="30">
        <f t="shared" si="11"/>
        <v>2.7060000000000001E-2</v>
      </c>
      <c r="R73" s="30">
        <f t="shared" si="12"/>
        <v>7.2291204730229115</v>
      </c>
      <c r="S73" s="12">
        <f t="shared" si="13"/>
        <v>8.2291204730229115</v>
      </c>
      <c r="T73" s="30">
        <f t="shared" si="14"/>
        <v>2.2820250051240009E-2</v>
      </c>
      <c r="U73" s="9" t="str">
        <f t="shared" si="15"/>
        <v>45-54</v>
      </c>
    </row>
    <row r="74" spans="1:21">
      <c r="A74" t="s">
        <v>106</v>
      </c>
      <c r="B74" s="8">
        <v>8643</v>
      </c>
      <c r="C74" s="23">
        <v>1.6109999999999999E-2</v>
      </c>
      <c r="D74" s="19" t="s">
        <v>15</v>
      </c>
      <c r="E74" s="21">
        <v>65.012</v>
      </c>
      <c r="F74" s="21">
        <v>8.5869999999999997</v>
      </c>
      <c r="G74" s="23">
        <v>0</v>
      </c>
      <c r="H74" s="26">
        <v>0</v>
      </c>
      <c r="I74" s="19" t="s">
        <v>26</v>
      </c>
      <c r="J74" s="8">
        <v>50</v>
      </c>
      <c r="K74" s="19" t="s">
        <v>22</v>
      </c>
      <c r="L74" s="19" t="s">
        <v>32</v>
      </c>
      <c r="M74" s="8">
        <v>3</v>
      </c>
      <c r="N74" s="33">
        <f t="shared" si="8"/>
        <v>0</v>
      </c>
      <c r="O74" s="23">
        <f t="shared" si="9"/>
        <v>1.8760917666239664E-3</v>
      </c>
      <c r="P74" s="59">
        <f t="shared" si="10"/>
        <v>0.13208330769704055</v>
      </c>
      <c r="Q74" s="30">
        <f t="shared" si="11"/>
        <v>0</v>
      </c>
      <c r="R74" s="30">
        <f t="shared" si="12"/>
        <v>-1</v>
      </c>
      <c r="S74" s="12">
        <f t="shared" si="13"/>
        <v>0</v>
      </c>
      <c r="T74" s="30">
        <f t="shared" si="14"/>
        <v>0</v>
      </c>
      <c r="U74" s="9" t="str">
        <f t="shared" si="15"/>
        <v>45-54</v>
      </c>
    </row>
    <row r="75" spans="1:21">
      <c r="A75" t="s">
        <v>107</v>
      </c>
      <c r="B75" s="8">
        <v>4538</v>
      </c>
      <c r="C75" s="23">
        <v>4.684E-2</v>
      </c>
      <c r="D75" s="19" t="s">
        <v>32</v>
      </c>
      <c r="E75" s="21">
        <v>87.99</v>
      </c>
      <c r="F75" s="21">
        <v>1.1180000000000001</v>
      </c>
      <c r="G75" s="23">
        <v>0</v>
      </c>
      <c r="H75" s="26">
        <v>0</v>
      </c>
      <c r="I75" s="19" t="s">
        <v>17</v>
      </c>
      <c r="J75" s="8">
        <v>39</v>
      </c>
      <c r="K75" s="19" t="s">
        <v>18</v>
      </c>
      <c r="L75" s="19" t="s">
        <v>38</v>
      </c>
      <c r="M75" s="8">
        <v>4</v>
      </c>
      <c r="N75" s="33">
        <f t="shared" si="8"/>
        <v>0</v>
      </c>
      <c r="O75" s="23">
        <f t="shared" si="9"/>
        <v>4.1896243291592125E-2</v>
      </c>
      <c r="P75" s="59">
        <f t="shared" si="10"/>
        <v>1.270598931696784E-2</v>
      </c>
      <c r="Q75" s="30">
        <f t="shared" si="11"/>
        <v>0</v>
      </c>
      <c r="R75" s="30">
        <f t="shared" si="12"/>
        <v>-1</v>
      </c>
      <c r="S75" s="12">
        <f t="shared" si="13"/>
        <v>0</v>
      </c>
      <c r="T75" s="30">
        <f t="shared" si="14"/>
        <v>0</v>
      </c>
      <c r="U75" s="9" t="str">
        <f t="shared" si="15"/>
        <v>35-44</v>
      </c>
    </row>
    <row r="76" spans="1:21">
      <c r="A76" t="s">
        <v>108</v>
      </c>
      <c r="B76" s="8">
        <v>4864</v>
      </c>
      <c r="C76" s="23">
        <v>0.14438999999999999</v>
      </c>
      <c r="D76" s="19" t="s">
        <v>40</v>
      </c>
      <c r="E76" s="21">
        <v>35.043999999999997</v>
      </c>
      <c r="F76" s="21">
        <v>6.6859999999999999</v>
      </c>
      <c r="G76" s="23">
        <v>0</v>
      </c>
      <c r="H76" s="26">
        <v>0</v>
      </c>
      <c r="I76" s="19" t="s">
        <v>17</v>
      </c>
      <c r="J76" s="8">
        <v>29</v>
      </c>
      <c r="K76" s="19" t="s">
        <v>22</v>
      </c>
      <c r="L76" s="19" t="s">
        <v>23</v>
      </c>
      <c r="M76" s="8">
        <v>1</v>
      </c>
      <c r="N76" s="33">
        <f t="shared" si="8"/>
        <v>0</v>
      </c>
      <c r="O76" s="23">
        <f t="shared" si="9"/>
        <v>2.1595871971283279E-2</v>
      </c>
      <c r="P76" s="59">
        <f t="shared" si="10"/>
        <v>0.19078872274854469</v>
      </c>
      <c r="Q76" s="30">
        <f t="shared" si="11"/>
        <v>0</v>
      </c>
      <c r="R76" s="30">
        <f t="shared" si="12"/>
        <v>-1</v>
      </c>
      <c r="S76" s="12">
        <f t="shared" si="13"/>
        <v>0</v>
      </c>
      <c r="T76" s="30">
        <f t="shared" si="14"/>
        <v>0</v>
      </c>
      <c r="U76" s="9" t="str">
        <f t="shared" si="15"/>
        <v>25-34</v>
      </c>
    </row>
    <row r="77" spans="1:21">
      <c r="A77" t="s">
        <v>109</v>
      </c>
      <c r="B77" s="8">
        <v>7723</v>
      </c>
      <c r="C77" s="23">
        <v>3.1040000000000002E-2</v>
      </c>
      <c r="D77" s="19" t="s">
        <v>25</v>
      </c>
      <c r="E77" s="21">
        <v>19.175999999999998</v>
      </c>
      <c r="F77" s="21">
        <v>5.2119999999999997</v>
      </c>
      <c r="G77" s="23">
        <v>0</v>
      </c>
      <c r="H77" s="26">
        <v>0</v>
      </c>
      <c r="I77" s="19" t="s">
        <v>21</v>
      </c>
      <c r="J77" s="8">
        <v>43</v>
      </c>
      <c r="K77" s="19" t="s">
        <v>22</v>
      </c>
      <c r="L77" s="19" t="s">
        <v>23</v>
      </c>
      <c r="M77" s="8">
        <v>4</v>
      </c>
      <c r="N77" s="33">
        <f t="shared" si="8"/>
        <v>0</v>
      </c>
      <c r="O77" s="23">
        <f t="shared" si="9"/>
        <v>5.9554873369148126E-3</v>
      </c>
      <c r="P77" s="59">
        <f t="shared" si="10"/>
        <v>0.27179808093450147</v>
      </c>
      <c r="Q77" s="30">
        <f t="shared" si="11"/>
        <v>0</v>
      </c>
      <c r="R77" s="30">
        <f t="shared" si="12"/>
        <v>-1</v>
      </c>
      <c r="S77" s="12">
        <f t="shared" si="13"/>
        <v>0</v>
      </c>
      <c r="T77" s="30">
        <f t="shared" si="14"/>
        <v>0</v>
      </c>
      <c r="U77" s="9" t="str">
        <f t="shared" si="15"/>
        <v>35-44</v>
      </c>
    </row>
    <row r="78" spans="1:21">
      <c r="A78" t="s">
        <v>110</v>
      </c>
      <c r="B78" s="8">
        <v>2487</v>
      </c>
      <c r="C78" s="23">
        <v>6.6619999999999999E-2</v>
      </c>
      <c r="D78" s="19" t="s">
        <v>25</v>
      </c>
      <c r="E78" s="21">
        <v>51.246000000000002</v>
      </c>
      <c r="F78" s="21">
        <v>0.73899999999999999</v>
      </c>
      <c r="G78" s="23">
        <v>0</v>
      </c>
      <c r="H78" s="26">
        <v>0</v>
      </c>
      <c r="I78" s="19" t="s">
        <v>29</v>
      </c>
      <c r="J78" s="8">
        <v>63</v>
      </c>
      <c r="K78" s="19" t="s">
        <v>22</v>
      </c>
      <c r="L78" s="19" t="s">
        <v>32</v>
      </c>
      <c r="M78" s="8">
        <v>3</v>
      </c>
      <c r="N78" s="33">
        <f t="shared" si="8"/>
        <v>0</v>
      </c>
      <c r="O78" s="23">
        <f t="shared" si="9"/>
        <v>9.0148849797023006E-2</v>
      </c>
      <c r="P78" s="59">
        <f t="shared" si="10"/>
        <v>1.4420637708308941E-2</v>
      </c>
      <c r="Q78" s="30">
        <f t="shared" si="11"/>
        <v>0</v>
      </c>
      <c r="R78" s="30">
        <f t="shared" si="12"/>
        <v>-1</v>
      </c>
      <c r="S78" s="12">
        <f t="shared" si="13"/>
        <v>0</v>
      </c>
      <c r="T78" s="30">
        <f t="shared" si="14"/>
        <v>0</v>
      </c>
      <c r="U78" s="9" t="str">
        <f t="shared" si="15"/>
        <v>55+</v>
      </c>
    </row>
    <row r="79" spans="1:21">
      <c r="A79" t="s">
        <v>111</v>
      </c>
      <c r="B79" s="8">
        <v>6900</v>
      </c>
      <c r="C79" s="23">
        <v>0</v>
      </c>
      <c r="D79" s="19" t="s">
        <v>45</v>
      </c>
      <c r="E79" s="21">
        <v>6.9109999999999996</v>
      </c>
      <c r="F79" s="21">
        <v>0.69099999999999995</v>
      </c>
      <c r="G79" s="23">
        <v>0.33585999999999999</v>
      </c>
      <c r="H79" s="26">
        <v>1</v>
      </c>
      <c r="I79" s="19" t="s">
        <v>26</v>
      </c>
      <c r="J79" s="8">
        <v>63</v>
      </c>
      <c r="K79" s="19" t="s">
        <v>31</v>
      </c>
      <c r="L79" s="19" t="s">
        <v>32</v>
      </c>
      <c r="M79" s="8">
        <v>4</v>
      </c>
      <c r="N79" s="33">
        <f t="shared" si="8"/>
        <v>1.4471780028943562</v>
      </c>
      <c r="O79" s="23">
        <f t="shared" si="9"/>
        <v>0</v>
      </c>
      <c r="P79" s="59">
        <f t="shared" si="10"/>
        <v>9.9985530313992182E-2</v>
      </c>
      <c r="Q79" s="30">
        <f t="shared" si="11"/>
        <v>0</v>
      </c>
      <c r="R79" s="30">
        <f t="shared" si="12"/>
        <v>0</v>
      </c>
      <c r="S79" s="12" t="e">
        <f t="shared" si="13"/>
        <v>#DIV/0!</v>
      </c>
      <c r="T79" s="30">
        <f t="shared" si="14"/>
        <v>0.48604920405209845</v>
      </c>
      <c r="U79" s="9" t="str">
        <f t="shared" si="15"/>
        <v>55+</v>
      </c>
    </row>
    <row r="80" spans="1:21">
      <c r="A80" t="s">
        <v>112</v>
      </c>
      <c r="B80" s="8">
        <v>8973</v>
      </c>
      <c r="C80" s="23">
        <v>5.3099999999999996E-3</v>
      </c>
      <c r="D80" s="19" t="s">
        <v>25</v>
      </c>
      <c r="E80" s="21">
        <v>86.087999999999994</v>
      </c>
      <c r="F80" s="21">
        <v>2.968</v>
      </c>
      <c r="G80" s="23">
        <v>0.39207999999999998</v>
      </c>
      <c r="H80" s="26">
        <v>1</v>
      </c>
      <c r="I80" s="19" t="s">
        <v>34</v>
      </c>
      <c r="J80" s="8">
        <v>21</v>
      </c>
      <c r="K80" s="19" t="s">
        <v>31</v>
      </c>
      <c r="L80" s="19" t="s">
        <v>19</v>
      </c>
      <c r="M80" s="8">
        <v>5</v>
      </c>
      <c r="N80" s="33">
        <f t="shared" si="8"/>
        <v>0.33692722371967654</v>
      </c>
      <c r="O80" s="23">
        <f t="shared" si="9"/>
        <v>1.7890835579514824E-3</v>
      </c>
      <c r="P80" s="59">
        <f t="shared" si="10"/>
        <v>3.4476349781618808E-2</v>
      </c>
      <c r="Q80" s="30">
        <f t="shared" si="11"/>
        <v>5.3099999999999996E-3</v>
      </c>
      <c r="R80" s="30">
        <f t="shared" si="12"/>
        <v>72.838041431261772</v>
      </c>
      <c r="S80" s="12">
        <f t="shared" si="13"/>
        <v>73.838041431261772</v>
      </c>
      <c r="T80" s="30">
        <f t="shared" si="14"/>
        <v>0.13210242587601079</v>
      </c>
      <c r="U80" s="9" t="str">
        <f t="shared" si="15"/>
        <v>18-24</v>
      </c>
    </row>
    <row r="81" spans="1:21">
      <c r="A81" t="s">
        <v>113</v>
      </c>
      <c r="B81" s="8">
        <v>2476</v>
      </c>
      <c r="C81" s="23">
        <v>0.19145000000000001</v>
      </c>
      <c r="D81" s="19" t="s">
        <v>40</v>
      </c>
      <c r="E81" s="21">
        <v>47.097999999999999</v>
      </c>
      <c r="F81" s="21">
        <v>7.79</v>
      </c>
      <c r="G81" s="23">
        <v>0.23691000000000001</v>
      </c>
      <c r="H81" s="26">
        <v>1</v>
      </c>
      <c r="I81" s="19" t="s">
        <v>26</v>
      </c>
      <c r="J81" s="8">
        <v>61</v>
      </c>
      <c r="K81" s="19" t="s">
        <v>18</v>
      </c>
      <c r="L81" s="19" t="s">
        <v>32</v>
      </c>
      <c r="M81" s="8">
        <v>1</v>
      </c>
      <c r="N81" s="33">
        <f t="shared" si="8"/>
        <v>0.12836970474967907</v>
      </c>
      <c r="O81" s="23">
        <f t="shared" si="9"/>
        <v>2.457637997432606E-2</v>
      </c>
      <c r="P81" s="59">
        <f t="shared" si="10"/>
        <v>0.16539980466261839</v>
      </c>
      <c r="Q81" s="30">
        <f t="shared" si="11"/>
        <v>0.19145000000000001</v>
      </c>
      <c r="R81" s="30">
        <f t="shared" si="12"/>
        <v>0.23745103160094019</v>
      </c>
      <c r="S81" s="12">
        <f t="shared" si="13"/>
        <v>1.2374510316009402</v>
      </c>
      <c r="T81" s="30">
        <f t="shared" si="14"/>
        <v>3.0412066752246471E-2</v>
      </c>
      <c r="U81" s="9" t="str">
        <f t="shared" si="15"/>
        <v>55+</v>
      </c>
    </row>
    <row r="82" spans="1:21">
      <c r="A82" t="s">
        <v>114</v>
      </c>
      <c r="B82" s="8">
        <v>6612</v>
      </c>
      <c r="C82" s="23">
        <v>1.6879999999999999E-2</v>
      </c>
      <c r="D82" s="19" t="s">
        <v>45</v>
      </c>
      <c r="E82" s="21">
        <v>89.734999999999999</v>
      </c>
      <c r="F82" s="21">
        <v>0.28499999999999998</v>
      </c>
      <c r="G82" s="23">
        <v>0.43090000000000001</v>
      </c>
      <c r="H82" s="26">
        <v>1</v>
      </c>
      <c r="I82" s="19" t="s">
        <v>26</v>
      </c>
      <c r="J82" s="8">
        <v>30</v>
      </c>
      <c r="K82" s="19" t="s">
        <v>22</v>
      </c>
      <c r="L82" s="19" t="s">
        <v>45</v>
      </c>
      <c r="M82" s="8">
        <v>2</v>
      </c>
      <c r="N82" s="33">
        <f t="shared" si="8"/>
        <v>3.5087719298245617</v>
      </c>
      <c r="O82" s="23">
        <f t="shared" si="9"/>
        <v>5.9228070175438602E-2</v>
      </c>
      <c r="P82" s="59">
        <f t="shared" si="10"/>
        <v>3.1760182760349918E-3</v>
      </c>
      <c r="Q82" s="30">
        <f t="shared" si="11"/>
        <v>1.6879999999999999E-2</v>
      </c>
      <c r="R82" s="30">
        <f t="shared" si="12"/>
        <v>24.527251184834125</v>
      </c>
      <c r="S82" s="12">
        <f t="shared" si="13"/>
        <v>25.527251184834125</v>
      </c>
      <c r="T82" s="30">
        <f t="shared" si="14"/>
        <v>1.5119298245614037</v>
      </c>
      <c r="U82" s="9" t="str">
        <f t="shared" si="15"/>
        <v>25-34</v>
      </c>
    </row>
    <row r="83" spans="1:21">
      <c r="A83" t="s">
        <v>115</v>
      </c>
      <c r="B83" s="8">
        <v>1989</v>
      </c>
      <c r="C83" s="23">
        <v>8.6980000000000002E-2</v>
      </c>
      <c r="D83" s="19" t="s">
        <v>32</v>
      </c>
      <c r="E83" s="21">
        <v>77.153000000000006</v>
      </c>
      <c r="F83" s="21">
        <v>3.5190000000000001</v>
      </c>
      <c r="G83" s="23">
        <v>0</v>
      </c>
      <c r="H83" s="26">
        <v>0</v>
      </c>
      <c r="I83" s="19" t="s">
        <v>26</v>
      </c>
      <c r="J83" s="8">
        <v>46</v>
      </c>
      <c r="K83" s="19" t="s">
        <v>37</v>
      </c>
      <c r="L83" s="19" t="s">
        <v>45</v>
      </c>
      <c r="M83" s="8" t="s">
        <v>1065</v>
      </c>
      <c r="N83" s="33">
        <f t="shared" si="8"/>
        <v>0</v>
      </c>
      <c r="O83" s="23">
        <f t="shared" si="9"/>
        <v>2.4717249218527991E-2</v>
      </c>
      <c r="P83" s="59">
        <f t="shared" si="10"/>
        <v>4.5610669708242062E-2</v>
      </c>
      <c r="Q83" s="30">
        <f t="shared" si="11"/>
        <v>0</v>
      </c>
      <c r="R83" s="30">
        <f t="shared" si="12"/>
        <v>-1</v>
      </c>
      <c r="S83" s="12">
        <f t="shared" si="13"/>
        <v>0</v>
      </c>
      <c r="T83" s="30">
        <f t="shared" si="14"/>
        <v>0</v>
      </c>
      <c r="U83" s="9" t="str">
        <f t="shared" si="15"/>
        <v>45-54</v>
      </c>
    </row>
    <row r="84" spans="1:21">
      <c r="A84" t="s">
        <v>116</v>
      </c>
      <c r="B84" s="8">
        <v>9930</v>
      </c>
      <c r="C84" s="23">
        <v>9.4820000000000002E-2</v>
      </c>
      <c r="D84" s="19" t="s">
        <v>25</v>
      </c>
      <c r="E84" s="21">
        <v>70.778000000000006</v>
      </c>
      <c r="F84" s="21">
        <v>2.0209999999999999</v>
      </c>
      <c r="G84" s="23">
        <v>0</v>
      </c>
      <c r="H84" s="26">
        <v>0</v>
      </c>
      <c r="I84" s="19" t="s">
        <v>17</v>
      </c>
      <c r="J84" s="8">
        <v>42</v>
      </c>
      <c r="K84" s="19" t="s">
        <v>22</v>
      </c>
      <c r="L84" s="19" t="s">
        <v>38</v>
      </c>
      <c r="M84" s="8">
        <v>2</v>
      </c>
      <c r="N84" s="33">
        <f t="shared" si="8"/>
        <v>0</v>
      </c>
      <c r="O84" s="23">
        <f t="shared" si="9"/>
        <v>4.6917367639782291E-2</v>
      </c>
      <c r="P84" s="59">
        <f t="shared" si="10"/>
        <v>2.8554070473876061E-2</v>
      </c>
      <c r="Q84" s="30">
        <f t="shared" si="11"/>
        <v>0</v>
      </c>
      <c r="R84" s="30">
        <f t="shared" si="12"/>
        <v>-1</v>
      </c>
      <c r="S84" s="12">
        <f t="shared" si="13"/>
        <v>0</v>
      </c>
      <c r="T84" s="30">
        <f t="shared" si="14"/>
        <v>0</v>
      </c>
      <c r="U84" s="9" t="str">
        <f t="shared" si="15"/>
        <v>35-44</v>
      </c>
    </row>
    <row r="85" spans="1:21">
      <c r="A85" t="s">
        <v>117</v>
      </c>
      <c r="B85" s="8">
        <v>5744</v>
      </c>
      <c r="C85" s="23">
        <v>2.8799999999999999E-2</v>
      </c>
      <c r="D85" s="19" t="s">
        <v>15</v>
      </c>
      <c r="E85" s="21">
        <v>24.466999999999999</v>
      </c>
      <c r="F85" s="21">
        <v>5.7409999999999997</v>
      </c>
      <c r="G85" s="23">
        <v>0</v>
      </c>
      <c r="H85" s="26">
        <v>0</v>
      </c>
      <c r="I85" s="19" t="s">
        <v>29</v>
      </c>
      <c r="J85" s="8">
        <v>59</v>
      </c>
      <c r="K85" s="19" t="s">
        <v>18</v>
      </c>
      <c r="L85" s="19" t="s">
        <v>19</v>
      </c>
      <c r="M85" s="8">
        <v>5</v>
      </c>
      <c r="N85" s="33">
        <f t="shared" si="8"/>
        <v>0</v>
      </c>
      <c r="O85" s="23">
        <f t="shared" si="9"/>
        <v>5.0165476397840102E-3</v>
      </c>
      <c r="P85" s="59">
        <f t="shared" si="10"/>
        <v>0.2346425798013651</v>
      </c>
      <c r="Q85" s="30">
        <f t="shared" si="11"/>
        <v>0</v>
      </c>
      <c r="R85" s="30">
        <f t="shared" si="12"/>
        <v>-1</v>
      </c>
      <c r="S85" s="12">
        <f t="shared" si="13"/>
        <v>0</v>
      </c>
      <c r="T85" s="30">
        <f t="shared" si="14"/>
        <v>0</v>
      </c>
      <c r="U85" s="9" t="str">
        <f t="shared" si="15"/>
        <v>55+</v>
      </c>
    </row>
    <row r="86" spans="1:21">
      <c r="A86" t="s">
        <v>118</v>
      </c>
      <c r="B86" s="8">
        <v>3728</v>
      </c>
      <c r="C86" s="23">
        <v>0</v>
      </c>
      <c r="D86" s="19" t="s">
        <v>25</v>
      </c>
      <c r="E86" s="21">
        <v>38.997</v>
      </c>
      <c r="F86" s="21">
        <v>0</v>
      </c>
      <c r="G86" s="23">
        <v>0.44424999999999998</v>
      </c>
      <c r="H86" s="26">
        <v>1</v>
      </c>
      <c r="I86" s="19" t="s">
        <v>29</v>
      </c>
      <c r="J86" s="8">
        <v>61</v>
      </c>
      <c r="K86" s="19" t="s">
        <v>31</v>
      </c>
      <c r="L86" s="19" t="s">
        <v>45</v>
      </c>
      <c r="M86" s="8" t="s">
        <v>1065</v>
      </c>
      <c r="N86" s="33">
        <f t="shared" si="8"/>
        <v>0</v>
      </c>
      <c r="O86" s="23">
        <f t="shared" si="9"/>
        <v>0</v>
      </c>
      <c r="P86" s="59">
        <f t="shared" si="10"/>
        <v>0</v>
      </c>
      <c r="Q86" s="30">
        <f t="shared" si="11"/>
        <v>0</v>
      </c>
      <c r="R86" s="30">
        <f t="shared" si="12"/>
        <v>0</v>
      </c>
      <c r="S86" s="12" t="e">
        <f t="shared" si="13"/>
        <v>#DIV/0!</v>
      </c>
      <c r="T86" s="30">
        <f t="shared" si="14"/>
        <v>0</v>
      </c>
      <c r="U86" s="9" t="str">
        <f t="shared" si="15"/>
        <v>55+</v>
      </c>
    </row>
    <row r="87" spans="1:21">
      <c r="A87" t="s">
        <v>119</v>
      </c>
      <c r="B87" s="8">
        <v>9780</v>
      </c>
      <c r="C87" s="23">
        <v>0.14243</v>
      </c>
      <c r="D87" s="19" t="s">
        <v>25</v>
      </c>
      <c r="E87" s="21">
        <v>38.223999999999997</v>
      </c>
      <c r="F87" s="21">
        <v>9.2409999999999997</v>
      </c>
      <c r="G87" s="23">
        <v>0</v>
      </c>
      <c r="H87" s="26">
        <v>0</v>
      </c>
      <c r="I87" s="19" t="s">
        <v>17</v>
      </c>
      <c r="J87" s="8">
        <v>49</v>
      </c>
      <c r="K87" s="19" t="s">
        <v>18</v>
      </c>
      <c r="L87" s="19" t="s">
        <v>19</v>
      </c>
      <c r="M87" s="8" t="s">
        <v>1065</v>
      </c>
      <c r="N87" s="33">
        <f t="shared" si="8"/>
        <v>0</v>
      </c>
      <c r="O87" s="23">
        <f t="shared" si="9"/>
        <v>1.5412834108862678E-2</v>
      </c>
      <c r="P87" s="59">
        <f t="shared" si="10"/>
        <v>0.24175910422771035</v>
      </c>
      <c r="Q87" s="30">
        <f t="shared" si="11"/>
        <v>0</v>
      </c>
      <c r="R87" s="30">
        <f t="shared" si="12"/>
        <v>-1</v>
      </c>
      <c r="S87" s="12">
        <f t="shared" si="13"/>
        <v>0</v>
      </c>
      <c r="T87" s="30">
        <f t="shared" si="14"/>
        <v>0</v>
      </c>
      <c r="U87" s="9" t="str">
        <f t="shared" si="15"/>
        <v>45-54</v>
      </c>
    </row>
    <row r="88" spans="1:21">
      <c r="A88" t="s">
        <v>120</v>
      </c>
      <c r="B88" s="8">
        <v>3254</v>
      </c>
      <c r="C88" s="23">
        <v>7.5179999999999997E-2</v>
      </c>
      <c r="D88" s="19" t="s">
        <v>25</v>
      </c>
      <c r="E88" s="21">
        <v>50.487000000000002</v>
      </c>
      <c r="F88" s="21">
        <v>0</v>
      </c>
      <c r="G88" s="23">
        <v>0</v>
      </c>
      <c r="H88" s="26">
        <v>0</v>
      </c>
      <c r="I88" s="19" t="s">
        <v>34</v>
      </c>
      <c r="J88" s="8">
        <v>23</v>
      </c>
      <c r="K88" s="19" t="s">
        <v>22</v>
      </c>
      <c r="L88" s="19" t="s">
        <v>23</v>
      </c>
      <c r="M88" s="8" t="s">
        <v>1065</v>
      </c>
      <c r="N88" s="33">
        <f t="shared" si="8"/>
        <v>0</v>
      </c>
      <c r="O88" s="23">
        <f t="shared" si="9"/>
        <v>0</v>
      </c>
      <c r="P88" s="59">
        <f t="shared" si="10"/>
        <v>0</v>
      </c>
      <c r="Q88" s="30">
        <f t="shared" si="11"/>
        <v>0</v>
      </c>
      <c r="R88" s="30">
        <f t="shared" si="12"/>
        <v>-1</v>
      </c>
      <c r="S88" s="12">
        <f t="shared" si="13"/>
        <v>0</v>
      </c>
      <c r="T88" s="30">
        <f t="shared" si="14"/>
        <v>0</v>
      </c>
      <c r="U88" s="9" t="str">
        <f t="shared" si="15"/>
        <v>18-24</v>
      </c>
    </row>
    <row r="89" spans="1:21">
      <c r="A89" t="s">
        <v>121</v>
      </c>
      <c r="B89" s="8">
        <v>8631</v>
      </c>
      <c r="C89" s="23">
        <v>0</v>
      </c>
      <c r="D89" s="19" t="s">
        <v>28</v>
      </c>
      <c r="E89" s="21">
        <v>6.3339999999999996</v>
      </c>
      <c r="F89" s="21">
        <v>1.454</v>
      </c>
      <c r="G89" s="23">
        <v>0</v>
      </c>
      <c r="H89" s="26">
        <v>0</v>
      </c>
      <c r="I89" s="19" t="s">
        <v>34</v>
      </c>
      <c r="J89" s="8">
        <v>35</v>
      </c>
      <c r="K89" s="19" t="s">
        <v>18</v>
      </c>
      <c r="L89" s="19" t="s">
        <v>45</v>
      </c>
      <c r="M89" s="8">
        <v>2</v>
      </c>
      <c r="N89" s="33">
        <f t="shared" si="8"/>
        <v>0</v>
      </c>
      <c r="O89" s="23">
        <f t="shared" si="9"/>
        <v>0</v>
      </c>
      <c r="P89" s="59">
        <f t="shared" si="10"/>
        <v>0.22955478370697821</v>
      </c>
      <c r="Q89" s="30">
        <f t="shared" si="11"/>
        <v>0</v>
      </c>
      <c r="R89" s="30">
        <f t="shared" si="12"/>
        <v>0</v>
      </c>
      <c r="S89" s="12">
        <f t="shared" si="13"/>
        <v>0</v>
      </c>
      <c r="T89" s="30">
        <f t="shared" si="14"/>
        <v>0</v>
      </c>
      <c r="U89" s="9" t="str">
        <f t="shared" si="15"/>
        <v>35-44</v>
      </c>
    </row>
    <row r="90" spans="1:21">
      <c r="A90" t="s">
        <v>122</v>
      </c>
      <c r="B90" s="8">
        <v>5610</v>
      </c>
      <c r="C90" s="23">
        <v>8.0799999999999997E-2</v>
      </c>
      <c r="D90" s="19" t="s">
        <v>25</v>
      </c>
      <c r="E90" s="21">
        <v>29.065000000000001</v>
      </c>
      <c r="F90" s="21">
        <v>8.032</v>
      </c>
      <c r="G90" s="23">
        <v>0.42981999999999998</v>
      </c>
      <c r="H90" s="26">
        <v>1</v>
      </c>
      <c r="I90" s="19" t="s">
        <v>17</v>
      </c>
      <c r="J90" s="8">
        <v>27</v>
      </c>
      <c r="K90" s="19" t="s">
        <v>37</v>
      </c>
      <c r="L90" s="19" t="s">
        <v>45</v>
      </c>
      <c r="M90" s="8">
        <v>3</v>
      </c>
      <c r="N90" s="33">
        <f t="shared" si="8"/>
        <v>0.12450199203187251</v>
      </c>
      <c r="O90" s="23">
        <f t="shared" si="9"/>
        <v>1.0059760956175298E-2</v>
      </c>
      <c r="P90" s="59">
        <f t="shared" si="10"/>
        <v>0.27634612076380527</v>
      </c>
      <c r="Q90" s="30">
        <f t="shared" si="11"/>
        <v>8.0799999999999997E-2</v>
      </c>
      <c r="R90" s="30">
        <f t="shared" si="12"/>
        <v>4.3195544554455445</v>
      </c>
      <c r="S90" s="12">
        <f t="shared" si="13"/>
        <v>5.3195544554455445</v>
      </c>
      <c r="T90" s="30">
        <f t="shared" si="14"/>
        <v>5.351344621513944E-2</v>
      </c>
      <c r="U90" s="9" t="str">
        <f t="shared" si="15"/>
        <v>25-34</v>
      </c>
    </row>
    <row r="91" spans="1:21">
      <c r="A91" t="s">
        <v>123</v>
      </c>
      <c r="B91" s="8">
        <v>6462</v>
      </c>
      <c r="C91" s="23">
        <v>1.465E-2</v>
      </c>
      <c r="D91" s="19" t="s">
        <v>15</v>
      </c>
      <c r="E91" s="21">
        <v>25.59</v>
      </c>
      <c r="F91" s="21">
        <v>5.5789999999999997</v>
      </c>
      <c r="G91" s="23">
        <v>0</v>
      </c>
      <c r="H91" s="26">
        <v>0</v>
      </c>
      <c r="I91" s="19" t="s">
        <v>26</v>
      </c>
      <c r="J91" s="8">
        <v>38</v>
      </c>
      <c r="K91" s="19" t="s">
        <v>31</v>
      </c>
      <c r="L91" s="19" t="s">
        <v>19</v>
      </c>
      <c r="M91" s="8">
        <v>5</v>
      </c>
      <c r="N91" s="33">
        <f t="shared" si="8"/>
        <v>0</v>
      </c>
      <c r="O91" s="23">
        <f t="shared" si="9"/>
        <v>2.6259186234092132E-3</v>
      </c>
      <c r="P91" s="59">
        <f t="shared" si="10"/>
        <v>0.21801484955060568</v>
      </c>
      <c r="Q91" s="30">
        <f t="shared" si="11"/>
        <v>0</v>
      </c>
      <c r="R91" s="30">
        <f t="shared" si="12"/>
        <v>-1</v>
      </c>
      <c r="S91" s="12">
        <f t="shared" si="13"/>
        <v>0</v>
      </c>
      <c r="T91" s="30">
        <f t="shared" si="14"/>
        <v>0</v>
      </c>
      <c r="U91" s="9" t="str">
        <f t="shared" si="15"/>
        <v>35-44</v>
      </c>
    </row>
    <row r="92" spans="1:21">
      <c r="A92" t="s">
        <v>124</v>
      </c>
      <c r="B92" s="8">
        <v>6265</v>
      </c>
      <c r="C92" s="23">
        <v>0</v>
      </c>
      <c r="D92" s="19" t="s">
        <v>15</v>
      </c>
      <c r="E92" s="21">
        <v>80.911000000000001</v>
      </c>
      <c r="F92" s="21">
        <v>4.6449999999999996</v>
      </c>
      <c r="G92" s="23">
        <v>0</v>
      </c>
      <c r="H92" s="26">
        <v>1</v>
      </c>
      <c r="I92" s="19" t="s">
        <v>34</v>
      </c>
      <c r="J92" s="8">
        <v>41</v>
      </c>
      <c r="K92" s="19" t="s">
        <v>37</v>
      </c>
      <c r="L92" s="19" t="s">
        <v>38</v>
      </c>
      <c r="M92" s="8">
        <v>4</v>
      </c>
      <c r="N92" s="33">
        <f t="shared" si="8"/>
        <v>0.21528525296017226</v>
      </c>
      <c r="O92" s="23">
        <f t="shared" si="9"/>
        <v>0</v>
      </c>
      <c r="P92" s="59">
        <f t="shared" si="10"/>
        <v>5.7408757770884049E-2</v>
      </c>
      <c r="Q92" s="30">
        <f t="shared" si="11"/>
        <v>0</v>
      </c>
      <c r="R92" s="30">
        <f t="shared" si="12"/>
        <v>0</v>
      </c>
      <c r="S92" s="12">
        <f t="shared" si="13"/>
        <v>0</v>
      </c>
      <c r="T92" s="30">
        <f t="shared" si="14"/>
        <v>0</v>
      </c>
      <c r="U92" s="9" t="str">
        <f t="shared" si="15"/>
        <v>35-44</v>
      </c>
    </row>
    <row r="93" spans="1:21">
      <c r="A93" t="s">
        <v>125</v>
      </c>
      <c r="B93" s="8">
        <v>8850</v>
      </c>
      <c r="C93" s="23">
        <v>7.3749999999999996E-2</v>
      </c>
      <c r="D93" s="19" t="s">
        <v>15</v>
      </c>
      <c r="E93" s="21">
        <v>48.822000000000003</v>
      </c>
      <c r="F93" s="21">
        <v>7.3620000000000001</v>
      </c>
      <c r="G93" s="23">
        <v>0</v>
      </c>
      <c r="H93" s="26">
        <v>0</v>
      </c>
      <c r="I93" s="19" t="s">
        <v>21</v>
      </c>
      <c r="J93" s="8">
        <v>48</v>
      </c>
      <c r="K93" s="19" t="s">
        <v>37</v>
      </c>
      <c r="L93" s="19" t="s">
        <v>32</v>
      </c>
      <c r="M93" s="8">
        <v>3</v>
      </c>
      <c r="N93" s="33">
        <f t="shared" si="8"/>
        <v>0</v>
      </c>
      <c r="O93" s="23">
        <f t="shared" si="9"/>
        <v>1.0017658245042107E-2</v>
      </c>
      <c r="P93" s="59">
        <f t="shared" si="10"/>
        <v>0.15079267543320635</v>
      </c>
      <c r="Q93" s="30">
        <f t="shared" si="11"/>
        <v>0</v>
      </c>
      <c r="R93" s="30">
        <f t="shared" si="12"/>
        <v>-1</v>
      </c>
      <c r="S93" s="12">
        <f t="shared" si="13"/>
        <v>0</v>
      </c>
      <c r="T93" s="30">
        <f t="shared" si="14"/>
        <v>0</v>
      </c>
      <c r="U93" s="9" t="str">
        <f t="shared" si="15"/>
        <v>45-54</v>
      </c>
    </row>
    <row r="94" spans="1:21">
      <c r="A94" t="s">
        <v>126</v>
      </c>
      <c r="B94" s="8">
        <v>9766</v>
      </c>
      <c r="C94" s="23">
        <v>0.17874000000000001</v>
      </c>
      <c r="D94" s="19" t="s">
        <v>25</v>
      </c>
      <c r="E94" s="21">
        <v>18.608000000000001</v>
      </c>
      <c r="F94" s="21">
        <v>5.08</v>
      </c>
      <c r="G94" s="23">
        <v>0.41282999999999997</v>
      </c>
      <c r="H94" s="26">
        <v>1</v>
      </c>
      <c r="I94" s="19" t="s">
        <v>26</v>
      </c>
      <c r="J94" s="8">
        <v>44</v>
      </c>
      <c r="K94" s="19" t="s">
        <v>37</v>
      </c>
      <c r="L94" s="19" t="s">
        <v>19</v>
      </c>
      <c r="M94" s="8">
        <v>3</v>
      </c>
      <c r="N94" s="33">
        <f t="shared" si="8"/>
        <v>0.19685039370078738</v>
      </c>
      <c r="O94" s="23">
        <f t="shared" si="9"/>
        <v>3.518503937007874E-2</v>
      </c>
      <c r="P94" s="59">
        <f t="shared" si="10"/>
        <v>0.27300085984522787</v>
      </c>
      <c r="Q94" s="30">
        <f t="shared" si="11"/>
        <v>0.17874000000000001</v>
      </c>
      <c r="R94" s="30">
        <f t="shared" si="12"/>
        <v>1.3096676737160118</v>
      </c>
      <c r="S94" s="12">
        <f t="shared" si="13"/>
        <v>2.309667673716012</v>
      </c>
      <c r="T94" s="30">
        <f t="shared" si="14"/>
        <v>8.1265748031496055E-2</v>
      </c>
      <c r="U94" s="9" t="str">
        <f t="shared" si="15"/>
        <v>35-44</v>
      </c>
    </row>
    <row r="95" spans="1:21">
      <c r="A95" t="s">
        <v>127</v>
      </c>
      <c r="B95" s="8">
        <v>5382</v>
      </c>
      <c r="C95" s="23">
        <v>1.5140000000000001E-2</v>
      </c>
      <c r="D95" s="19" t="s">
        <v>45</v>
      </c>
      <c r="E95" s="21">
        <v>67.063000000000002</v>
      </c>
      <c r="F95" s="21">
        <v>8.7260000000000009</v>
      </c>
      <c r="G95" s="23">
        <v>0</v>
      </c>
      <c r="H95" s="26">
        <v>0</v>
      </c>
      <c r="I95" s="19" t="s">
        <v>29</v>
      </c>
      <c r="J95" s="8">
        <v>48</v>
      </c>
      <c r="K95" s="19" t="s">
        <v>31</v>
      </c>
      <c r="L95" s="19" t="s">
        <v>23</v>
      </c>
      <c r="M95" s="8">
        <v>2</v>
      </c>
      <c r="N95" s="33">
        <f t="shared" si="8"/>
        <v>0</v>
      </c>
      <c r="O95" s="23">
        <f t="shared" si="9"/>
        <v>1.7350446940178775E-3</v>
      </c>
      <c r="P95" s="59">
        <f t="shared" si="10"/>
        <v>0.13011645765921598</v>
      </c>
      <c r="Q95" s="30">
        <f t="shared" si="11"/>
        <v>0</v>
      </c>
      <c r="R95" s="30">
        <f t="shared" si="12"/>
        <v>-1</v>
      </c>
      <c r="S95" s="12">
        <f t="shared" si="13"/>
        <v>0</v>
      </c>
      <c r="T95" s="30">
        <f t="shared" si="14"/>
        <v>0</v>
      </c>
      <c r="U95" s="9" t="str">
        <f t="shared" si="15"/>
        <v>45-54</v>
      </c>
    </row>
    <row r="96" spans="1:21">
      <c r="A96" t="s">
        <v>128</v>
      </c>
      <c r="B96" s="8">
        <v>1764</v>
      </c>
      <c r="C96" s="23">
        <v>5.8199999999999997E-3</v>
      </c>
      <c r="D96" s="19" t="s">
        <v>15</v>
      </c>
      <c r="E96" s="21">
        <v>29.298999999999999</v>
      </c>
      <c r="F96" s="21">
        <v>3.431</v>
      </c>
      <c r="G96" s="23">
        <v>0</v>
      </c>
      <c r="H96" s="26">
        <v>0</v>
      </c>
      <c r="I96" s="19" t="s">
        <v>21</v>
      </c>
      <c r="J96" s="8">
        <v>20</v>
      </c>
      <c r="K96" s="19" t="s">
        <v>31</v>
      </c>
      <c r="L96" s="19" t="s">
        <v>19</v>
      </c>
      <c r="M96" s="8">
        <v>3</v>
      </c>
      <c r="N96" s="33">
        <f t="shared" si="8"/>
        <v>0</v>
      </c>
      <c r="O96" s="23">
        <f t="shared" si="9"/>
        <v>1.6962984552608567E-3</v>
      </c>
      <c r="P96" s="59">
        <f t="shared" si="10"/>
        <v>0.11710297279770641</v>
      </c>
      <c r="Q96" s="30">
        <f t="shared" si="11"/>
        <v>0</v>
      </c>
      <c r="R96" s="30">
        <f t="shared" si="12"/>
        <v>-1</v>
      </c>
      <c r="S96" s="12">
        <f t="shared" si="13"/>
        <v>0</v>
      </c>
      <c r="T96" s="30">
        <f t="shared" si="14"/>
        <v>0</v>
      </c>
      <c r="U96" s="9" t="str">
        <f t="shared" si="15"/>
        <v>18-24</v>
      </c>
    </row>
    <row r="97" spans="1:21">
      <c r="A97" t="s">
        <v>129</v>
      </c>
      <c r="B97" s="8">
        <v>5649</v>
      </c>
      <c r="C97" s="23">
        <v>0.14102999999999999</v>
      </c>
      <c r="D97" s="19" t="s">
        <v>32</v>
      </c>
      <c r="E97" s="21">
        <v>4.5599999999999996</v>
      </c>
      <c r="F97" s="21">
        <v>2.6150000000000002</v>
      </c>
      <c r="G97" s="23">
        <v>0</v>
      </c>
      <c r="H97" s="26">
        <v>0</v>
      </c>
      <c r="I97" s="19" t="s">
        <v>26</v>
      </c>
      <c r="J97" s="8">
        <v>27</v>
      </c>
      <c r="K97" s="19" t="s">
        <v>31</v>
      </c>
      <c r="L97" s="19" t="s">
        <v>32</v>
      </c>
      <c r="M97" s="8">
        <v>5</v>
      </c>
      <c r="N97" s="33">
        <f t="shared" si="8"/>
        <v>0</v>
      </c>
      <c r="O97" s="23">
        <f t="shared" si="9"/>
        <v>5.3931166347992346E-2</v>
      </c>
      <c r="P97" s="59">
        <f t="shared" si="10"/>
        <v>0.57346491228070184</v>
      </c>
      <c r="Q97" s="30">
        <f t="shared" si="11"/>
        <v>0</v>
      </c>
      <c r="R97" s="30">
        <f t="shared" si="12"/>
        <v>-1</v>
      </c>
      <c r="S97" s="12">
        <f t="shared" si="13"/>
        <v>0</v>
      </c>
      <c r="T97" s="30">
        <f t="shared" si="14"/>
        <v>0</v>
      </c>
      <c r="U97" s="9" t="str">
        <f t="shared" si="15"/>
        <v>25-34</v>
      </c>
    </row>
    <row r="98" spans="1:21">
      <c r="A98" t="s">
        <v>130</v>
      </c>
      <c r="B98" s="8">
        <v>4588</v>
      </c>
      <c r="C98" s="23">
        <v>0</v>
      </c>
      <c r="D98" s="19" t="s">
        <v>32</v>
      </c>
      <c r="E98" s="21">
        <v>18.396000000000001</v>
      </c>
      <c r="F98" s="21">
        <v>0.224</v>
      </c>
      <c r="G98" s="23">
        <v>6.7729999999999999E-2</v>
      </c>
      <c r="H98" s="26">
        <v>1</v>
      </c>
      <c r="I98" s="19" t="s">
        <v>34</v>
      </c>
      <c r="J98" s="8">
        <v>58</v>
      </c>
      <c r="K98" s="19" t="s">
        <v>22</v>
      </c>
      <c r="L98" s="19" t="s">
        <v>19</v>
      </c>
      <c r="M98" s="8">
        <v>1</v>
      </c>
      <c r="N98" s="33">
        <f t="shared" si="8"/>
        <v>4.4642857142857144</v>
      </c>
      <c r="O98" s="23">
        <f t="shared" si="9"/>
        <v>0</v>
      </c>
      <c r="P98" s="59">
        <f t="shared" si="10"/>
        <v>1.2176560121765601E-2</v>
      </c>
      <c r="Q98" s="30">
        <f t="shared" si="11"/>
        <v>0</v>
      </c>
      <c r="R98" s="30">
        <f t="shared" si="12"/>
        <v>0</v>
      </c>
      <c r="S98" s="12" t="e">
        <f t="shared" si="13"/>
        <v>#DIV/0!</v>
      </c>
      <c r="T98" s="30">
        <f t="shared" si="14"/>
        <v>0.30236607142857141</v>
      </c>
      <c r="U98" s="9" t="str">
        <f t="shared" si="15"/>
        <v>55+</v>
      </c>
    </row>
    <row r="99" spans="1:21">
      <c r="A99" t="s">
        <v>131</v>
      </c>
      <c r="B99" s="8">
        <v>5271</v>
      </c>
      <c r="C99" s="23">
        <v>0.19897999999999999</v>
      </c>
      <c r="D99" s="19" t="s">
        <v>15</v>
      </c>
      <c r="E99" s="21">
        <v>78.697999999999993</v>
      </c>
      <c r="F99" s="21">
        <v>8.7040000000000006</v>
      </c>
      <c r="G99" s="23">
        <v>0</v>
      </c>
      <c r="H99" s="26">
        <v>0</v>
      </c>
      <c r="I99" s="19" t="s">
        <v>21</v>
      </c>
      <c r="J99" s="8">
        <v>63</v>
      </c>
      <c r="K99" s="19" t="s">
        <v>31</v>
      </c>
      <c r="L99" s="19" t="s">
        <v>23</v>
      </c>
      <c r="M99" s="8">
        <v>5</v>
      </c>
      <c r="N99" s="33">
        <f t="shared" si="8"/>
        <v>0</v>
      </c>
      <c r="O99" s="23">
        <f t="shared" si="9"/>
        <v>2.2860753676470585E-2</v>
      </c>
      <c r="P99" s="59">
        <f t="shared" si="10"/>
        <v>0.11060001524816389</v>
      </c>
      <c r="Q99" s="30">
        <f t="shared" si="11"/>
        <v>0</v>
      </c>
      <c r="R99" s="30">
        <f t="shared" si="12"/>
        <v>-1</v>
      </c>
      <c r="S99" s="12">
        <f t="shared" si="13"/>
        <v>0</v>
      </c>
      <c r="T99" s="30">
        <f t="shared" si="14"/>
        <v>0</v>
      </c>
      <c r="U99" s="9" t="str">
        <f t="shared" si="15"/>
        <v>55+</v>
      </c>
    </row>
    <row r="100" spans="1:21">
      <c r="A100" t="s">
        <v>132</v>
      </c>
      <c r="B100" s="8">
        <v>4897</v>
      </c>
      <c r="C100" s="23">
        <v>9.0459999999999999E-2</v>
      </c>
      <c r="D100" s="19" t="s">
        <v>32</v>
      </c>
      <c r="E100" s="21">
        <v>75.11</v>
      </c>
      <c r="F100" s="21">
        <v>6.7560000000000002</v>
      </c>
      <c r="G100" s="23">
        <v>0.49680999999999997</v>
      </c>
      <c r="H100" s="26">
        <v>1</v>
      </c>
      <c r="I100" s="19" t="s">
        <v>29</v>
      </c>
      <c r="J100" s="8">
        <v>64</v>
      </c>
      <c r="K100" s="19" t="s">
        <v>31</v>
      </c>
      <c r="L100" s="19" t="s">
        <v>19</v>
      </c>
      <c r="M100" s="8">
        <v>4</v>
      </c>
      <c r="N100" s="33">
        <f t="shared" si="8"/>
        <v>0.14801657785671996</v>
      </c>
      <c r="O100" s="23">
        <f t="shared" si="9"/>
        <v>1.3389579632918886E-2</v>
      </c>
      <c r="P100" s="59">
        <f t="shared" si="10"/>
        <v>8.9948076154972717E-2</v>
      </c>
      <c r="Q100" s="30">
        <f t="shared" si="11"/>
        <v>9.0459999999999999E-2</v>
      </c>
      <c r="R100" s="30">
        <f t="shared" si="12"/>
        <v>4.4920406809639619</v>
      </c>
      <c r="S100" s="12">
        <f t="shared" si="13"/>
        <v>5.4920406809639619</v>
      </c>
      <c r="T100" s="30">
        <f t="shared" si="14"/>
        <v>7.3536116044997032E-2</v>
      </c>
      <c r="U100" s="9" t="str">
        <f t="shared" si="15"/>
        <v>55+</v>
      </c>
    </row>
    <row r="101" spans="1:21">
      <c r="A101" t="s">
        <v>133</v>
      </c>
      <c r="B101" s="8">
        <v>4975</v>
      </c>
      <c r="C101" s="23">
        <v>0.18124000000000001</v>
      </c>
      <c r="D101" s="19" t="s">
        <v>32</v>
      </c>
      <c r="E101" s="21">
        <v>48.579000000000001</v>
      </c>
      <c r="F101" s="21">
        <v>8.2029999999999994</v>
      </c>
      <c r="G101" s="23">
        <v>0</v>
      </c>
      <c r="H101" s="26">
        <v>0</v>
      </c>
      <c r="I101" s="19" t="s">
        <v>34</v>
      </c>
      <c r="J101" s="8">
        <v>65</v>
      </c>
      <c r="K101" s="19" t="s">
        <v>18</v>
      </c>
      <c r="L101" s="19" t="s">
        <v>32</v>
      </c>
      <c r="M101" s="8">
        <v>3</v>
      </c>
      <c r="N101" s="33">
        <f t="shared" si="8"/>
        <v>0</v>
      </c>
      <c r="O101" s="23">
        <f t="shared" si="9"/>
        <v>2.2094355723515788E-2</v>
      </c>
      <c r="P101" s="59">
        <f t="shared" si="10"/>
        <v>0.16885897198377897</v>
      </c>
      <c r="Q101" s="30">
        <f t="shared" si="11"/>
        <v>0</v>
      </c>
      <c r="R101" s="30">
        <f t="shared" si="12"/>
        <v>-1</v>
      </c>
      <c r="S101" s="12">
        <f t="shared" si="13"/>
        <v>0</v>
      </c>
      <c r="T101" s="30">
        <f t="shared" si="14"/>
        <v>0</v>
      </c>
      <c r="U101" s="9" t="str">
        <f t="shared" si="15"/>
        <v>55+</v>
      </c>
    </row>
    <row r="102" spans="1:21">
      <c r="A102" t="s">
        <v>134</v>
      </c>
      <c r="B102" s="8">
        <v>5534</v>
      </c>
      <c r="C102" s="23">
        <v>0</v>
      </c>
      <c r="D102" s="19" t="s">
        <v>32</v>
      </c>
      <c r="E102" s="21">
        <v>16.815999999999999</v>
      </c>
      <c r="F102" s="21">
        <v>7.7220000000000004</v>
      </c>
      <c r="G102" s="23">
        <v>0</v>
      </c>
      <c r="H102" s="26">
        <v>0</v>
      </c>
      <c r="I102" s="19" t="s">
        <v>26</v>
      </c>
      <c r="J102" s="8">
        <v>21</v>
      </c>
      <c r="K102" s="19" t="s">
        <v>37</v>
      </c>
      <c r="L102" s="19" t="s">
        <v>38</v>
      </c>
      <c r="M102" s="8">
        <v>5</v>
      </c>
      <c r="N102" s="33">
        <f t="shared" si="8"/>
        <v>0</v>
      </c>
      <c r="O102" s="23">
        <f t="shared" si="9"/>
        <v>0</v>
      </c>
      <c r="P102" s="59">
        <f t="shared" si="10"/>
        <v>0.45920551855375835</v>
      </c>
      <c r="Q102" s="30">
        <f t="shared" si="11"/>
        <v>0</v>
      </c>
      <c r="R102" s="30">
        <f t="shared" si="12"/>
        <v>0</v>
      </c>
      <c r="S102" s="12">
        <f t="shared" si="13"/>
        <v>0</v>
      </c>
      <c r="T102" s="30">
        <f t="shared" si="14"/>
        <v>0</v>
      </c>
      <c r="U102" s="9" t="str">
        <f t="shared" si="15"/>
        <v>18-24</v>
      </c>
    </row>
    <row r="103" spans="1:21">
      <c r="A103" t="s">
        <v>135</v>
      </c>
      <c r="B103" s="8">
        <v>5636</v>
      </c>
      <c r="C103" s="23">
        <v>0</v>
      </c>
      <c r="D103" s="19" t="s">
        <v>25</v>
      </c>
      <c r="E103" s="21">
        <v>21.103999999999999</v>
      </c>
      <c r="F103" s="21">
        <v>9.1310000000000002</v>
      </c>
      <c r="G103" s="23">
        <v>0</v>
      </c>
      <c r="H103" s="26">
        <v>0</v>
      </c>
      <c r="I103" s="19" t="s">
        <v>29</v>
      </c>
      <c r="J103" s="8">
        <v>28</v>
      </c>
      <c r="K103" s="19" t="s">
        <v>22</v>
      </c>
      <c r="L103" s="19" t="s">
        <v>45</v>
      </c>
      <c r="M103" s="8">
        <v>3</v>
      </c>
      <c r="N103" s="33">
        <f t="shared" si="8"/>
        <v>0</v>
      </c>
      <c r="O103" s="23">
        <f t="shared" si="9"/>
        <v>0</v>
      </c>
      <c r="P103" s="59">
        <f t="shared" si="10"/>
        <v>0.43266679302501898</v>
      </c>
      <c r="Q103" s="30">
        <f t="shared" si="11"/>
        <v>0</v>
      </c>
      <c r="R103" s="30">
        <f t="shared" si="12"/>
        <v>0</v>
      </c>
      <c r="S103" s="12">
        <f t="shared" si="13"/>
        <v>0</v>
      </c>
      <c r="T103" s="30">
        <f t="shared" si="14"/>
        <v>0</v>
      </c>
      <c r="U103" s="9" t="str">
        <f t="shared" si="15"/>
        <v>25-34</v>
      </c>
    </row>
    <row r="104" spans="1:21">
      <c r="A104" t="s">
        <v>136</v>
      </c>
      <c r="B104" s="8">
        <v>3643</v>
      </c>
      <c r="C104" s="23">
        <v>0.19671</v>
      </c>
      <c r="D104" s="19" t="s">
        <v>25</v>
      </c>
      <c r="E104" s="21">
        <v>32.94</v>
      </c>
      <c r="F104" s="21">
        <v>4.0750000000000002</v>
      </c>
      <c r="G104" s="23">
        <v>0.33706999999999998</v>
      </c>
      <c r="H104" s="26">
        <v>1</v>
      </c>
      <c r="I104" s="19" t="s">
        <v>17</v>
      </c>
      <c r="J104" s="8">
        <v>33</v>
      </c>
      <c r="K104" s="19" t="s">
        <v>18</v>
      </c>
      <c r="L104" s="19" t="s">
        <v>45</v>
      </c>
      <c r="M104" s="8" t="s">
        <v>1065</v>
      </c>
      <c r="N104" s="33">
        <f t="shared" si="8"/>
        <v>0.24539877300613497</v>
      </c>
      <c r="O104" s="23">
        <f t="shared" si="9"/>
        <v>4.8272392638036808E-2</v>
      </c>
      <c r="P104" s="59">
        <f t="shared" si="10"/>
        <v>0.12370977534911963</v>
      </c>
      <c r="Q104" s="30">
        <f t="shared" si="11"/>
        <v>0.19671</v>
      </c>
      <c r="R104" s="30">
        <f t="shared" si="12"/>
        <v>0.71353769508413389</v>
      </c>
      <c r="S104" s="12">
        <f t="shared" si="13"/>
        <v>1.7135376950841339</v>
      </c>
      <c r="T104" s="30">
        <f t="shared" si="14"/>
        <v>8.271656441717791E-2</v>
      </c>
      <c r="U104" s="9" t="str">
        <f t="shared" si="15"/>
        <v>25-34</v>
      </c>
    </row>
    <row r="105" spans="1:21">
      <c r="A105" t="s">
        <v>137</v>
      </c>
      <c r="B105" s="8">
        <v>1223</v>
      </c>
      <c r="C105" s="23">
        <v>5.1619999999999999E-2</v>
      </c>
      <c r="D105" s="19" t="s">
        <v>45</v>
      </c>
      <c r="E105" s="21">
        <v>6.1079999999999997</v>
      </c>
      <c r="F105" s="21">
        <v>4.07</v>
      </c>
      <c r="G105" s="23">
        <v>0</v>
      </c>
      <c r="H105" s="26">
        <v>0</v>
      </c>
      <c r="I105" s="19" t="s">
        <v>17</v>
      </c>
      <c r="J105" s="8">
        <v>32</v>
      </c>
      <c r="K105" s="19" t="s">
        <v>31</v>
      </c>
      <c r="L105" s="19" t="s">
        <v>32</v>
      </c>
      <c r="M105" s="8">
        <v>3</v>
      </c>
      <c r="N105" s="33">
        <f t="shared" si="8"/>
        <v>0</v>
      </c>
      <c r="O105" s="23">
        <f t="shared" si="9"/>
        <v>1.2683046683046682E-2</v>
      </c>
      <c r="P105" s="59">
        <f t="shared" si="10"/>
        <v>0.66633922724296013</v>
      </c>
      <c r="Q105" s="30">
        <f t="shared" si="11"/>
        <v>0</v>
      </c>
      <c r="R105" s="30">
        <f t="shared" si="12"/>
        <v>-1</v>
      </c>
      <c r="S105" s="12">
        <f t="shared" si="13"/>
        <v>0</v>
      </c>
      <c r="T105" s="30">
        <f t="shared" si="14"/>
        <v>0</v>
      </c>
      <c r="U105" s="9" t="str">
        <f t="shared" si="15"/>
        <v>25-34</v>
      </c>
    </row>
    <row r="106" spans="1:21">
      <c r="A106" t="s">
        <v>138</v>
      </c>
      <c r="B106" s="8">
        <v>4191</v>
      </c>
      <c r="C106" s="23">
        <v>9.7269999999999995E-2</v>
      </c>
      <c r="D106" s="19" t="s">
        <v>28</v>
      </c>
      <c r="E106" s="21">
        <v>74.138000000000005</v>
      </c>
      <c r="F106" s="21">
        <v>0.51300000000000001</v>
      </c>
      <c r="G106" s="23">
        <v>0</v>
      </c>
      <c r="H106" s="26">
        <v>0</v>
      </c>
      <c r="I106" s="19" t="s">
        <v>1067</v>
      </c>
      <c r="J106" s="8">
        <v>65</v>
      </c>
      <c r="K106" s="19" t="s">
        <v>18</v>
      </c>
      <c r="L106" s="19" t="s">
        <v>32</v>
      </c>
      <c r="M106" s="8">
        <v>5</v>
      </c>
      <c r="N106" s="33">
        <f t="shared" si="8"/>
        <v>0</v>
      </c>
      <c r="O106" s="23">
        <f t="shared" si="9"/>
        <v>0.1896101364522417</v>
      </c>
      <c r="P106" s="59">
        <f t="shared" si="10"/>
        <v>6.9195284469502818E-3</v>
      </c>
      <c r="Q106" s="30">
        <f t="shared" si="11"/>
        <v>0</v>
      </c>
      <c r="R106" s="30">
        <f t="shared" si="12"/>
        <v>-1</v>
      </c>
      <c r="S106" s="12">
        <f t="shared" si="13"/>
        <v>0</v>
      </c>
      <c r="T106" s="30">
        <f t="shared" si="14"/>
        <v>0</v>
      </c>
      <c r="U106" s="9" t="str">
        <f t="shared" si="15"/>
        <v>55+</v>
      </c>
    </row>
    <row r="107" spans="1:21">
      <c r="A107" t="s">
        <v>139</v>
      </c>
      <c r="B107" s="8">
        <v>1889</v>
      </c>
      <c r="C107" s="23">
        <v>0.17538000000000001</v>
      </c>
      <c r="D107" s="19" t="s">
        <v>15</v>
      </c>
      <c r="E107" s="21">
        <v>43.067999999999998</v>
      </c>
      <c r="F107" s="21">
        <v>0</v>
      </c>
      <c r="G107" s="23">
        <v>0</v>
      </c>
      <c r="H107" s="26">
        <v>0</v>
      </c>
      <c r="I107" s="19" t="s">
        <v>21</v>
      </c>
      <c r="J107" s="8">
        <v>55</v>
      </c>
      <c r="K107" s="19" t="s">
        <v>31</v>
      </c>
      <c r="L107" s="19" t="s">
        <v>19</v>
      </c>
      <c r="M107" s="8">
        <v>4</v>
      </c>
      <c r="N107" s="33">
        <f t="shared" si="8"/>
        <v>0</v>
      </c>
      <c r="O107" s="23">
        <f t="shared" si="9"/>
        <v>0</v>
      </c>
      <c r="P107" s="59">
        <f t="shared" si="10"/>
        <v>0</v>
      </c>
      <c r="Q107" s="30">
        <f t="shared" si="11"/>
        <v>0</v>
      </c>
      <c r="R107" s="30">
        <f t="shared" si="12"/>
        <v>-1</v>
      </c>
      <c r="S107" s="12">
        <f t="shared" si="13"/>
        <v>0</v>
      </c>
      <c r="T107" s="30">
        <f t="shared" si="14"/>
        <v>0</v>
      </c>
      <c r="U107" s="9" t="str">
        <f t="shared" si="15"/>
        <v>55+</v>
      </c>
    </row>
    <row r="108" spans="1:21">
      <c r="A108" t="s">
        <v>140</v>
      </c>
      <c r="B108" s="8">
        <v>4021</v>
      </c>
      <c r="C108" s="23">
        <v>0.14115</v>
      </c>
      <c r="D108" s="19" t="s">
        <v>28</v>
      </c>
      <c r="E108" s="21">
        <v>43.73</v>
      </c>
      <c r="F108" s="21">
        <v>0.46400000000000002</v>
      </c>
      <c r="G108" s="23">
        <v>0.16256000000000001</v>
      </c>
      <c r="H108" s="26">
        <v>1</v>
      </c>
      <c r="I108" s="19" t="s">
        <v>21</v>
      </c>
      <c r="J108" s="8">
        <v>65</v>
      </c>
      <c r="K108" s="19" t="s">
        <v>31</v>
      </c>
      <c r="L108" s="19" t="s">
        <v>45</v>
      </c>
      <c r="M108" s="8" t="s">
        <v>1065</v>
      </c>
      <c r="N108" s="33">
        <f t="shared" si="8"/>
        <v>2.1551724137931032</v>
      </c>
      <c r="O108" s="23">
        <f t="shared" si="9"/>
        <v>0.30420258620689655</v>
      </c>
      <c r="P108" s="59">
        <f t="shared" si="10"/>
        <v>1.0610564829636406E-2</v>
      </c>
      <c r="Q108" s="30">
        <f t="shared" si="11"/>
        <v>0.14115</v>
      </c>
      <c r="R108" s="30">
        <f t="shared" si="12"/>
        <v>0.15168260715550841</v>
      </c>
      <c r="S108" s="12">
        <f t="shared" si="13"/>
        <v>1.1516826071555084</v>
      </c>
      <c r="T108" s="30">
        <f t="shared" si="14"/>
        <v>0.35034482758620689</v>
      </c>
      <c r="U108" s="9" t="str">
        <f t="shared" si="15"/>
        <v>55+</v>
      </c>
    </row>
    <row r="109" spans="1:21">
      <c r="A109" t="s">
        <v>141</v>
      </c>
      <c r="B109" s="8">
        <v>7628</v>
      </c>
      <c r="C109" s="23">
        <v>0</v>
      </c>
      <c r="D109" s="19" t="s">
        <v>32</v>
      </c>
      <c r="E109" s="21">
        <v>62.168999999999997</v>
      </c>
      <c r="F109" s="21">
        <v>4.4029999999999996</v>
      </c>
      <c r="G109" s="23">
        <v>0</v>
      </c>
      <c r="H109" s="26">
        <v>0</v>
      </c>
      <c r="I109" s="19" t="s">
        <v>34</v>
      </c>
      <c r="J109" s="8">
        <v>59</v>
      </c>
      <c r="K109" s="19" t="s">
        <v>31</v>
      </c>
      <c r="L109" s="19" t="s">
        <v>19</v>
      </c>
      <c r="M109" s="8">
        <v>5</v>
      </c>
      <c r="N109" s="33">
        <f t="shared" si="8"/>
        <v>0</v>
      </c>
      <c r="O109" s="23">
        <f t="shared" si="9"/>
        <v>0</v>
      </c>
      <c r="P109" s="59">
        <f t="shared" si="10"/>
        <v>7.0823079026524474E-2</v>
      </c>
      <c r="Q109" s="30">
        <f t="shared" si="11"/>
        <v>0</v>
      </c>
      <c r="R109" s="30">
        <f t="shared" si="12"/>
        <v>0</v>
      </c>
      <c r="S109" s="12">
        <f t="shared" si="13"/>
        <v>0</v>
      </c>
      <c r="T109" s="30">
        <f t="shared" si="14"/>
        <v>0</v>
      </c>
      <c r="U109" s="9" t="str">
        <f t="shared" si="15"/>
        <v>55+</v>
      </c>
    </row>
    <row r="110" spans="1:21">
      <c r="A110" t="s">
        <v>142</v>
      </c>
      <c r="B110" s="8">
        <v>3706</v>
      </c>
      <c r="C110" s="23">
        <v>3.7010000000000001E-2</v>
      </c>
      <c r="D110" s="19" t="s">
        <v>45</v>
      </c>
      <c r="E110" s="21">
        <v>79.588999999999999</v>
      </c>
      <c r="F110" s="21">
        <v>4.0119999999999996</v>
      </c>
      <c r="G110" s="23">
        <v>0</v>
      </c>
      <c r="H110" s="26">
        <v>0</v>
      </c>
      <c r="I110" s="19" t="s">
        <v>21</v>
      </c>
      <c r="J110" s="8">
        <v>41</v>
      </c>
      <c r="K110" s="19" t="s">
        <v>37</v>
      </c>
      <c r="L110" s="19" t="s">
        <v>45</v>
      </c>
      <c r="M110" s="8">
        <v>5</v>
      </c>
      <c r="N110" s="33">
        <f t="shared" si="8"/>
        <v>0</v>
      </c>
      <c r="O110" s="23">
        <f t="shared" si="9"/>
        <v>9.2248255234297118E-3</v>
      </c>
      <c r="P110" s="59">
        <f t="shared" si="10"/>
        <v>5.0408976114789728E-2</v>
      </c>
      <c r="Q110" s="30">
        <f t="shared" si="11"/>
        <v>0</v>
      </c>
      <c r="R110" s="30">
        <f t="shared" si="12"/>
        <v>-1</v>
      </c>
      <c r="S110" s="12">
        <f t="shared" si="13"/>
        <v>0</v>
      </c>
      <c r="T110" s="30">
        <f t="shared" si="14"/>
        <v>0</v>
      </c>
      <c r="U110" s="9" t="str">
        <f t="shared" si="15"/>
        <v>35-44</v>
      </c>
    </row>
    <row r="111" spans="1:21">
      <c r="A111" t="s">
        <v>143</v>
      </c>
      <c r="B111" s="8">
        <v>4110</v>
      </c>
      <c r="C111" s="23">
        <v>0</v>
      </c>
      <c r="D111" s="19" t="s">
        <v>45</v>
      </c>
      <c r="E111" s="21">
        <v>24.378</v>
      </c>
      <c r="F111" s="21">
        <v>5.2569999999999997</v>
      </c>
      <c r="G111" s="23">
        <v>0</v>
      </c>
      <c r="H111" s="26">
        <v>0</v>
      </c>
      <c r="I111" s="19" t="s">
        <v>21</v>
      </c>
      <c r="J111" s="8">
        <v>65</v>
      </c>
      <c r="K111" s="19" t="s">
        <v>31</v>
      </c>
      <c r="L111" s="19" t="s">
        <v>38</v>
      </c>
      <c r="M111" s="8" t="s">
        <v>1065</v>
      </c>
      <c r="N111" s="33">
        <f t="shared" si="8"/>
        <v>0</v>
      </c>
      <c r="O111" s="23">
        <f t="shared" si="9"/>
        <v>0</v>
      </c>
      <c r="P111" s="59">
        <f t="shared" si="10"/>
        <v>0.21564525391746656</v>
      </c>
      <c r="Q111" s="30">
        <f t="shared" si="11"/>
        <v>0</v>
      </c>
      <c r="R111" s="30">
        <f t="shared" si="12"/>
        <v>0</v>
      </c>
      <c r="S111" s="12">
        <f t="shared" si="13"/>
        <v>0</v>
      </c>
      <c r="T111" s="30">
        <f t="shared" si="14"/>
        <v>0</v>
      </c>
      <c r="U111" s="9" t="str">
        <f t="shared" si="15"/>
        <v>55+</v>
      </c>
    </row>
    <row r="112" spans="1:21">
      <c r="A112" t="s">
        <v>144</v>
      </c>
      <c r="B112" s="8">
        <v>1720</v>
      </c>
      <c r="C112" s="23">
        <v>0.14901</v>
      </c>
      <c r="D112" s="19" t="s">
        <v>28</v>
      </c>
      <c r="E112" s="21">
        <v>44.683</v>
      </c>
      <c r="F112" s="21">
        <v>4.383</v>
      </c>
      <c r="G112" s="23">
        <v>0</v>
      </c>
      <c r="H112" s="26">
        <v>0</v>
      </c>
      <c r="I112" s="19" t="s">
        <v>21</v>
      </c>
      <c r="J112" s="8">
        <v>64</v>
      </c>
      <c r="K112" s="19" t="s">
        <v>31</v>
      </c>
      <c r="L112" s="19" t="s">
        <v>38</v>
      </c>
      <c r="M112" s="8">
        <v>1</v>
      </c>
      <c r="N112" s="33">
        <f t="shared" si="8"/>
        <v>0</v>
      </c>
      <c r="O112" s="23">
        <f t="shared" si="9"/>
        <v>3.3997262149212872E-2</v>
      </c>
      <c r="P112" s="59">
        <f t="shared" si="10"/>
        <v>9.8090996575878969E-2</v>
      </c>
      <c r="Q112" s="30">
        <f t="shared" si="11"/>
        <v>0</v>
      </c>
      <c r="R112" s="30">
        <f t="shared" si="12"/>
        <v>-1</v>
      </c>
      <c r="S112" s="12">
        <f t="shared" si="13"/>
        <v>0</v>
      </c>
      <c r="T112" s="30">
        <f t="shared" si="14"/>
        <v>0</v>
      </c>
      <c r="U112" s="9" t="str">
        <f t="shared" si="15"/>
        <v>55+</v>
      </c>
    </row>
    <row r="113" spans="1:21">
      <c r="A113" t="s">
        <v>145</v>
      </c>
      <c r="B113" s="8">
        <v>4624</v>
      </c>
      <c r="C113" s="23">
        <v>2.383E-2</v>
      </c>
      <c r="D113" s="19" t="s">
        <v>15</v>
      </c>
      <c r="E113" s="21">
        <v>76.795000000000002</v>
      </c>
      <c r="F113" s="21">
        <v>3.8180000000000001</v>
      </c>
      <c r="G113" s="23">
        <v>0.18884000000000001</v>
      </c>
      <c r="H113" s="26">
        <v>1</v>
      </c>
      <c r="I113" s="19" t="s">
        <v>34</v>
      </c>
      <c r="J113" s="8">
        <v>31</v>
      </c>
      <c r="K113" s="19" t="s">
        <v>31</v>
      </c>
      <c r="L113" s="19" t="s">
        <v>23</v>
      </c>
      <c r="M113" s="8">
        <v>4</v>
      </c>
      <c r="N113" s="33">
        <f t="shared" si="8"/>
        <v>0.26191723415400731</v>
      </c>
      <c r="O113" s="23">
        <f t="shared" si="9"/>
        <v>6.2414876898899945E-3</v>
      </c>
      <c r="P113" s="59">
        <f t="shared" si="10"/>
        <v>4.97167784360961E-2</v>
      </c>
      <c r="Q113" s="30">
        <f t="shared" si="11"/>
        <v>2.383E-2</v>
      </c>
      <c r="R113" s="30">
        <f t="shared" si="12"/>
        <v>6.9244649601342854</v>
      </c>
      <c r="S113" s="12">
        <f t="shared" si="13"/>
        <v>7.9244649601342845</v>
      </c>
      <c r="T113" s="30">
        <f t="shared" si="14"/>
        <v>4.9460450497642749E-2</v>
      </c>
      <c r="U113" s="9" t="str">
        <f t="shared" si="15"/>
        <v>25-34</v>
      </c>
    </row>
    <row r="114" spans="1:21">
      <c r="A114" t="s">
        <v>146</v>
      </c>
      <c r="B114" s="8">
        <v>1553</v>
      </c>
      <c r="C114" s="23">
        <v>7.8600000000000007E-3</v>
      </c>
      <c r="D114" s="19" t="s">
        <v>15</v>
      </c>
      <c r="E114" s="21">
        <v>17.779</v>
      </c>
      <c r="F114" s="21">
        <v>8.4700000000000006</v>
      </c>
      <c r="G114" s="23">
        <v>0</v>
      </c>
      <c r="H114" s="26">
        <v>0</v>
      </c>
      <c r="I114" s="19" t="s">
        <v>21</v>
      </c>
      <c r="J114" s="8">
        <v>41</v>
      </c>
      <c r="K114" s="19" t="s">
        <v>18</v>
      </c>
      <c r="L114" s="19" t="s">
        <v>45</v>
      </c>
      <c r="M114" s="8">
        <v>4</v>
      </c>
      <c r="N114" s="33">
        <f t="shared" si="8"/>
        <v>0</v>
      </c>
      <c r="O114" s="23">
        <f t="shared" si="9"/>
        <v>9.2798110979929165E-4</v>
      </c>
      <c r="P114" s="59">
        <f t="shared" si="10"/>
        <v>0.47640474717363185</v>
      </c>
      <c r="Q114" s="30">
        <f t="shared" si="11"/>
        <v>0</v>
      </c>
      <c r="R114" s="30">
        <f t="shared" si="12"/>
        <v>-1</v>
      </c>
      <c r="S114" s="12">
        <f t="shared" si="13"/>
        <v>0</v>
      </c>
      <c r="T114" s="30">
        <f t="shared" si="14"/>
        <v>0</v>
      </c>
      <c r="U114" s="9" t="str">
        <f t="shared" si="15"/>
        <v>35-44</v>
      </c>
    </row>
    <row r="115" spans="1:21">
      <c r="A115" t="s">
        <v>147</v>
      </c>
      <c r="B115" s="8">
        <v>6799</v>
      </c>
      <c r="C115" s="23">
        <v>0.11044</v>
      </c>
      <c r="D115" s="19" t="s">
        <v>40</v>
      </c>
      <c r="E115" s="21">
        <v>90.061000000000007</v>
      </c>
      <c r="F115" s="21">
        <v>0</v>
      </c>
      <c r="G115" s="23">
        <v>0</v>
      </c>
      <c r="H115" s="26">
        <v>0</v>
      </c>
      <c r="I115" s="19" t="s">
        <v>26</v>
      </c>
      <c r="J115" s="8">
        <v>32</v>
      </c>
      <c r="K115" s="19" t="s">
        <v>18</v>
      </c>
      <c r="L115" s="19" t="s">
        <v>45</v>
      </c>
      <c r="M115" s="8">
        <v>3</v>
      </c>
      <c r="N115" s="33">
        <f t="shared" si="8"/>
        <v>0</v>
      </c>
      <c r="O115" s="23">
        <f t="shared" si="9"/>
        <v>0</v>
      </c>
      <c r="P115" s="59">
        <f t="shared" si="10"/>
        <v>0</v>
      </c>
      <c r="Q115" s="30">
        <f t="shared" si="11"/>
        <v>0</v>
      </c>
      <c r="R115" s="30">
        <f t="shared" si="12"/>
        <v>-1</v>
      </c>
      <c r="S115" s="12">
        <f t="shared" si="13"/>
        <v>0</v>
      </c>
      <c r="T115" s="30">
        <f t="shared" si="14"/>
        <v>0</v>
      </c>
      <c r="U115" s="9" t="str">
        <f t="shared" si="15"/>
        <v>25-34</v>
      </c>
    </row>
    <row r="116" spans="1:21">
      <c r="A116" t="s">
        <v>148</v>
      </c>
      <c r="B116" s="8">
        <v>9919</v>
      </c>
      <c r="C116" s="23">
        <v>8.3339999999999997E-2</v>
      </c>
      <c r="D116" s="19" t="s">
        <v>15</v>
      </c>
      <c r="E116" s="21">
        <v>16.512</v>
      </c>
      <c r="F116" s="21">
        <v>9.3680000000000003</v>
      </c>
      <c r="G116" s="23">
        <v>0.18431</v>
      </c>
      <c r="H116" s="26">
        <v>1</v>
      </c>
      <c r="I116" s="19" t="s">
        <v>34</v>
      </c>
      <c r="J116" s="8">
        <v>60</v>
      </c>
      <c r="K116" s="19" t="s">
        <v>22</v>
      </c>
      <c r="L116" s="19" t="s">
        <v>32</v>
      </c>
      <c r="M116" s="8">
        <v>5</v>
      </c>
      <c r="N116" s="33">
        <f t="shared" si="8"/>
        <v>0.1067463706233988</v>
      </c>
      <c r="O116" s="23">
        <f t="shared" si="9"/>
        <v>8.8962425277540561E-3</v>
      </c>
      <c r="P116" s="59">
        <f t="shared" si="10"/>
        <v>0.56734496124031009</v>
      </c>
      <c r="Q116" s="30">
        <f t="shared" si="11"/>
        <v>8.3339999999999997E-2</v>
      </c>
      <c r="R116" s="30">
        <f t="shared" si="12"/>
        <v>1.2115430765538757</v>
      </c>
      <c r="S116" s="12">
        <f t="shared" si="13"/>
        <v>2.2115430765538759</v>
      </c>
      <c r="T116" s="30">
        <f t="shared" si="14"/>
        <v>1.9674423569598632E-2</v>
      </c>
      <c r="U116" s="9" t="str">
        <f t="shared" si="15"/>
        <v>55+</v>
      </c>
    </row>
    <row r="117" spans="1:21">
      <c r="A117" t="s">
        <v>149</v>
      </c>
      <c r="B117" s="8">
        <v>9924</v>
      </c>
      <c r="C117" s="23">
        <v>4.1119999999999997E-2</v>
      </c>
      <c r="D117" s="19" t="s">
        <v>40</v>
      </c>
      <c r="E117" s="21">
        <v>19.559999999999999</v>
      </c>
      <c r="F117" s="21">
        <v>7.9930000000000003</v>
      </c>
      <c r="G117" s="23">
        <v>0</v>
      </c>
      <c r="H117" s="26">
        <v>0</v>
      </c>
      <c r="I117" s="19" t="s">
        <v>1067</v>
      </c>
      <c r="J117" s="8">
        <v>41</v>
      </c>
      <c r="K117" s="19" t="s">
        <v>18</v>
      </c>
      <c r="L117" s="19" t="s">
        <v>38</v>
      </c>
      <c r="M117" s="8">
        <v>3</v>
      </c>
      <c r="N117" s="33">
        <f t="shared" si="8"/>
        <v>0</v>
      </c>
      <c r="O117" s="23">
        <f t="shared" si="9"/>
        <v>5.1445014387589139E-3</v>
      </c>
      <c r="P117" s="59">
        <f t="shared" si="10"/>
        <v>0.40864008179959105</v>
      </c>
      <c r="Q117" s="30">
        <f t="shared" si="11"/>
        <v>0</v>
      </c>
      <c r="R117" s="30">
        <f t="shared" si="12"/>
        <v>-1</v>
      </c>
      <c r="S117" s="12">
        <f t="shared" si="13"/>
        <v>0</v>
      </c>
      <c r="T117" s="30">
        <f t="shared" si="14"/>
        <v>0</v>
      </c>
      <c r="U117" s="9" t="str">
        <f t="shared" si="15"/>
        <v>35-44</v>
      </c>
    </row>
    <row r="118" spans="1:21">
      <c r="A118" t="s">
        <v>150</v>
      </c>
      <c r="B118" s="8">
        <v>5979</v>
      </c>
      <c r="C118" s="23">
        <v>0.16542999999999999</v>
      </c>
      <c r="D118" s="19" t="s">
        <v>25</v>
      </c>
      <c r="E118" s="21">
        <v>40.396000000000001</v>
      </c>
      <c r="F118" s="21">
        <v>0</v>
      </c>
      <c r="G118" s="23">
        <v>0</v>
      </c>
      <c r="H118" s="26">
        <v>0</v>
      </c>
      <c r="I118" s="19" t="s">
        <v>26</v>
      </c>
      <c r="J118" s="8">
        <v>63</v>
      </c>
      <c r="K118" s="19" t="s">
        <v>31</v>
      </c>
      <c r="L118" s="19" t="s">
        <v>19</v>
      </c>
      <c r="M118" s="8">
        <v>1</v>
      </c>
      <c r="N118" s="33">
        <f t="shared" si="8"/>
        <v>0</v>
      </c>
      <c r="O118" s="23">
        <f t="shared" si="9"/>
        <v>0</v>
      </c>
      <c r="P118" s="59">
        <f t="shared" si="10"/>
        <v>0</v>
      </c>
      <c r="Q118" s="30">
        <f t="shared" si="11"/>
        <v>0</v>
      </c>
      <c r="R118" s="30">
        <f t="shared" si="12"/>
        <v>-1</v>
      </c>
      <c r="S118" s="12">
        <f t="shared" si="13"/>
        <v>0</v>
      </c>
      <c r="T118" s="30">
        <f t="shared" si="14"/>
        <v>0</v>
      </c>
      <c r="U118" s="9" t="str">
        <f t="shared" si="15"/>
        <v>55+</v>
      </c>
    </row>
    <row r="119" spans="1:21">
      <c r="A119" t="s">
        <v>151</v>
      </c>
      <c r="B119" s="8">
        <v>4760</v>
      </c>
      <c r="C119" s="23">
        <v>4.36E-2</v>
      </c>
      <c r="D119" s="19" t="s">
        <v>45</v>
      </c>
      <c r="E119" s="21">
        <v>21.367000000000001</v>
      </c>
      <c r="F119" s="21">
        <v>8.0449999999999999</v>
      </c>
      <c r="G119" s="23">
        <v>0</v>
      </c>
      <c r="H119" s="26">
        <v>0</v>
      </c>
      <c r="I119" s="19" t="s">
        <v>34</v>
      </c>
      <c r="J119" s="8">
        <v>43</v>
      </c>
      <c r="K119" s="19" t="s">
        <v>31</v>
      </c>
      <c r="L119" s="19" t="s">
        <v>45</v>
      </c>
      <c r="M119" s="8" t="s">
        <v>1065</v>
      </c>
      <c r="N119" s="33">
        <f t="shared" si="8"/>
        <v>0</v>
      </c>
      <c r="O119" s="23">
        <f t="shared" si="9"/>
        <v>5.4195152268489743E-3</v>
      </c>
      <c r="P119" s="59">
        <f t="shared" si="10"/>
        <v>0.37651518697056208</v>
      </c>
      <c r="Q119" s="30">
        <f t="shared" si="11"/>
        <v>0</v>
      </c>
      <c r="R119" s="30">
        <f t="shared" si="12"/>
        <v>-1</v>
      </c>
      <c r="S119" s="12">
        <f t="shared" si="13"/>
        <v>0</v>
      </c>
      <c r="T119" s="30">
        <f t="shared" si="14"/>
        <v>0</v>
      </c>
      <c r="U119" s="9" t="str">
        <f t="shared" si="15"/>
        <v>35-44</v>
      </c>
    </row>
    <row r="120" spans="1:21">
      <c r="A120" t="s">
        <v>152</v>
      </c>
      <c r="B120" s="8">
        <v>5079</v>
      </c>
      <c r="C120" s="23">
        <v>3.1179999999999999E-2</v>
      </c>
      <c r="D120" s="19" t="s">
        <v>28</v>
      </c>
      <c r="E120" s="21">
        <v>50.914999999999999</v>
      </c>
      <c r="F120" s="21">
        <v>6.7869999999999999</v>
      </c>
      <c r="G120" s="23">
        <v>0.18306</v>
      </c>
      <c r="H120" s="26">
        <v>1</v>
      </c>
      <c r="I120" s="19" t="s">
        <v>21</v>
      </c>
      <c r="J120" s="8">
        <v>20</v>
      </c>
      <c r="K120" s="19" t="s">
        <v>22</v>
      </c>
      <c r="L120" s="19" t="s">
        <v>45</v>
      </c>
      <c r="M120" s="8">
        <v>3</v>
      </c>
      <c r="N120" s="33">
        <f t="shared" si="8"/>
        <v>0.14734050390452336</v>
      </c>
      <c r="O120" s="23">
        <f t="shared" si="9"/>
        <v>4.5940769117430377E-3</v>
      </c>
      <c r="P120" s="59">
        <f t="shared" si="10"/>
        <v>0.13330059903761171</v>
      </c>
      <c r="Q120" s="30">
        <f t="shared" si="11"/>
        <v>3.1179999999999999E-2</v>
      </c>
      <c r="R120" s="30">
        <f t="shared" si="12"/>
        <v>4.8710711994868507</v>
      </c>
      <c r="S120" s="12">
        <f t="shared" si="13"/>
        <v>5.8710711994868507</v>
      </c>
      <c r="T120" s="30">
        <f t="shared" si="14"/>
        <v>2.6972152644762045E-2</v>
      </c>
      <c r="U120" s="9" t="str">
        <f t="shared" si="15"/>
        <v>18-24</v>
      </c>
    </row>
    <row r="121" spans="1:21">
      <c r="A121" t="s">
        <v>153</v>
      </c>
      <c r="B121" s="8">
        <v>4015</v>
      </c>
      <c r="C121" s="23">
        <v>0</v>
      </c>
      <c r="D121" s="19" t="s">
        <v>40</v>
      </c>
      <c r="E121" s="21">
        <v>44.328000000000003</v>
      </c>
      <c r="F121" s="21">
        <v>6.9349999999999996</v>
      </c>
      <c r="G121" s="23">
        <v>0</v>
      </c>
      <c r="H121" s="26">
        <v>0</v>
      </c>
      <c r="I121" s="19" t="s">
        <v>17</v>
      </c>
      <c r="J121" s="8">
        <v>29</v>
      </c>
      <c r="K121" s="19" t="s">
        <v>22</v>
      </c>
      <c r="L121" s="19" t="s">
        <v>23</v>
      </c>
      <c r="M121" s="8">
        <v>2</v>
      </c>
      <c r="N121" s="33">
        <f t="shared" si="8"/>
        <v>0</v>
      </c>
      <c r="O121" s="23">
        <f t="shared" si="9"/>
        <v>0</v>
      </c>
      <c r="P121" s="59">
        <f t="shared" si="10"/>
        <v>0.15644739216747877</v>
      </c>
      <c r="Q121" s="30">
        <f t="shared" si="11"/>
        <v>0</v>
      </c>
      <c r="R121" s="30">
        <f t="shared" si="12"/>
        <v>0</v>
      </c>
      <c r="S121" s="12">
        <f t="shared" si="13"/>
        <v>0</v>
      </c>
      <c r="T121" s="30">
        <f t="shared" si="14"/>
        <v>0</v>
      </c>
      <c r="U121" s="9" t="str">
        <f t="shared" si="15"/>
        <v>25-34</v>
      </c>
    </row>
    <row r="122" spans="1:21">
      <c r="A122" t="s">
        <v>154</v>
      </c>
      <c r="B122" s="8">
        <v>7340</v>
      </c>
      <c r="C122" s="23">
        <v>6.3079999999999997E-2</v>
      </c>
      <c r="D122" s="19" t="s">
        <v>45</v>
      </c>
      <c r="E122" s="21">
        <v>32.024999999999999</v>
      </c>
      <c r="F122" s="21">
        <v>8.9139999999999997</v>
      </c>
      <c r="G122" s="23">
        <v>0</v>
      </c>
      <c r="H122" s="26">
        <v>0</v>
      </c>
      <c r="I122" s="19" t="s">
        <v>29</v>
      </c>
      <c r="J122" s="8">
        <v>35</v>
      </c>
      <c r="K122" s="19" t="s">
        <v>31</v>
      </c>
      <c r="L122" s="19" t="s">
        <v>45</v>
      </c>
      <c r="M122" s="8">
        <v>4</v>
      </c>
      <c r="N122" s="33">
        <f t="shared" si="8"/>
        <v>0</v>
      </c>
      <c r="O122" s="23">
        <f t="shared" si="9"/>
        <v>7.0765088624635403E-3</v>
      </c>
      <c r="P122" s="59">
        <f t="shared" si="10"/>
        <v>0.2783450429352069</v>
      </c>
      <c r="Q122" s="30">
        <f t="shared" si="11"/>
        <v>0</v>
      </c>
      <c r="R122" s="30">
        <f t="shared" si="12"/>
        <v>-1</v>
      </c>
      <c r="S122" s="12">
        <f t="shared" si="13"/>
        <v>0</v>
      </c>
      <c r="T122" s="30">
        <f t="shared" si="14"/>
        <v>0</v>
      </c>
      <c r="U122" s="9" t="str">
        <f t="shared" si="15"/>
        <v>35-44</v>
      </c>
    </row>
    <row r="123" spans="1:21">
      <c r="A123" t="s">
        <v>155</v>
      </c>
      <c r="B123" s="8">
        <v>1357</v>
      </c>
      <c r="C123" s="23">
        <v>0.10808</v>
      </c>
      <c r="D123" s="19" t="s">
        <v>28</v>
      </c>
      <c r="E123" s="21">
        <v>41.119</v>
      </c>
      <c r="F123" s="21">
        <v>2.6850000000000001</v>
      </c>
      <c r="G123" s="23">
        <v>0</v>
      </c>
      <c r="H123" s="26">
        <v>0</v>
      </c>
      <c r="I123" s="19" t="s">
        <v>17</v>
      </c>
      <c r="J123" s="8">
        <v>40</v>
      </c>
      <c r="K123" s="19" t="s">
        <v>18</v>
      </c>
      <c r="L123" s="19" t="s">
        <v>45</v>
      </c>
      <c r="M123" s="8">
        <v>5</v>
      </c>
      <c r="N123" s="33">
        <f t="shared" si="8"/>
        <v>0</v>
      </c>
      <c r="O123" s="23">
        <f t="shared" si="9"/>
        <v>4.0253258845437616E-2</v>
      </c>
      <c r="P123" s="59">
        <f t="shared" si="10"/>
        <v>6.5298280600209146E-2</v>
      </c>
      <c r="Q123" s="30">
        <f t="shared" si="11"/>
        <v>0</v>
      </c>
      <c r="R123" s="30">
        <f t="shared" si="12"/>
        <v>-1</v>
      </c>
      <c r="S123" s="12">
        <f t="shared" si="13"/>
        <v>0</v>
      </c>
      <c r="T123" s="30">
        <f t="shared" si="14"/>
        <v>0</v>
      </c>
      <c r="U123" s="9" t="str">
        <f t="shared" si="15"/>
        <v>35-44</v>
      </c>
    </row>
    <row r="124" spans="1:21">
      <c r="A124" t="s">
        <v>156</v>
      </c>
      <c r="B124" s="8">
        <v>5204</v>
      </c>
      <c r="C124" s="23">
        <v>4.4909999999999999E-2</v>
      </c>
      <c r="D124" s="19" t="s">
        <v>28</v>
      </c>
      <c r="E124" s="21">
        <v>55.911000000000001</v>
      </c>
      <c r="F124" s="21">
        <v>4.4359999999999999</v>
      </c>
      <c r="G124" s="23">
        <v>0</v>
      </c>
      <c r="H124" s="26">
        <v>0</v>
      </c>
      <c r="I124" s="19" t="s">
        <v>29</v>
      </c>
      <c r="J124" s="8">
        <v>20</v>
      </c>
      <c r="K124" s="19" t="s">
        <v>31</v>
      </c>
      <c r="L124" s="19" t="s">
        <v>32</v>
      </c>
      <c r="M124" s="8">
        <v>4</v>
      </c>
      <c r="N124" s="33">
        <f t="shared" si="8"/>
        <v>0</v>
      </c>
      <c r="O124" s="23">
        <f t="shared" si="9"/>
        <v>1.0123985572587917E-2</v>
      </c>
      <c r="P124" s="59">
        <f t="shared" si="10"/>
        <v>7.9340380247178544E-2</v>
      </c>
      <c r="Q124" s="30">
        <f t="shared" si="11"/>
        <v>0</v>
      </c>
      <c r="R124" s="30">
        <f t="shared" si="12"/>
        <v>-1</v>
      </c>
      <c r="S124" s="12">
        <f t="shared" si="13"/>
        <v>0</v>
      </c>
      <c r="T124" s="30">
        <f t="shared" si="14"/>
        <v>0</v>
      </c>
      <c r="U124" s="9" t="str">
        <f t="shared" si="15"/>
        <v>18-24</v>
      </c>
    </row>
    <row r="125" spans="1:21">
      <c r="A125" t="s">
        <v>157</v>
      </c>
      <c r="B125" s="8">
        <v>4691</v>
      </c>
      <c r="C125" s="23">
        <v>0</v>
      </c>
      <c r="D125" s="19" t="s">
        <v>32</v>
      </c>
      <c r="E125" s="21">
        <v>61.133000000000003</v>
      </c>
      <c r="F125" s="21">
        <v>6.9459999999999997</v>
      </c>
      <c r="G125" s="23">
        <v>0</v>
      </c>
      <c r="H125" s="26">
        <v>1</v>
      </c>
      <c r="I125" s="19" t="s">
        <v>26</v>
      </c>
      <c r="J125" s="8">
        <v>57</v>
      </c>
      <c r="K125" s="19" t="s">
        <v>31</v>
      </c>
      <c r="L125" s="19" t="s">
        <v>45</v>
      </c>
      <c r="M125" s="8">
        <v>5</v>
      </c>
      <c r="N125" s="33">
        <f t="shared" si="8"/>
        <v>0.1439677512237259</v>
      </c>
      <c r="O125" s="23">
        <f t="shared" si="9"/>
        <v>0</v>
      </c>
      <c r="P125" s="59">
        <f t="shared" si="10"/>
        <v>0.11362112116205648</v>
      </c>
      <c r="Q125" s="30">
        <f t="shared" si="11"/>
        <v>0</v>
      </c>
      <c r="R125" s="30">
        <f t="shared" si="12"/>
        <v>0</v>
      </c>
      <c r="S125" s="12">
        <f t="shared" si="13"/>
        <v>0</v>
      </c>
      <c r="T125" s="30">
        <f t="shared" si="14"/>
        <v>0</v>
      </c>
      <c r="U125" s="9" t="str">
        <f t="shared" si="15"/>
        <v>55+</v>
      </c>
    </row>
    <row r="126" spans="1:21">
      <c r="A126" t="s">
        <v>158</v>
      </c>
      <c r="B126" s="8">
        <v>2532</v>
      </c>
      <c r="C126" s="23">
        <v>5.8180000000000003E-2</v>
      </c>
      <c r="D126" s="19" t="s">
        <v>40</v>
      </c>
      <c r="E126" s="21">
        <v>73.025000000000006</v>
      </c>
      <c r="F126" s="21">
        <v>6.2290000000000001</v>
      </c>
      <c r="G126" s="23">
        <v>0</v>
      </c>
      <c r="H126" s="26">
        <v>0</v>
      </c>
      <c r="I126" s="19" t="s">
        <v>29</v>
      </c>
      <c r="J126" s="8">
        <v>60</v>
      </c>
      <c r="K126" s="19" t="s">
        <v>22</v>
      </c>
      <c r="L126" s="19" t="s">
        <v>45</v>
      </c>
      <c r="M126" s="8">
        <v>2</v>
      </c>
      <c r="N126" s="33">
        <f t="shared" si="8"/>
        <v>0</v>
      </c>
      <c r="O126" s="23">
        <f t="shared" si="9"/>
        <v>9.3401830149301649E-3</v>
      </c>
      <c r="P126" s="59">
        <f t="shared" si="10"/>
        <v>8.5299554946935974E-2</v>
      </c>
      <c r="Q126" s="30">
        <f t="shared" si="11"/>
        <v>0</v>
      </c>
      <c r="R126" s="30">
        <f t="shared" si="12"/>
        <v>-1</v>
      </c>
      <c r="S126" s="12">
        <f t="shared" si="13"/>
        <v>0</v>
      </c>
      <c r="T126" s="30">
        <f t="shared" si="14"/>
        <v>0</v>
      </c>
      <c r="U126" s="9" t="str">
        <f t="shared" si="15"/>
        <v>55+</v>
      </c>
    </row>
    <row r="127" spans="1:21">
      <c r="A127" t="s">
        <v>159</v>
      </c>
      <c r="B127" s="8">
        <v>1415</v>
      </c>
      <c r="C127" s="23">
        <v>0</v>
      </c>
      <c r="D127" s="19" t="s">
        <v>15</v>
      </c>
      <c r="E127" s="21">
        <v>77.507000000000005</v>
      </c>
      <c r="F127" s="21">
        <v>4.819</v>
      </c>
      <c r="G127" s="23">
        <v>0.47863</v>
      </c>
      <c r="H127" s="26">
        <v>1</v>
      </c>
      <c r="I127" s="19" t="s">
        <v>34</v>
      </c>
      <c r="J127" s="8">
        <v>60</v>
      </c>
      <c r="K127" s="19" t="s">
        <v>37</v>
      </c>
      <c r="L127" s="19" t="s">
        <v>38</v>
      </c>
      <c r="M127" s="8" t="s">
        <v>1065</v>
      </c>
      <c r="N127" s="33">
        <f t="shared" si="8"/>
        <v>0.20751193193608633</v>
      </c>
      <c r="O127" s="23">
        <f t="shared" si="9"/>
        <v>0</v>
      </c>
      <c r="P127" s="59">
        <f t="shared" si="10"/>
        <v>6.2175029352187543E-2</v>
      </c>
      <c r="Q127" s="30">
        <f t="shared" si="11"/>
        <v>0</v>
      </c>
      <c r="R127" s="30">
        <f t="shared" si="12"/>
        <v>0</v>
      </c>
      <c r="S127" s="12" t="e">
        <f t="shared" si="13"/>
        <v>#DIV/0!</v>
      </c>
      <c r="T127" s="30">
        <f t="shared" si="14"/>
        <v>9.9321435982568998E-2</v>
      </c>
      <c r="U127" s="9" t="str">
        <f t="shared" si="15"/>
        <v>55+</v>
      </c>
    </row>
    <row r="128" spans="1:21">
      <c r="A128" t="s">
        <v>160</v>
      </c>
      <c r="B128" s="8">
        <v>3473</v>
      </c>
      <c r="C128" s="23">
        <v>0.14985999999999999</v>
      </c>
      <c r="D128" s="19" t="s">
        <v>28</v>
      </c>
      <c r="E128" s="21">
        <v>46.509</v>
      </c>
      <c r="F128" s="21">
        <v>3.298</v>
      </c>
      <c r="G128" s="23">
        <v>0</v>
      </c>
      <c r="H128" s="26">
        <v>0</v>
      </c>
      <c r="I128" s="19" t="s">
        <v>26</v>
      </c>
      <c r="J128" s="8">
        <v>41</v>
      </c>
      <c r="K128" s="19" t="s">
        <v>18</v>
      </c>
      <c r="L128" s="19" t="s">
        <v>32</v>
      </c>
      <c r="M128" s="8">
        <v>2</v>
      </c>
      <c r="N128" s="33">
        <f t="shared" si="8"/>
        <v>0</v>
      </c>
      <c r="O128" s="23">
        <f t="shared" si="9"/>
        <v>4.5439660400242568E-2</v>
      </c>
      <c r="P128" s="59">
        <f t="shared" si="10"/>
        <v>7.0911006471865656E-2</v>
      </c>
      <c r="Q128" s="30">
        <f t="shared" si="11"/>
        <v>0</v>
      </c>
      <c r="R128" s="30">
        <f t="shared" si="12"/>
        <v>-1</v>
      </c>
      <c r="S128" s="12">
        <f t="shared" si="13"/>
        <v>0</v>
      </c>
      <c r="T128" s="30">
        <f t="shared" si="14"/>
        <v>0</v>
      </c>
      <c r="U128" s="9" t="str">
        <f t="shared" si="15"/>
        <v>35-44</v>
      </c>
    </row>
    <row r="129" spans="1:21">
      <c r="A129" t="s">
        <v>161</v>
      </c>
      <c r="B129" s="8">
        <v>5278</v>
      </c>
      <c r="C129" s="23">
        <v>7.11E-3</v>
      </c>
      <c r="D129" s="19" t="s">
        <v>15</v>
      </c>
      <c r="E129" s="21">
        <v>44.378</v>
      </c>
      <c r="F129" s="21">
        <v>7.4509999999999996</v>
      </c>
      <c r="G129" s="23">
        <v>0.44323000000000001</v>
      </c>
      <c r="H129" s="26">
        <v>1</v>
      </c>
      <c r="I129" s="19" t="s">
        <v>26</v>
      </c>
      <c r="J129" s="8">
        <v>44</v>
      </c>
      <c r="K129" s="19" t="s">
        <v>37</v>
      </c>
      <c r="L129" s="19" t="s">
        <v>19</v>
      </c>
      <c r="M129" s="8">
        <v>5</v>
      </c>
      <c r="N129" s="33">
        <f t="shared" si="8"/>
        <v>0.13421017313112335</v>
      </c>
      <c r="O129" s="23">
        <f t="shared" si="9"/>
        <v>9.5423433096228697E-4</v>
      </c>
      <c r="P129" s="59">
        <f t="shared" si="10"/>
        <v>0.16789850826986344</v>
      </c>
      <c r="Q129" s="30">
        <f t="shared" si="11"/>
        <v>7.11E-3</v>
      </c>
      <c r="R129" s="30">
        <f t="shared" si="12"/>
        <v>61.338959212376935</v>
      </c>
      <c r="S129" s="12">
        <f t="shared" si="13"/>
        <v>62.338959212376935</v>
      </c>
      <c r="T129" s="30">
        <f t="shared" si="14"/>
        <v>5.94859750369078E-2</v>
      </c>
      <c r="U129" s="9" t="str">
        <f t="shared" si="15"/>
        <v>35-44</v>
      </c>
    </row>
    <row r="130" spans="1:21">
      <c r="A130" t="s">
        <v>162</v>
      </c>
      <c r="B130" s="8">
        <v>6810</v>
      </c>
      <c r="C130" s="23">
        <v>3.0159999999999999E-2</v>
      </c>
      <c r="D130" s="19" t="s">
        <v>28</v>
      </c>
      <c r="E130" s="21">
        <v>15.093</v>
      </c>
      <c r="F130" s="21">
        <v>3.0870000000000002</v>
      </c>
      <c r="G130" s="23">
        <v>0.36876999999999999</v>
      </c>
      <c r="H130" s="26">
        <v>1</v>
      </c>
      <c r="I130" s="19" t="s">
        <v>26</v>
      </c>
      <c r="J130" s="8">
        <v>48</v>
      </c>
      <c r="K130" s="19" t="s">
        <v>18</v>
      </c>
      <c r="L130" s="19" t="s">
        <v>38</v>
      </c>
      <c r="M130" s="8">
        <v>5</v>
      </c>
      <c r="N130" s="33">
        <f t="shared" ref="N130:N193" si="16">IF(F130=0,0,H130/F130)</f>
        <v>0.32393909944930349</v>
      </c>
      <c r="O130" s="23">
        <f t="shared" ref="O130:O193" si="17">IF(F130=0,0,C130/F130)</f>
        <v>9.7700032393909942E-3</v>
      </c>
      <c r="P130" s="59">
        <f t="shared" ref="P130:P193" si="18">IF(E130=0,0,F130/E130)</f>
        <v>0.20453190220632084</v>
      </c>
      <c r="Q130" s="30">
        <f t="shared" ref="Q130:Q193" si="19">IF(H130=0,0,C130/H130)</f>
        <v>3.0159999999999999E-2</v>
      </c>
      <c r="R130" s="30">
        <f t="shared" ref="R130:R193" si="20">IF(C130=0,0,(G130-C130)/C130)</f>
        <v>11.227122015915118</v>
      </c>
      <c r="S130" s="12">
        <f t="shared" ref="S130:S193" si="21">IF(G130=0,0,G130/C130)</f>
        <v>12.227122015915119</v>
      </c>
      <c r="T130" s="30">
        <f t="shared" ref="T130:T193" si="22">IF(F130=0,0,G130/F130)</f>
        <v>0.11945902170391966</v>
      </c>
      <c r="U130" s="9" t="str">
        <f t="shared" si="15"/>
        <v>45-54</v>
      </c>
    </row>
    <row r="131" spans="1:21">
      <c r="A131" t="s">
        <v>163</v>
      </c>
      <c r="B131" s="8">
        <v>6605</v>
      </c>
      <c r="C131" s="23">
        <v>7.3480000000000004E-2</v>
      </c>
      <c r="D131" s="19" t="s">
        <v>25</v>
      </c>
      <c r="E131" s="21">
        <v>58.244</v>
      </c>
      <c r="F131" s="21">
        <v>2.5049999999999999</v>
      </c>
      <c r="G131" s="23">
        <v>0</v>
      </c>
      <c r="H131" s="26">
        <v>0</v>
      </c>
      <c r="I131" s="19" t="s">
        <v>29</v>
      </c>
      <c r="J131" s="8">
        <v>28</v>
      </c>
      <c r="K131" s="19" t="s">
        <v>31</v>
      </c>
      <c r="L131" s="19" t="s">
        <v>19</v>
      </c>
      <c r="M131" s="8">
        <v>4</v>
      </c>
      <c r="N131" s="33">
        <f t="shared" si="16"/>
        <v>0</v>
      </c>
      <c r="O131" s="23">
        <f t="shared" si="17"/>
        <v>2.9333333333333336E-2</v>
      </c>
      <c r="P131" s="59">
        <f t="shared" si="18"/>
        <v>4.3008721928438978E-2</v>
      </c>
      <c r="Q131" s="30">
        <f t="shared" si="19"/>
        <v>0</v>
      </c>
      <c r="R131" s="30">
        <f t="shared" si="20"/>
        <v>-1</v>
      </c>
      <c r="S131" s="12">
        <f t="shared" si="21"/>
        <v>0</v>
      </c>
      <c r="T131" s="30">
        <f t="shared" si="22"/>
        <v>0</v>
      </c>
      <c r="U131" s="9" t="str">
        <f t="shared" ref="U131:U194" si="23">IF(J131&lt;25,"18-24",IF(J131&lt;35,"25-34",IF(J131&lt;45,"35-44",IF(J131&lt;55,"45-54","55+"))))</f>
        <v>25-34</v>
      </c>
    </row>
    <row r="132" spans="1:21">
      <c r="A132" t="s">
        <v>164</v>
      </c>
      <c r="B132" s="8">
        <v>8229</v>
      </c>
      <c r="C132" s="23">
        <v>0</v>
      </c>
      <c r="D132" s="19" t="s">
        <v>45</v>
      </c>
      <c r="E132" s="21">
        <v>45.915999999999997</v>
      </c>
      <c r="F132" s="21">
        <v>0.54500000000000004</v>
      </c>
      <c r="G132" s="23">
        <v>0</v>
      </c>
      <c r="H132" s="26">
        <v>0</v>
      </c>
      <c r="I132" s="19" t="s">
        <v>26</v>
      </c>
      <c r="J132" s="8">
        <v>25</v>
      </c>
      <c r="K132" s="19" t="s">
        <v>37</v>
      </c>
      <c r="L132" s="19" t="s">
        <v>19</v>
      </c>
      <c r="M132" s="8">
        <v>2</v>
      </c>
      <c r="N132" s="33">
        <f t="shared" si="16"/>
        <v>0</v>
      </c>
      <c r="O132" s="23">
        <f t="shared" si="17"/>
        <v>0</v>
      </c>
      <c r="P132" s="59">
        <f t="shared" si="18"/>
        <v>1.1869500827598224E-2</v>
      </c>
      <c r="Q132" s="30">
        <f t="shared" si="19"/>
        <v>0</v>
      </c>
      <c r="R132" s="30">
        <f t="shared" si="20"/>
        <v>0</v>
      </c>
      <c r="S132" s="12">
        <f t="shared" si="21"/>
        <v>0</v>
      </c>
      <c r="T132" s="30">
        <f t="shared" si="22"/>
        <v>0</v>
      </c>
      <c r="U132" s="9" t="str">
        <f t="shared" si="23"/>
        <v>25-34</v>
      </c>
    </row>
    <row r="133" spans="1:21">
      <c r="A133" t="s">
        <v>165</v>
      </c>
      <c r="B133" s="8">
        <v>2644</v>
      </c>
      <c r="C133" s="23">
        <v>4.2709999999999998E-2</v>
      </c>
      <c r="D133" s="19" t="s">
        <v>25</v>
      </c>
      <c r="E133" s="21">
        <v>6.8289999999999997</v>
      </c>
      <c r="F133" s="21">
        <v>1.0940000000000001</v>
      </c>
      <c r="G133" s="23">
        <v>0</v>
      </c>
      <c r="H133" s="26">
        <v>0</v>
      </c>
      <c r="I133" s="19" t="s">
        <v>29</v>
      </c>
      <c r="J133" s="8">
        <v>42</v>
      </c>
      <c r="K133" s="19" t="s">
        <v>22</v>
      </c>
      <c r="L133" s="19" t="s">
        <v>45</v>
      </c>
      <c r="M133" s="8">
        <v>4</v>
      </c>
      <c r="N133" s="33">
        <f t="shared" si="16"/>
        <v>0</v>
      </c>
      <c r="O133" s="23">
        <f t="shared" si="17"/>
        <v>3.9040219378427783E-2</v>
      </c>
      <c r="P133" s="59">
        <f t="shared" si="18"/>
        <v>0.16019915068091964</v>
      </c>
      <c r="Q133" s="30">
        <f t="shared" si="19"/>
        <v>0</v>
      </c>
      <c r="R133" s="30">
        <f t="shared" si="20"/>
        <v>-1</v>
      </c>
      <c r="S133" s="12">
        <f t="shared" si="21"/>
        <v>0</v>
      </c>
      <c r="T133" s="30">
        <f t="shared" si="22"/>
        <v>0</v>
      </c>
      <c r="U133" s="9" t="str">
        <f t="shared" si="23"/>
        <v>35-44</v>
      </c>
    </row>
    <row r="134" spans="1:21">
      <c r="A134" t="s">
        <v>166</v>
      </c>
      <c r="B134" s="8">
        <v>3543</v>
      </c>
      <c r="C134" s="23">
        <v>0.14862</v>
      </c>
      <c r="D134" s="19" t="s">
        <v>32</v>
      </c>
      <c r="E134" s="21">
        <v>84.146000000000001</v>
      </c>
      <c r="F134" s="21">
        <v>9.9239999999999995</v>
      </c>
      <c r="G134" s="23">
        <v>0</v>
      </c>
      <c r="H134" s="26">
        <v>0</v>
      </c>
      <c r="I134" s="19" t="s">
        <v>34</v>
      </c>
      <c r="J134" s="8">
        <v>21</v>
      </c>
      <c r="K134" s="19" t="s">
        <v>18</v>
      </c>
      <c r="L134" s="19" t="s">
        <v>23</v>
      </c>
      <c r="M134" s="8">
        <v>1</v>
      </c>
      <c r="N134" s="33">
        <f t="shared" si="16"/>
        <v>0</v>
      </c>
      <c r="O134" s="23">
        <f t="shared" si="17"/>
        <v>1.4975816203143895E-2</v>
      </c>
      <c r="P134" s="59">
        <f t="shared" si="18"/>
        <v>0.11793786989280536</v>
      </c>
      <c r="Q134" s="30">
        <f t="shared" si="19"/>
        <v>0</v>
      </c>
      <c r="R134" s="30">
        <f t="shared" si="20"/>
        <v>-1</v>
      </c>
      <c r="S134" s="12">
        <f t="shared" si="21"/>
        <v>0</v>
      </c>
      <c r="T134" s="30">
        <f t="shared" si="22"/>
        <v>0</v>
      </c>
      <c r="U134" s="9" t="str">
        <f t="shared" si="23"/>
        <v>18-24</v>
      </c>
    </row>
    <row r="135" spans="1:21">
      <c r="A135" t="s">
        <v>167</v>
      </c>
      <c r="B135" s="8">
        <v>5826</v>
      </c>
      <c r="C135" s="23">
        <v>0.14363999999999999</v>
      </c>
      <c r="D135" s="19" t="s">
        <v>25</v>
      </c>
      <c r="E135" s="21">
        <v>73.027000000000001</v>
      </c>
      <c r="F135" s="21">
        <v>9.1969999999999992</v>
      </c>
      <c r="G135" s="23">
        <v>0</v>
      </c>
      <c r="H135" s="26">
        <v>0</v>
      </c>
      <c r="I135" s="19" t="s">
        <v>26</v>
      </c>
      <c r="J135" s="8">
        <v>23</v>
      </c>
      <c r="K135" s="19" t="s">
        <v>31</v>
      </c>
      <c r="L135" s="19" t="s">
        <v>45</v>
      </c>
      <c r="M135" s="8">
        <v>1</v>
      </c>
      <c r="N135" s="33">
        <f t="shared" si="16"/>
        <v>0</v>
      </c>
      <c r="O135" s="23">
        <f t="shared" si="17"/>
        <v>1.5618136348809394E-2</v>
      </c>
      <c r="P135" s="59">
        <f t="shared" si="18"/>
        <v>0.12593972092513728</v>
      </c>
      <c r="Q135" s="30">
        <f t="shared" si="19"/>
        <v>0</v>
      </c>
      <c r="R135" s="30">
        <f t="shared" si="20"/>
        <v>-1</v>
      </c>
      <c r="S135" s="12">
        <f t="shared" si="21"/>
        <v>0</v>
      </c>
      <c r="T135" s="30">
        <f t="shared" si="22"/>
        <v>0</v>
      </c>
      <c r="U135" s="9" t="str">
        <f t="shared" si="23"/>
        <v>18-24</v>
      </c>
    </row>
    <row r="136" spans="1:21">
      <c r="A136" t="s">
        <v>168</v>
      </c>
      <c r="B136" s="8">
        <v>5133</v>
      </c>
      <c r="C136" s="23">
        <v>0.18160000000000001</v>
      </c>
      <c r="D136" s="19" t="s">
        <v>25</v>
      </c>
      <c r="E136" s="21">
        <v>56.987000000000002</v>
      </c>
      <c r="F136" s="21">
        <v>5.4740000000000002</v>
      </c>
      <c r="G136" s="23">
        <v>0</v>
      </c>
      <c r="H136" s="26">
        <v>0</v>
      </c>
      <c r="I136" s="19" t="s">
        <v>26</v>
      </c>
      <c r="J136" s="8">
        <v>29</v>
      </c>
      <c r="K136" s="19" t="s">
        <v>18</v>
      </c>
      <c r="L136" s="19" t="s">
        <v>45</v>
      </c>
      <c r="M136" s="8">
        <v>3</v>
      </c>
      <c r="N136" s="33">
        <f t="shared" si="16"/>
        <v>0</v>
      </c>
      <c r="O136" s="23">
        <f t="shared" si="17"/>
        <v>3.3175009134088419E-2</v>
      </c>
      <c r="P136" s="59">
        <f t="shared" si="18"/>
        <v>9.6056995455103794E-2</v>
      </c>
      <c r="Q136" s="30">
        <f t="shared" si="19"/>
        <v>0</v>
      </c>
      <c r="R136" s="30">
        <f t="shared" si="20"/>
        <v>-1</v>
      </c>
      <c r="S136" s="12">
        <f t="shared" si="21"/>
        <v>0</v>
      </c>
      <c r="T136" s="30">
        <f t="shared" si="22"/>
        <v>0</v>
      </c>
      <c r="U136" s="9" t="str">
        <f t="shared" si="23"/>
        <v>25-34</v>
      </c>
    </row>
    <row r="137" spans="1:21">
      <c r="A137" t="s">
        <v>169</v>
      </c>
      <c r="B137" s="8">
        <v>9016</v>
      </c>
      <c r="C137" s="23">
        <v>0.19384000000000001</v>
      </c>
      <c r="D137" s="19" t="s">
        <v>40</v>
      </c>
      <c r="E137" s="21">
        <v>1.512</v>
      </c>
      <c r="F137" s="21">
        <v>7.2560000000000002</v>
      </c>
      <c r="G137" s="23">
        <v>0</v>
      </c>
      <c r="H137" s="26">
        <v>0</v>
      </c>
      <c r="I137" s="19" t="s">
        <v>17</v>
      </c>
      <c r="J137" s="8">
        <v>56</v>
      </c>
      <c r="K137" s="19" t="s">
        <v>31</v>
      </c>
      <c r="L137" s="19" t="s">
        <v>32</v>
      </c>
      <c r="M137" s="8">
        <v>3</v>
      </c>
      <c r="N137" s="33">
        <f t="shared" si="16"/>
        <v>0</v>
      </c>
      <c r="O137" s="23">
        <f t="shared" si="17"/>
        <v>2.6714443219404631E-2</v>
      </c>
      <c r="P137" s="59">
        <f t="shared" si="18"/>
        <v>4.7989417989417991</v>
      </c>
      <c r="Q137" s="30">
        <f t="shared" si="19"/>
        <v>0</v>
      </c>
      <c r="R137" s="30">
        <f t="shared" si="20"/>
        <v>-1</v>
      </c>
      <c r="S137" s="12">
        <f t="shared" si="21"/>
        <v>0</v>
      </c>
      <c r="T137" s="30">
        <f t="shared" si="22"/>
        <v>0</v>
      </c>
      <c r="U137" s="9" t="str">
        <f t="shared" si="23"/>
        <v>55+</v>
      </c>
    </row>
    <row r="138" spans="1:21">
      <c r="A138" t="s">
        <v>170</v>
      </c>
      <c r="B138" s="8">
        <v>4252</v>
      </c>
      <c r="C138" s="23">
        <v>0.18753</v>
      </c>
      <c r="D138" s="19" t="s">
        <v>40</v>
      </c>
      <c r="E138" s="21">
        <v>74.680000000000007</v>
      </c>
      <c r="F138" s="21">
        <v>3.363</v>
      </c>
      <c r="G138" s="23">
        <v>0</v>
      </c>
      <c r="H138" s="26">
        <v>1</v>
      </c>
      <c r="I138" s="19" t="s">
        <v>17</v>
      </c>
      <c r="J138" s="8">
        <v>56</v>
      </c>
      <c r="K138" s="19" t="s">
        <v>37</v>
      </c>
      <c r="L138" s="19" t="s">
        <v>23</v>
      </c>
      <c r="M138" s="8">
        <v>3</v>
      </c>
      <c r="N138" s="33">
        <f t="shared" si="16"/>
        <v>0.29735355337496283</v>
      </c>
      <c r="O138" s="23">
        <f t="shared" si="17"/>
        <v>5.5762711864406782E-2</v>
      </c>
      <c r="P138" s="59">
        <f t="shared" si="18"/>
        <v>4.5032137118371715E-2</v>
      </c>
      <c r="Q138" s="30">
        <f t="shared" si="19"/>
        <v>0.18753</v>
      </c>
      <c r="R138" s="30">
        <f t="shared" si="20"/>
        <v>-1</v>
      </c>
      <c r="S138" s="12">
        <f t="shared" si="21"/>
        <v>0</v>
      </c>
      <c r="T138" s="30">
        <f t="shared" si="22"/>
        <v>0</v>
      </c>
      <c r="U138" s="9" t="str">
        <f t="shared" si="23"/>
        <v>55+</v>
      </c>
    </row>
    <row r="139" spans="1:21">
      <c r="A139" t="s">
        <v>171</v>
      </c>
      <c r="B139" s="8">
        <v>7601</v>
      </c>
      <c r="C139" s="23">
        <v>5.985E-2</v>
      </c>
      <c r="D139" s="19" t="s">
        <v>28</v>
      </c>
      <c r="E139" s="21">
        <v>97.275999999999996</v>
      </c>
      <c r="F139" s="21">
        <v>0</v>
      </c>
      <c r="G139" s="23">
        <v>0.20618</v>
      </c>
      <c r="H139" s="26">
        <v>1</v>
      </c>
      <c r="I139" s="19" t="s">
        <v>26</v>
      </c>
      <c r="J139" s="8">
        <v>32</v>
      </c>
      <c r="K139" s="19" t="s">
        <v>18</v>
      </c>
      <c r="L139" s="19" t="s">
        <v>19</v>
      </c>
      <c r="M139" s="8">
        <v>1</v>
      </c>
      <c r="N139" s="33">
        <f t="shared" si="16"/>
        <v>0</v>
      </c>
      <c r="O139" s="23">
        <f t="shared" si="17"/>
        <v>0</v>
      </c>
      <c r="P139" s="59">
        <f t="shared" si="18"/>
        <v>0</v>
      </c>
      <c r="Q139" s="30">
        <f t="shared" si="19"/>
        <v>5.985E-2</v>
      </c>
      <c r="R139" s="30">
        <f t="shared" si="20"/>
        <v>2.444945697577277</v>
      </c>
      <c r="S139" s="12">
        <f t="shared" si="21"/>
        <v>3.4449456975772765</v>
      </c>
      <c r="T139" s="30">
        <f t="shared" si="22"/>
        <v>0</v>
      </c>
      <c r="U139" s="9" t="str">
        <f t="shared" si="23"/>
        <v>25-34</v>
      </c>
    </row>
    <row r="140" spans="1:21">
      <c r="A140" t="s">
        <v>172</v>
      </c>
      <c r="B140" s="8">
        <v>3065</v>
      </c>
      <c r="C140" s="23">
        <v>0</v>
      </c>
      <c r="D140" s="19" t="s">
        <v>15</v>
      </c>
      <c r="E140" s="21">
        <v>4.8630000000000004</v>
      </c>
      <c r="F140" s="21">
        <v>6.5709999999999997</v>
      </c>
      <c r="G140" s="23">
        <v>0</v>
      </c>
      <c r="H140" s="26">
        <v>0</v>
      </c>
      <c r="I140" s="19" t="s">
        <v>34</v>
      </c>
      <c r="J140" s="8">
        <v>41</v>
      </c>
      <c r="K140" s="19" t="s">
        <v>31</v>
      </c>
      <c r="L140" s="19" t="s">
        <v>19</v>
      </c>
      <c r="M140" s="8">
        <v>5</v>
      </c>
      <c r="N140" s="33">
        <f t="shared" si="16"/>
        <v>0</v>
      </c>
      <c r="O140" s="23">
        <f t="shared" si="17"/>
        <v>0</v>
      </c>
      <c r="P140" s="59">
        <f t="shared" si="18"/>
        <v>1.3512235245733084</v>
      </c>
      <c r="Q140" s="30">
        <f t="shared" si="19"/>
        <v>0</v>
      </c>
      <c r="R140" s="30">
        <f t="shared" si="20"/>
        <v>0</v>
      </c>
      <c r="S140" s="12">
        <f t="shared" si="21"/>
        <v>0</v>
      </c>
      <c r="T140" s="30">
        <f t="shared" si="22"/>
        <v>0</v>
      </c>
      <c r="U140" s="9" t="str">
        <f t="shared" si="23"/>
        <v>35-44</v>
      </c>
    </row>
    <row r="141" spans="1:21">
      <c r="A141" t="s">
        <v>173</v>
      </c>
      <c r="B141" s="8">
        <v>8951</v>
      </c>
      <c r="C141" s="23">
        <v>3.0859999999999999E-2</v>
      </c>
      <c r="D141" s="19" t="s">
        <v>32</v>
      </c>
      <c r="E141" s="21">
        <v>6.8410000000000002</v>
      </c>
      <c r="F141" s="21">
        <v>1.992</v>
      </c>
      <c r="G141" s="23">
        <v>0.18473999999999999</v>
      </c>
      <c r="H141" s="26">
        <v>1</v>
      </c>
      <c r="I141" s="19" t="s">
        <v>29</v>
      </c>
      <c r="J141" s="8">
        <v>46</v>
      </c>
      <c r="K141" s="19" t="s">
        <v>37</v>
      </c>
      <c r="L141" s="19" t="s">
        <v>32</v>
      </c>
      <c r="M141" s="8">
        <v>5</v>
      </c>
      <c r="N141" s="33">
        <f t="shared" si="16"/>
        <v>0.50200803212851408</v>
      </c>
      <c r="O141" s="23">
        <f t="shared" si="17"/>
        <v>1.5491967871485943E-2</v>
      </c>
      <c r="P141" s="59">
        <f t="shared" si="18"/>
        <v>0.29118549919602399</v>
      </c>
      <c r="Q141" s="30">
        <f t="shared" si="19"/>
        <v>3.0859999999999999E-2</v>
      </c>
      <c r="R141" s="30">
        <f t="shared" si="20"/>
        <v>4.9863901490602718</v>
      </c>
      <c r="S141" s="12">
        <f t="shared" si="21"/>
        <v>5.9863901490602718</v>
      </c>
      <c r="T141" s="30">
        <f t="shared" si="22"/>
        <v>9.2740963855421688E-2</v>
      </c>
      <c r="U141" s="9" t="str">
        <f t="shared" si="23"/>
        <v>45-54</v>
      </c>
    </row>
    <row r="142" spans="1:21">
      <c r="A142" t="s">
        <v>174</v>
      </c>
      <c r="B142" s="8">
        <v>4444</v>
      </c>
      <c r="C142" s="23">
        <v>0.14273</v>
      </c>
      <c r="D142" s="19" t="s">
        <v>15</v>
      </c>
      <c r="E142" s="21">
        <v>35.039000000000001</v>
      </c>
      <c r="F142" s="21">
        <v>0.4</v>
      </c>
      <c r="G142" s="23">
        <v>0</v>
      </c>
      <c r="H142" s="26">
        <v>0</v>
      </c>
      <c r="I142" s="19" t="s">
        <v>21</v>
      </c>
      <c r="J142" s="8">
        <v>36</v>
      </c>
      <c r="K142" s="19" t="s">
        <v>37</v>
      </c>
      <c r="L142" s="19" t="s">
        <v>38</v>
      </c>
      <c r="M142" s="8">
        <v>5</v>
      </c>
      <c r="N142" s="33">
        <f t="shared" si="16"/>
        <v>0</v>
      </c>
      <c r="O142" s="23">
        <f t="shared" si="17"/>
        <v>0.35682499999999995</v>
      </c>
      <c r="P142" s="59">
        <f t="shared" si="18"/>
        <v>1.1415850908987129E-2</v>
      </c>
      <c r="Q142" s="30">
        <f t="shared" si="19"/>
        <v>0</v>
      </c>
      <c r="R142" s="30">
        <f t="shared" si="20"/>
        <v>-1</v>
      </c>
      <c r="S142" s="12">
        <f t="shared" si="21"/>
        <v>0</v>
      </c>
      <c r="T142" s="30">
        <f t="shared" si="22"/>
        <v>0</v>
      </c>
      <c r="U142" s="9" t="str">
        <f t="shared" si="23"/>
        <v>35-44</v>
      </c>
    </row>
    <row r="143" spans="1:21">
      <c r="A143" t="s">
        <v>175</v>
      </c>
      <c r="B143" s="8">
        <v>5831</v>
      </c>
      <c r="C143" s="23">
        <v>8.6580000000000004E-2</v>
      </c>
      <c r="D143" s="19" t="s">
        <v>40</v>
      </c>
      <c r="E143" s="21">
        <v>14.395</v>
      </c>
      <c r="F143" s="21">
        <v>8.0869999999999997</v>
      </c>
      <c r="G143" s="23">
        <v>0</v>
      </c>
      <c r="H143" s="26">
        <v>0</v>
      </c>
      <c r="I143" s="19" t="s">
        <v>29</v>
      </c>
      <c r="J143" s="8">
        <v>47</v>
      </c>
      <c r="K143" s="19" t="s">
        <v>18</v>
      </c>
      <c r="L143" s="19" t="s">
        <v>19</v>
      </c>
      <c r="M143" s="8">
        <v>3</v>
      </c>
      <c r="N143" s="33">
        <f t="shared" si="16"/>
        <v>0</v>
      </c>
      <c r="O143" s="23">
        <f t="shared" si="17"/>
        <v>1.0706071472734018E-2</v>
      </c>
      <c r="P143" s="59">
        <f t="shared" si="18"/>
        <v>0.56179228898923239</v>
      </c>
      <c r="Q143" s="30">
        <f t="shared" si="19"/>
        <v>0</v>
      </c>
      <c r="R143" s="30">
        <f t="shared" si="20"/>
        <v>-1</v>
      </c>
      <c r="S143" s="12">
        <f t="shared" si="21"/>
        <v>0</v>
      </c>
      <c r="T143" s="30">
        <f t="shared" si="22"/>
        <v>0</v>
      </c>
      <c r="U143" s="9" t="str">
        <f t="shared" si="23"/>
        <v>45-54</v>
      </c>
    </row>
    <row r="144" spans="1:21">
      <c r="A144" t="s">
        <v>176</v>
      </c>
      <c r="B144" s="8">
        <v>5161</v>
      </c>
      <c r="C144" s="23">
        <v>0</v>
      </c>
      <c r="D144" s="19" t="s">
        <v>15</v>
      </c>
      <c r="E144" s="21">
        <v>91.072999999999993</v>
      </c>
      <c r="F144" s="21">
        <v>1.119</v>
      </c>
      <c r="G144" s="23">
        <v>0</v>
      </c>
      <c r="H144" s="26">
        <v>0</v>
      </c>
      <c r="I144" s="19" t="s">
        <v>17</v>
      </c>
      <c r="J144" s="8">
        <v>41</v>
      </c>
      <c r="K144" s="19" t="s">
        <v>18</v>
      </c>
      <c r="L144" s="19" t="s">
        <v>19</v>
      </c>
      <c r="M144" s="8">
        <v>2</v>
      </c>
      <c r="N144" s="33">
        <f t="shared" si="16"/>
        <v>0</v>
      </c>
      <c r="O144" s="23">
        <f t="shared" si="17"/>
        <v>0</v>
      </c>
      <c r="P144" s="59">
        <f t="shared" si="18"/>
        <v>1.2286846815192209E-2</v>
      </c>
      <c r="Q144" s="30">
        <f t="shared" si="19"/>
        <v>0</v>
      </c>
      <c r="R144" s="30">
        <f t="shared" si="20"/>
        <v>0</v>
      </c>
      <c r="S144" s="12">
        <f t="shared" si="21"/>
        <v>0</v>
      </c>
      <c r="T144" s="30">
        <f t="shared" si="22"/>
        <v>0</v>
      </c>
      <c r="U144" s="9" t="str">
        <f t="shared" si="23"/>
        <v>35-44</v>
      </c>
    </row>
    <row r="145" spans="1:21">
      <c r="A145" t="s">
        <v>177</v>
      </c>
      <c r="B145" s="8">
        <v>9632</v>
      </c>
      <c r="C145" s="23">
        <v>0</v>
      </c>
      <c r="D145" s="19" t="s">
        <v>25</v>
      </c>
      <c r="E145" s="21">
        <v>55.366</v>
      </c>
      <c r="F145" s="21">
        <v>7.0090000000000003</v>
      </c>
      <c r="G145" s="23">
        <v>0</v>
      </c>
      <c r="H145" s="26">
        <v>0</v>
      </c>
      <c r="I145" s="19" t="s">
        <v>21</v>
      </c>
      <c r="J145" s="8">
        <v>41</v>
      </c>
      <c r="K145" s="19" t="s">
        <v>22</v>
      </c>
      <c r="L145" s="19" t="s">
        <v>38</v>
      </c>
      <c r="M145" s="8">
        <v>3</v>
      </c>
      <c r="N145" s="33">
        <f t="shared" si="16"/>
        <v>0</v>
      </c>
      <c r="O145" s="23">
        <f t="shared" si="17"/>
        <v>0</v>
      </c>
      <c r="P145" s="59">
        <f t="shared" si="18"/>
        <v>0.12659393851822417</v>
      </c>
      <c r="Q145" s="30">
        <f t="shared" si="19"/>
        <v>0</v>
      </c>
      <c r="R145" s="30">
        <f t="shared" si="20"/>
        <v>0</v>
      </c>
      <c r="S145" s="12">
        <f t="shared" si="21"/>
        <v>0</v>
      </c>
      <c r="T145" s="30">
        <f t="shared" si="22"/>
        <v>0</v>
      </c>
      <c r="U145" s="9" t="str">
        <f t="shared" si="23"/>
        <v>35-44</v>
      </c>
    </row>
    <row r="146" spans="1:21">
      <c r="A146" t="s">
        <v>178</v>
      </c>
      <c r="B146" s="8">
        <v>8282</v>
      </c>
      <c r="C146" s="23">
        <v>5.3379999999999997E-2</v>
      </c>
      <c r="D146" s="19" t="s">
        <v>40</v>
      </c>
      <c r="E146" s="21">
        <v>94.763000000000005</v>
      </c>
      <c r="F146" s="21">
        <v>3.4950000000000001</v>
      </c>
      <c r="G146" s="23">
        <v>0.10956</v>
      </c>
      <c r="H146" s="26">
        <v>1</v>
      </c>
      <c r="I146" s="19" t="s">
        <v>17</v>
      </c>
      <c r="J146" s="8">
        <v>61</v>
      </c>
      <c r="K146" s="19" t="s">
        <v>31</v>
      </c>
      <c r="L146" s="19" t="s">
        <v>23</v>
      </c>
      <c r="M146" s="8">
        <v>4</v>
      </c>
      <c r="N146" s="33">
        <f t="shared" si="16"/>
        <v>0.28612303290414876</v>
      </c>
      <c r="O146" s="23">
        <f t="shared" si="17"/>
        <v>1.5273247496423462E-2</v>
      </c>
      <c r="P146" s="59">
        <f t="shared" si="18"/>
        <v>3.6881483279338982E-2</v>
      </c>
      <c r="Q146" s="30">
        <f t="shared" si="19"/>
        <v>5.3379999999999997E-2</v>
      </c>
      <c r="R146" s="30">
        <f t="shared" si="20"/>
        <v>1.0524541026601726</v>
      </c>
      <c r="S146" s="12">
        <f t="shared" si="21"/>
        <v>2.0524541026601724</v>
      </c>
      <c r="T146" s="30">
        <f t="shared" si="22"/>
        <v>3.134763948497854E-2</v>
      </c>
      <c r="U146" s="9" t="str">
        <f t="shared" si="23"/>
        <v>55+</v>
      </c>
    </row>
    <row r="147" spans="1:21">
      <c r="A147" t="s">
        <v>179</v>
      </c>
      <c r="B147" s="8">
        <v>7572</v>
      </c>
      <c r="C147" s="23">
        <v>0.19134999999999999</v>
      </c>
      <c r="D147" s="19" t="s">
        <v>15</v>
      </c>
      <c r="E147" s="21">
        <v>32.781999999999996</v>
      </c>
      <c r="F147" s="21">
        <v>2.335</v>
      </c>
      <c r="G147" s="23">
        <v>0</v>
      </c>
      <c r="H147" s="26">
        <v>0</v>
      </c>
      <c r="I147" s="19" t="s">
        <v>29</v>
      </c>
      <c r="J147" s="8">
        <v>50</v>
      </c>
      <c r="K147" s="19" t="s">
        <v>18</v>
      </c>
      <c r="L147" s="19" t="s">
        <v>45</v>
      </c>
      <c r="M147" s="8">
        <v>1</v>
      </c>
      <c r="N147" s="33">
        <f t="shared" si="16"/>
        <v>0</v>
      </c>
      <c r="O147" s="23">
        <f t="shared" si="17"/>
        <v>8.1948608137044965E-2</v>
      </c>
      <c r="P147" s="59">
        <f t="shared" si="18"/>
        <v>7.1228112988835343E-2</v>
      </c>
      <c r="Q147" s="30">
        <f t="shared" si="19"/>
        <v>0</v>
      </c>
      <c r="R147" s="30">
        <f t="shared" si="20"/>
        <v>-1</v>
      </c>
      <c r="S147" s="12">
        <f t="shared" si="21"/>
        <v>0</v>
      </c>
      <c r="T147" s="30">
        <f t="shared" si="22"/>
        <v>0</v>
      </c>
      <c r="U147" s="9" t="str">
        <f t="shared" si="23"/>
        <v>45-54</v>
      </c>
    </row>
    <row r="148" spans="1:21">
      <c r="A148" t="s">
        <v>180</v>
      </c>
      <c r="B148" s="8">
        <v>2791</v>
      </c>
      <c r="C148" s="23">
        <v>0.15082999999999999</v>
      </c>
      <c r="D148" s="19" t="s">
        <v>25</v>
      </c>
      <c r="E148" s="21">
        <v>66.138999999999996</v>
      </c>
      <c r="F148" s="21">
        <v>2.2250000000000001</v>
      </c>
      <c r="G148" s="23">
        <v>0</v>
      </c>
      <c r="H148" s="26">
        <v>0</v>
      </c>
      <c r="I148" s="19" t="s">
        <v>17</v>
      </c>
      <c r="J148" s="8">
        <v>44</v>
      </c>
      <c r="K148" s="19" t="s">
        <v>37</v>
      </c>
      <c r="L148" s="19" t="s">
        <v>23</v>
      </c>
      <c r="M148" s="8">
        <v>2</v>
      </c>
      <c r="N148" s="33">
        <f t="shared" si="16"/>
        <v>0</v>
      </c>
      <c r="O148" s="23">
        <f t="shared" si="17"/>
        <v>6.7788764044943814E-2</v>
      </c>
      <c r="P148" s="59">
        <f t="shared" si="18"/>
        <v>3.3641270657252156E-2</v>
      </c>
      <c r="Q148" s="30">
        <f t="shared" si="19"/>
        <v>0</v>
      </c>
      <c r="R148" s="30">
        <f t="shared" si="20"/>
        <v>-1</v>
      </c>
      <c r="S148" s="12">
        <f t="shared" si="21"/>
        <v>0</v>
      </c>
      <c r="T148" s="30">
        <f t="shared" si="22"/>
        <v>0</v>
      </c>
      <c r="U148" s="9" t="str">
        <f t="shared" si="23"/>
        <v>35-44</v>
      </c>
    </row>
    <row r="149" spans="1:21">
      <c r="A149" t="s">
        <v>181</v>
      </c>
      <c r="B149" s="8">
        <v>4851</v>
      </c>
      <c r="C149" s="23">
        <v>3.8719999999999997E-2</v>
      </c>
      <c r="D149" s="19" t="s">
        <v>15</v>
      </c>
      <c r="E149" s="21">
        <v>97.524000000000001</v>
      </c>
      <c r="F149" s="21">
        <v>3.9529999999999998</v>
      </c>
      <c r="G149" s="23">
        <v>0</v>
      </c>
      <c r="H149" s="26">
        <v>0</v>
      </c>
      <c r="I149" s="19" t="s">
        <v>17</v>
      </c>
      <c r="J149" s="8">
        <v>27</v>
      </c>
      <c r="K149" s="19" t="s">
        <v>31</v>
      </c>
      <c r="L149" s="19" t="s">
        <v>38</v>
      </c>
      <c r="M149" s="8">
        <v>5</v>
      </c>
      <c r="N149" s="33">
        <f t="shared" si="16"/>
        <v>0</v>
      </c>
      <c r="O149" s="23">
        <f t="shared" si="17"/>
        <v>9.7950923349354926E-3</v>
      </c>
      <c r="P149" s="59">
        <f t="shared" si="18"/>
        <v>4.0533612239038591E-2</v>
      </c>
      <c r="Q149" s="30">
        <f t="shared" si="19"/>
        <v>0</v>
      </c>
      <c r="R149" s="30">
        <f t="shared" si="20"/>
        <v>-1</v>
      </c>
      <c r="S149" s="12">
        <f t="shared" si="21"/>
        <v>0</v>
      </c>
      <c r="T149" s="30">
        <f t="shared" si="22"/>
        <v>0</v>
      </c>
      <c r="U149" s="9" t="str">
        <f t="shared" si="23"/>
        <v>25-34</v>
      </c>
    </row>
    <row r="150" spans="1:21">
      <c r="A150" t="s">
        <v>182</v>
      </c>
      <c r="B150" s="8">
        <v>1105</v>
      </c>
      <c r="C150" s="23">
        <v>0.2</v>
      </c>
      <c r="D150" s="19" t="s">
        <v>28</v>
      </c>
      <c r="E150" s="21">
        <v>25.074000000000002</v>
      </c>
      <c r="F150" s="21">
        <v>3.7559999999999998</v>
      </c>
      <c r="G150" s="23">
        <v>0</v>
      </c>
      <c r="H150" s="26">
        <v>0</v>
      </c>
      <c r="I150" s="19" t="s">
        <v>21</v>
      </c>
      <c r="J150" s="8">
        <v>55</v>
      </c>
      <c r="K150" s="19" t="s">
        <v>22</v>
      </c>
      <c r="L150" s="19" t="s">
        <v>19</v>
      </c>
      <c r="M150" s="8">
        <v>2</v>
      </c>
      <c r="N150" s="33">
        <f t="shared" si="16"/>
        <v>0</v>
      </c>
      <c r="O150" s="23">
        <f t="shared" si="17"/>
        <v>5.3248136315228976E-2</v>
      </c>
      <c r="P150" s="59">
        <f t="shared" si="18"/>
        <v>0.14979660205790857</v>
      </c>
      <c r="Q150" s="30">
        <f t="shared" si="19"/>
        <v>0</v>
      </c>
      <c r="R150" s="30">
        <f t="shared" si="20"/>
        <v>-1</v>
      </c>
      <c r="S150" s="12">
        <f t="shared" si="21"/>
        <v>0</v>
      </c>
      <c r="T150" s="30">
        <f t="shared" si="22"/>
        <v>0</v>
      </c>
      <c r="U150" s="9" t="str">
        <f t="shared" si="23"/>
        <v>55+</v>
      </c>
    </row>
    <row r="151" spans="1:21">
      <c r="A151" t="s">
        <v>183</v>
      </c>
      <c r="B151" s="8">
        <v>4959</v>
      </c>
      <c r="C151" s="23">
        <v>3.8170000000000003E-2</v>
      </c>
      <c r="D151" s="19" t="s">
        <v>28</v>
      </c>
      <c r="E151" s="21">
        <v>23.85</v>
      </c>
      <c r="F151" s="21">
        <v>0.19700000000000001</v>
      </c>
      <c r="G151" s="23">
        <v>9.7100000000000006E-2</v>
      </c>
      <c r="H151" s="26">
        <v>1</v>
      </c>
      <c r="I151" s="19" t="s">
        <v>1067</v>
      </c>
      <c r="J151" s="8">
        <v>18</v>
      </c>
      <c r="K151" s="19" t="s">
        <v>22</v>
      </c>
      <c r="L151" s="19" t="s">
        <v>32</v>
      </c>
      <c r="M151" s="8">
        <v>3</v>
      </c>
      <c r="N151" s="33">
        <f t="shared" si="16"/>
        <v>5.0761421319796955</v>
      </c>
      <c r="O151" s="23">
        <f t="shared" si="17"/>
        <v>0.19375634517766499</v>
      </c>
      <c r="P151" s="59">
        <f t="shared" si="18"/>
        <v>8.2599580712788261E-3</v>
      </c>
      <c r="Q151" s="30">
        <f t="shared" si="19"/>
        <v>3.8170000000000003E-2</v>
      </c>
      <c r="R151" s="30">
        <f t="shared" si="20"/>
        <v>1.5438826303379618</v>
      </c>
      <c r="S151" s="12">
        <f t="shared" si="21"/>
        <v>2.5438826303379618</v>
      </c>
      <c r="T151" s="30">
        <f t="shared" si="22"/>
        <v>0.49289340101522844</v>
      </c>
      <c r="U151" s="9" t="str">
        <f t="shared" si="23"/>
        <v>18-24</v>
      </c>
    </row>
    <row r="152" spans="1:21">
      <c r="A152" t="s">
        <v>184</v>
      </c>
      <c r="B152" s="8">
        <v>8614</v>
      </c>
      <c r="C152" s="23">
        <v>0.19016</v>
      </c>
      <c r="D152" s="19" t="s">
        <v>40</v>
      </c>
      <c r="E152" s="21">
        <v>62.624000000000002</v>
      </c>
      <c r="F152" s="21">
        <v>7.4660000000000002</v>
      </c>
      <c r="G152" s="23">
        <v>0</v>
      </c>
      <c r="H152" s="26">
        <v>0</v>
      </c>
      <c r="I152" s="19" t="s">
        <v>29</v>
      </c>
      <c r="J152" s="8">
        <v>50</v>
      </c>
      <c r="K152" s="19" t="s">
        <v>31</v>
      </c>
      <c r="L152" s="19" t="s">
        <v>23</v>
      </c>
      <c r="M152" s="8">
        <v>1</v>
      </c>
      <c r="N152" s="33">
        <f t="shared" si="16"/>
        <v>0</v>
      </c>
      <c r="O152" s="23">
        <f t="shared" si="17"/>
        <v>2.5470131261719795E-2</v>
      </c>
      <c r="P152" s="59">
        <f t="shared" si="18"/>
        <v>0.11921946857434849</v>
      </c>
      <c r="Q152" s="30">
        <f t="shared" si="19"/>
        <v>0</v>
      </c>
      <c r="R152" s="30">
        <f t="shared" si="20"/>
        <v>-1</v>
      </c>
      <c r="S152" s="12">
        <f t="shared" si="21"/>
        <v>0</v>
      </c>
      <c r="T152" s="30">
        <f t="shared" si="22"/>
        <v>0</v>
      </c>
      <c r="U152" s="9" t="str">
        <f t="shared" si="23"/>
        <v>45-54</v>
      </c>
    </row>
    <row r="153" spans="1:21">
      <c r="A153" t="s">
        <v>185</v>
      </c>
      <c r="B153" s="8">
        <v>4801</v>
      </c>
      <c r="C153" s="23">
        <v>4.0469999999999999E-2</v>
      </c>
      <c r="D153" s="19" t="s">
        <v>40</v>
      </c>
      <c r="E153" s="21">
        <v>89.138999999999996</v>
      </c>
      <c r="F153" s="21">
        <v>1.617</v>
      </c>
      <c r="G153" s="23">
        <v>0.26123000000000002</v>
      </c>
      <c r="H153" s="26">
        <v>1</v>
      </c>
      <c r="I153" s="19" t="s">
        <v>21</v>
      </c>
      <c r="J153" s="8">
        <v>33</v>
      </c>
      <c r="K153" s="19" t="s">
        <v>37</v>
      </c>
      <c r="L153" s="19" t="s">
        <v>32</v>
      </c>
      <c r="M153" s="8">
        <v>4</v>
      </c>
      <c r="N153" s="33">
        <f t="shared" si="16"/>
        <v>0.6184291898577613</v>
      </c>
      <c r="O153" s="23">
        <f t="shared" si="17"/>
        <v>2.5027829313543599E-2</v>
      </c>
      <c r="P153" s="59">
        <f t="shared" si="18"/>
        <v>1.814020798976879E-2</v>
      </c>
      <c r="Q153" s="30">
        <f t="shared" si="19"/>
        <v>4.0469999999999999E-2</v>
      </c>
      <c r="R153" s="30">
        <f t="shared" si="20"/>
        <v>5.4549048678033119</v>
      </c>
      <c r="S153" s="12">
        <f t="shared" si="21"/>
        <v>6.4549048678033119</v>
      </c>
      <c r="T153" s="30">
        <f t="shared" si="22"/>
        <v>0.16155225726654299</v>
      </c>
      <c r="U153" s="9" t="str">
        <f t="shared" si="23"/>
        <v>25-34</v>
      </c>
    </row>
    <row r="154" spans="1:21">
      <c r="A154" t="s">
        <v>186</v>
      </c>
      <c r="B154" s="8">
        <v>5564</v>
      </c>
      <c r="C154" s="23">
        <v>2.265E-2</v>
      </c>
      <c r="D154" s="19" t="s">
        <v>15</v>
      </c>
      <c r="E154" s="21">
        <v>1.869</v>
      </c>
      <c r="F154" s="21">
        <v>5.71</v>
      </c>
      <c r="G154" s="23">
        <v>0</v>
      </c>
      <c r="H154" s="26">
        <v>0</v>
      </c>
      <c r="I154" s="19" t="s">
        <v>17</v>
      </c>
      <c r="J154" s="8">
        <v>41</v>
      </c>
      <c r="K154" s="19" t="s">
        <v>31</v>
      </c>
      <c r="L154" s="19" t="s">
        <v>38</v>
      </c>
      <c r="M154" s="8" t="s">
        <v>1065</v>
      </c>
      <c r="N154" s="33">
        <f t="shared" si="16"/>
        <v>0</v>
      </c>
      <c r="O154" s="23">
        <f t="shared" si="17"/>
        <v>3.9667250437828375E-3</v>
      </c>
      <c r="P154" s="59">
        <f t="shared" si="18"/>
        <v>3.0551096843231673</v>
      </c>
      <c r="Q154" s="30">
        <f t="shared" si="19"/>
        <v>0</v>
      </c>
      <c r="R154" s="30">
        <f t="shared" si="20"/>
        <v>-1</v>
      </c>
      <c r="S154" s="12">
        <f t="shared" si="21"/>
        <v>0</v>
      </c>
      <c r="T154" s="30">
        <f t="shared" si="22"/>
        <v>0</v>
      </c>
      <c r="U154" s="9" t="str">
        <f t="shared" si="23"/>
        <v>35-44</v>
      </c>
    </row>
    <row r="155" spans="1:21">
      <c r="A155" t="s">
        <v>187</v>
      </c>
      <c r="B155" s="8">
        <v>4382</v>
      </c>
      <c r="C155" s="23">
        <v>0.16650000000000001</v>
      </c>
      <c r="D155" s="19" t="s">
        <v>40</v>
      </c>
      <c r="E155" s="21">
        <v>72.063999999999993</v>
      </c>
      <c r="F155" s="21">
        <v>0.67100000000000004</v>
      </c>
      <c r="G155" s="23">
        <v>0.20751</v>
      </c>
      <c r="H155" s="26">
        <v>1</v>
      </c>
      <c r="I155" s="19" t="s">
        <v>21</v>
      </c>
      <c r="J155" s="8">
        <v>56</v>
      </c>
      <c r="K155" s="19" t="s">
        <v>22</v>
      </c>
      <c r="L155" s="19" t="s">
        <v>19</v>
      </c>
      <c r="M155" s="8">
        <v>5</v>
      </c>
      <c r="N155" s="33">
        <f t="shared" si="16"/>
        <v>1.4903129657228018</v>
      </c>
      <c r="O155" s="23">
        <f t="shared" si="17"/>
        <v>0.24813710879284651</v>
      </c>
      <c r="P155" s="59">
        <f t="shared" si="18"/>
        <v>9.3111678507992908E-3</v>
      </c>
      <c r="Q155" s="30">
        <f t="shared" si="19"/>
        <v>0.16650000000000001</v>
      </c>
      <c r="R155" s="30">
        <f t="shared" si="20"/>
        <v>0.24630630630630623</v>
      </c>
      <c r="S155" s="12">
        <f t="shared" si="21"/>
        <v>1.2463063063063062</v>
      </c>
      <c r="T155" s="30">
        <f t="shared" si="22"/>
        <v>0.30925484351713856</v>
      </c>
      <c r="U155" s="9" t="str">
        <f t="shared" si="23"/>
        <v>55+</v>
      </c>
    </row>
    <row r="156" spans="1:21">
      <c r="A156" t="s">
        <v>188</v>
      </c>
      <c r="B156" s="8">
        <v>8711</v>
      </c>
      <c r="C156" s="23">
        <v>1.9019999999999999E-2</v>
      </c>
      <c r="D156" s="19" t="s">
        <v>28</v>
      </c>
      <c r="E156" s="21">
        <v>20.76</v>
      </c>
      <c r="F156" s="21">
        <v>0.23899999999999999</v>
      </c>
      <c r="G156" s="23">
        <v>0</v>
      </c>
      <c r="H156" s="26">
        <v>0</v>
      </c>
      <c r="I156" s="19" t="s">
        <v>34</v>
      </c>
      <c r="J156" s="8">
        <v>45</v>
      </c>
      <c r="K156" s="19" t="s">
        <v>18</v>
      </c>
      <c r="L156" s="19" t="s">
        <v>45</v>
      </c>
      <c r="M156" s="8">
        <v>4</v>
      </c>
      <c r="N156" s="33">
        <f t="shared" si="16"/>
        <v>0</v>
      </c>
      <c r="O156" s="23">
        <f t="shared" si="17"/>
        <v>7.9581589958158991E-2</v>
      </c>
      <c r="P156" s="59">
        <f t="shared" si="18"/>
        <v>1.1512524084778418E-2</v>
      </c>
      <c r="Q156" s="30">
        <f t="shared" si="19"/>
        <v>0</v>
      </c>
      <c r="R156" s="30">
        <f t="shared" si="20"/>
        <v>-1</v>
      </c>
      <c r="S156" s="12">
        <f t="shared" si="21"/>
        <v>0</v>
      </c>
      <c r="T156" s="30">
        <f t="shared" si="22"/>
        <v>0</v>
      </c>
      <c r="U156" s="9" t="str">
        <f t="shared" si="23"/>
        <v>45-54</v>
      </c>
    </row>
    <row r="157" spans="1:21">
      <c r="A157" t="s">
        <v>189</v>
      </c>
      <c r="B157" s="8">
        <v>2058</v>
      </c>
      <c r="C157" s="23">
        <v>0</v>
      </c>
      <c r="D157" s="19" t="s">
        <v>28</v>
      </c>
      <c r="E157" s="21">
        <v>67.138999999999996</v>
      </c>
      <c r="F157" s="21">
        <v>1.2729999999999999</v>
      </c>
      <c r="G157" s="23">
        <v>0</v>
      </c>
      <c r="H157" s="26">
        <v>0</v>
      </c>
      <c r="I157" s="19" t="s">
        <v>1067</v>
      </c>
      <c r="J157" s="8">
        <v>53</v>
      </c>
      <c r="K157" s="19" t="s">
        <v>22</v>
      </c>
      <c r="L157" s="19" t="s">
        <v>32</v>
      </c>
      <c r="M157" s="8">
        <v>3</v>
      </c>
      <c r="N157" s="33">
        <f t="shared" si="16"/>
        <v>0</v>
      </c>
      <c r="O157" s="23">
        <f t="shared" si="17"/>
        <v>0</v>
      </c>
      <c r="P157" s="59">
        <f t="shared" si="18"/>
        <v>1.8960663697701784E-2</v>
      </c>
      <c r="Q157" s="30">
        <f t="shared" si="19"/>
        <v>0</v>
      </c>
      <c r="R157" s="30">
        <f t="shared" si="20"/>
        <v>0</v>
      </c>
      <c r="S157" s="12">
        <f t="shared" si="21"/>
        <v>0</v>
      </c>
      <c r="T157" s="30">
        <f t="shared" si="22"/>
        <v>0</v>
      </c>
      <c r="U157" s="9" t="str">
        <f t="shared" si="23"/>
        <v>45-54</v>
      </c>
    </row>
    <row r="158" spans="1:21">
      <c r="A158" t="s">
        <v>190</v>
      </c>
      <c r="B158" s="8">
        <v>1660</v>
      </c>
      <c r="C158" s="23">
        <v>0</v>
      </c>
      <c r="D158" s="19" t="s">
        <v>32</v>
      </c>
      <c r="E158" s="21">
        <v>81.983999999999995</v>
      </c>
      <c r="F158" s="21">
        <v>4.0449999999999999</v>
      </c>
      <c r="G158" s="23">
        <v>0</v>
      </c>
      <c r="H158" s="26">
        <v>0</v>
      </c>
      <c r="I158" s="19" t="s">
        <v>1067</v>
      </c>
      <c r="J158" s="8">
        <v>25</v>
      </c>
      <c r="K158" s="19" t="s">
        <v>37</v>
      </c>
      <c r="L158" s="19" t="s">
        <v>23</v>
      </c>
      <c r="M158" s="8" t="s">
        <v>1065</v>
      </c>
      <c r="N158" s="33">
        <f t="shared" si="16"/>
        <v>0</v>
      </c>
      <c r="O158" s="23">
        <f t="shared" si="17"/>
        <v>0</v>
      </c>
      <c r="P158" s="59">
        <f t="shared" si="18"/>
        <v>4.9338895394223266E-2</v>
      </c>
      <c r="Q158" s="30">
        <f t="shared" si="19"/>
        <v>0</v>
      </c>
      <c r="R158" s="30">
        <f t="shared" si="20"/>
        <v>0</v>
      </c>
      <c r="S158" s="12">
        <f t="shared" si="21"/>
        <v>0</v>
      </c>
      <c r="T158" s="30">
        <f t="shared" si="22"/>
        <v>0</v>
      </c>
      <c r="U158" s="9" t="str">
        <f t="shared" si="23"/>
        <v>25-34</v>
      </c>
    </row>
    <row r="159" spans="1:21">
      <c r="A159" t="s">
        <v>191</v>
      </c>
      <c r="B159" s="8">
        <v>8968</v>
      </c>
      <c r="C159" s="23">
        <v>4.7050000000000002E-2</v>
      </c>
      <c r="D159" s="19" t="s">
        <v>28</v>
      </c>
      <c r="E159" s="21">
        <v>63.073</v>
      </c>
      <c r="F159" s="21">
        <v>7.56</v>
      </c>
      <c r="G159" s="23">
        <v>0</v>
      </c>
      <c r="H159" s="26">
        <v>0</v>
      </c>
      <c r="I159" s="19" t="s">
        <v>34</v>
      </c>
      <c r="J159" s="8">
        <v>48</v>
      </c>
      <c r="K159" s="19" t="s">
        <v>31</v>
      </c>
      <c r="L159" s="19" t="s">
        <v>38</v>
      </c>
      <c r="M159" s="8">
        <v>3</v>
      </c>
      <c r="N159" s="33">
        <f t="shared" si="16"/>
        <v>0</v>
      </c>
      <c r="O159" s="23">
        <f t="shared" si="17"/>
        <v>6.2235449735449739E-3</v>
      </c>
      <c r="P159" s="59">
        <f t="shared" si="18"/>
        <v>0.11986111331314508</v>
      </c>
      <c r="Q159" s="30">
        <f t="shared" si="19"/>
        <v>0</v>
      </c>
      <c r="R159" s="30">
        <f t="shared" si="20"/>
        <v>-1</v>
      </c>
      <c r="S159" s="12">
        <f t="shared" si="21"/>
        <v>0</v>
      </c>
      <c r="T159" s="30">
        <f t="shared" si="22"/>
        <v>0</v>
      </c>
      <c r="U159" s="9" t="str">
        <f t="shared" si="23"/>
        <v>45-54</v>
      </c>
    </row>
    <row r="160" spans="1:21">
      <c r="A160" t="s">
        <v>192</v>
      </c>
      <c r="B160" s="8">
        <v>3215</v>
      </c>
      <c r="C160" s="23">
        <v>2.649E-2</v>
      </c>
      <c r="D160" s="19" t="s">
        <v>45</v>
      </c>
      <c r="E160" s="21">
        <v>53.564999999999998</v>
      </c>
      <c r="F160" s="21">
        <v>8.8539999999999992</v>
      </c>
      <c r="G160" s="23">
        <v>0.38738</v>
      </c>
      <c r="H160" s="26">
        <v>1</v>
      </c>
      <c r="I160" s="19" t="s">
        <v>17</v>
      </c>
      <c r="J160" s="8">
        <v>27</v>
      </c>
      <c r="K160" s="19" t="s">
        <v>31</v>
      </c>
      <c r="L160" s="19" t="s">
        <v>38</v>
      </c>
      <c r="M160" s="8">
        <v>3</v>
      </c>
      <c r="N160" s="33">
        <f t="shared" si="16"/>
        <v>0.112943302462164</v>
      </c>
      <c r="O160" s="23">
        <f t="shared" si="17"/>
        <v>2.9918680822227242E-3</v>
      </c>
      <c r="P160" s="59">
        <f t="shared" si="18"/>
        <v>0.16529450200690748</v>
      </c>
      <c r="Q160" s="30">
        <f t="shared" si="19"/>
        <v>2.649E-2</v>
      </c>
      <c r="R160" s="30">
        <f t="shared" si="20"/>
        <v>13.623631559078897</v>
      </c>
      <c r="S160" s="12">
        <f t="shared" si="21"/>
        <v>14.623631559078898</v>
      </c>
      <c r="T160" s="30">
        <f t="shared" si="22"/>
        <v>4.375197650779309E-2</v>
      </c>
      <c r="U160" s="9" t="str">
        <f t="shared" si="23"/>
        <v>25-34</v>
      </c>
    </row>
    <row r="161" spans="1:21">
      <c r="A161" t="s">
        <v>193</v>
      </c>
      <c r="B161" s="8">
        <v>9020</v>
      </c>
      <c r="C161" s="23">
        <v>0.14346</v>
      </c>
      <c r="D161" s="19" t="s">
        <v>28</v>
      </c>
      <c r="E161" s="21">
        <v>9.6929999999999996</v>
      </c>
      <c r="F161" s="21">
        <v>6.9089999999999998</v>
      </c>
      <c r="G161" s="23">
        <v>0</v>
      </c>
      <c r="H161" s="26">
        <v>1</v>
      </c>
      <c r="I161" s="19" t="s">
        <v>1067</v>
      </c>
      <c r="J161" s="8">
        <v>43</v>
      </c>
      <c r="K161" s="19" t="s">
        <v>22</v>
      </c>
      <c r="L161" s="19" t="s">
        <v>32</v>
      </c>
      <c r="M161" s="8">
        <v>5</v>
      </c>
      <c r="N161" s="33">
        <f t="shared" si="16"/>
        <v>0.14473874656245478</v>
      </c>
      <c r="O161" s="23">
        <f t="shared" si="17"/>
        <v>2.0764220581849763E-2</v>
      </c>
      <c r="P161" s="59">
        <f t="shared" si="18"/>
        <v>0.71278242030331163</v>
      </c>
      <c r="Q161" s="30">
        <f t="shared" si="19"/>
        <v>0.14346</v>
      </c>
      <c r="R161" s="30">
        <f t="shared" si="20"/>
        <v>-1</v>
      </c>
      <c r="S161" s="12">
        <f t="shared" si="21"/>
        <v>0</v>
      </c>
      <c r="T161" s="30">
        <f t="shared" si="22"/>
        <v>0</v>
      </c>
      <c r="U161" s="9" t="str">
        <f t="shared" si="23"/>
        <v>35-44</v>
      </c>
    </row>
    <row r="162" spans="1:21">
      <c r="A162" t="s">
        <v>194</v>
      </c>
      <c r="B162" s="8">
        <v>4101</v>
      </c>
      <c r="C162" s="23">
        <v>0.11813</v>
      </c>
      <c r="D162" s="19" t="s">
        <v>40</v>
      </c>
      <c r="E162" s="21">
        <v>24.873999999999999</v>
      </c>
      <c r="F162" s="21">
        <v>0.84199999999999997</v>
      </c>
      <c r="G162" s="23">
        <v>0</v>
      </c>
      <c r="H162" s="26">
        <v>0</v>
      </c>
      <c r="I162" s="19" t="s">
        <v>1067</v>
      </c>
      <c r="J162" s="8">
        <v>57</v>
      </c>
      <c r="K162" s="19" t="s">
        <v>18</v>
      </c>
      <c r="L162" s="19" t="s">
        <v>38</v>
      </c>
      <c r="M162" s="8">
        <v>1</v>
      </c>
      <c r="N162" s="33">
        <f t="shared" si="16"/>
        <v>0</v>
      </c>
      <c r="O162" s="23">
        <f t="shared" si="17"/>
        <v>0.14029691211401427</v>
      </c>
      <c r="P162" s="59">
        <f t="shared" si="18"/>
        <v>3.3850607059580283E-2</v>
      </c>
      <c r="Q162" s="30">
        <f t="shared" si="19"/>
        <v>0</v>
      </c>
      <c r="R162" s="30">
        <f t="shared" si="20"/>
        <v>-1</v>
      </c>
      <c r="S162" s="12">
        <f t="shared" si="21"/>
        <v>0</v>
      </c>
      <c r="T162" s="30">
        <f t="shared" si="22"/>
        <v>0</v>
      </c>
      <c r="U162" s="9" t="str">
        <f t="shared" si="23"/>
        <v>55+</v>
      </c>
    </row>
    <row r="163" spans="1:21">
      <c r="A163" t="s">
        <v>195</v>
      </c>
      <c r="B163" s="8">
        <v>2003</v>
      </c>
      <c r="C163" s="23">
        <v>0</v>
      </c>
      <c r="D163" s="19" t="s">
        <v>45</v>
      </c>
      <c r="E163" s="21">
        <v>55.847999999999999</v>
      </c>
      <c r="F163" s="21">
        <v>2.476</v>
      </c>
      <c r="G163" s="23">
        <v>0</v>
      </c>
      <c r="H163" s="26">
        <v>0</v>
      </c>
      <c r="I163" s="19" t="s">
        <v>34</v>
      </c>
      <c r="J163" s="8">
        <v>65</v>
      </c>
      <c r="K163" s="19" t="s">
        <v>22</v>
      </c>
      <c r="L163" s="19" t="s">
        <v>19</v>
      </c>
      <c r="M163" s="8">
        <v>5</v>
      </c>
      <c r="N163" s="33">
        <f t="shared" si="16"/>
        <v>0</v>
      </c>
      <c r="O163" s="23">
        <f t="shared" si="17"/>
        <v>0</v>
      </c>
      <c r="P163" s="59">
        <f t="shared" si="18"/>
        <v>4.4334622546913047E-2</v>
      </c>
      <c r="Q163" s="30">
        <f t="shared" si="19"/>
        <v>0</v>
      </c>
      <c r="R163" s="30">
        <f t="shared" si="20"/>
        <v>0</v>
      </c>
      <c r="S163" s="12">
        <f t="shared" si="21"/>
        <v>0</v>
      </c>
      <c r="T163" s="30">
        <f t="shared" si="22"/>
        <v>0</v>
      </c>
      <c r="U163" s="9" t="str">
        <f t="shared" si="23"/>
        <v>55+</v>
      </c>
    </row>
    <row r="164" spans="1:21">
      <c r="A164" t="s">
        <v>196</v>
      </c>
      <c r="B164" s="8">
        <v>8023</v>
      </c>
      <c r="C164" s="23">
        <v>4.2509999999999999E-2</v>
      </c>
      <c r="D164" s="19" t="s">
        <v>40</v>
      </c>
      <c r="E164" s="21">
        <v>79.489000000000004</v>
      </c>
      <c r="F164" s="21">
        <v>1.93</v>
      </c>
      <c r="G164" s="23">
        <v>0</v>
      </c>
      <c r="H164" s="26">
        <v>0</v>
      </c>
      <c r="I164" s="19" t="s">
        <v>34</v>
      </c>
      <c r="J164" s="8">
        <v>59</v>
      </c>
      <c r="K164" s="19" t="s">
        <v>22</v>
      </c>
      <c r="L164" s="19" t="s">
        <v>32</v>
      </c>
      <c r="M164" s="8">
        <v>4</v>
      </c>
      <c r="N164" s="33">
        <f t="shared" si="16"/>
        <v>0</v>
      </c>
      <c r="O164" s="23">
        <f t="shared" si="17"/>
        <v>2.2025906735751295E-2</v>
      </c>
      <c r="P164" s="59">
        <f t="shared" si="18"/>
        <v>2.4280089068927774E-2</v>
      </c>
      <c r="Q164" s="30">
        <f t="shared" si="19"/>
        <v>0</v>
      </c>
      <c r="R164" s="30">
        <f t="shared" si="20"/>
        <v>-1</v>
      </c>
      <c r="S164" s="12">
        <f t="shared" si="21"/>
        <v>0</v>
      </c>
      <c r="T164" s="30">
        <f t="shared" si="22"/>
        <v>0</v>
      </c>
      <c r="U164" s="9" t="str">
        <f t="shared" si="23"/>
        <v>55+</v>
      </c>
    </row>
    <row r="165" spans="1:21">
      <c r="A165" t="s">
        <v>197</v>
      </c>
      <c r="B165" s="8">
        <v>1626</v>
      </c>
      <c r="C165" s="23">
        <v>1.108E-2</v>
      </c>
      <c r="D165" s="19" t="s">
        <v>32</v>
      </c>
      <c r="E165" s="21">
        <v>45.774000000000001</v>
      </c>
      <c r="F165" s="21">
        <v>1.359</v>
      </c>
      <c r="G165" s="23">
        <v>0</v>
      </c>
      <c r="H165" s="26">
        <v>0</v>
      </c>
      <c r="I165" s="19" t="s">
        <v>26</v>
      </c>
      <c r="J165" s="8">
        <v>45</v>
      </c>
      <c r="K165" s="19" t="s">
        <v>31</v>
      </c>
      <c r="L165" s="19" t="s">
        <v>38</v>
      </c>
      <c r="M165" s="8">
        <v>4</v>
      </c>
      <c r="N165" s="33">
        <f t="shared" si="16"/>
        <v>0</v>
      </c>
      <c r="O165" s="23">
        <f t="shared" si="17"/>
        <v>8.1530537159676224E-3</v>
      </c>
      <c r="P165" s="59">
        <f t="shared" si="18"/>
        <v>2.9689343295320487E-2</v>
      </c>
      <c r="Q165" s="30">
        <f t="shared" si="19"/>
        <v>0</v>
      </c>
      <c r="R165" s="30">
        <f t="shared" si="20"/>
        <v>-1</v>
      </c>
      <c r="S165" s="12">
        <f t="shared" si="21"/>
        <v>0</v>
      </c>
      <c r="T165" s="30">
        <f t="shared" si="22"/>
        <v>0</v>
      </c>
      <c r="U165" s="9" t="str">
        <f t="shared" si="23"/>
        <v>45-54</v>
      </c>
    </row>
    <row r="166" spans="1:21">
      <c r="A166" t="s">
        <v>198</v>
      </c>
      <c r="B166" s="8">
        <v>6277</v>
      </c>
      <c r="C166" s="23">
        <v>0</v>
      </c>
      <c r="D166" s="19" t="s">
        <v>45</v>
      </c>
      <c r="E166" s="21">
        <v>85.32</v>
      </c>
      <c r="F166" s="21">
        <v>7.6449999999999996</v>
      </c>
      <c r="G166" s="23">
        <v>0</v>
      </c>
      <c r="H166" s="26">
        <v>0</v>
      </c>
      <c r="I166" s="19" t="s">
        <v>26</v>
      </c>
      <c r="J166" s="8">
        <v>44</v>
      </c>
      <c r="K166" s="19" t="s">
        <v>37</v>
      </c>
      <c r="L166" s="19" t="s">
        <v>32</v>
      </c>
      <c r="M166" s="8" t="s">
        <v>1065</v>
      </c>
      <c r="N166" s="33">
        <f t="shared" si="16"/>
        <v>0</v>
      </c>
      <c r="O166" s="23">
        <f t="shared" si="17"/>
        <v>0</v>
      </c>
      <c r="P166" s="59">
        <f t="shared" si="18"/>
        <v>8.9603844350679793E-2</v>
      </c>
      <c r="Q166" s="30">
        <f t="shared" si="19"/>
        <v>0</v>
      </c>
      <c r="R166" s="30">
        <f t="shared" si="20"/>
        <v>0</v>
      </c>
      <c r="S166" s="12">
        <f t="shared" si="21"/>
        <v>0</v>
      </c>
      <c r="T166" s="30">
        <f t="shared" si="22"/>
        <v>0</v>
      </c>
      <c r="U166" s="9" t="str">
        <f t="shared" si="23"/>
        <v>35-44</v>
      </c>
    </row>
    <row r="167" spans="1:21">
      <c r="A167" t="s">
        <v>199</v>
      </c>
      <c r="B167" s="8">
        <v>3199</v>
      </c>
      <c r="C167" s="23">
        <v>0.17715</v>
      </c>
      <c r="D167" s="19" t="s">
        <v>15</v>
      </c>
      <c r="E167" s="21">
        <v>55.055</v>
      </c>
      <c r="F167" s="21">
        <v>0.68200000000000005</v>
      </c>
      <c r="G167" s="23">
        <v>0.42808000000000002</v>
      </c>
      <c r="H167" s="26">
        <v>1</v>
      </c>
      <c r="I167" s="19" t="s">
        <v>29</v>
      </c>
      <c r="J167" s="8">
        <v>41</v>
      </c>
      <c r="K167" s="19" t="s">
        <v>18</v>
      </c>
      <c r="L167" s="19" t="s">
        <v>38</v>
      </c>
      <c r="M167" s="8" t="s">
        <v>1065</v>
      </c>
      <c r="N167" s="33">
        <f t="shared" si="16"/>
        <v>1.4662756598240467</v>
      </c>
      <c r="O167" s="23">
        <f t="shared" si="17"/>
        <v>0.25975073313782987</v>
      </c>
      <c r="P167" s="59">
        <f t="shared" si="18"/>
        <v>1.2387612387612389E-2</v>
      </c>
      <c r="Q167" s="30">
        <f t="shared" si="19"/>
        <v>0.17715</v>
      </c>
      <c r="R167" s="30">
        <f t="shared" si="20"/>
        <v>1.4164832063223256</v>
      </c>
      <c r="S167" s="12">
        <f t="shared" si="21"/>
        <v>2.4164832063223258</v>
      </c>
      <c r="T167" s="30">
        <f t="shared" si="22"/>
        <v>0.62768328445747801</v>
      </c>
      <c r="U167" s="9" t="str">
        <f t="shared" si="23"/>
        <v>35-44</v>
      </c>
    </row>
    <row r="168" spans="1:21">
      <c r="A168" t="s">
        <v>200</v>
      </c>
      <c r="B168" s="8">
        <v>4530</v>
      </c>
      <c r="C168" s="23">
        <v>3.1550000000000002E-2</v>
      </c>
      <c r="D168" s="19" t="s">
        <v>28</v>
      </c>
      <c r="E168" s="21">
        <v>96.433999999999997</v>
      </c>
      <c r="F168" s="21">
        <v>9.5009999999999994</v>
      </c>
      <c r="G168" s="23">
        <v>0.45833000000000002</v>
      </c>
      <c r="H168" s="26">
        <v>1</v>
      </c>
      <c r="I168" s="19" t="s">
        <v>29</v>
      </c>
      <c r="J168" s="8">
        <v>39</v>
      </c>
      <c r="K168" s="19" t="s">
        <v>22</v>
      </c>
      <c r="L168" s="19" t="s">
        <v>19</v>
      </c>
      <c r="M168" s="8">
        <v>2</v>
      </c>
      <c r="N168" s="33">
        <f t="shared" si="16"/>
        <v>0.1052520787285549</v>
      </c>
      <c r="O168" s="23">
        <f t="shared" si="17"/>
        <v>3.3207030838859073E-3</v>
      </c>
      <c r="P168" s="59">
        <f t="shared" si="18"/>
        <v>9.8523342389613619E-2</v>
      </c>
      <c r="Q168" s="30">
        <f t="shared" si="19"/>
        <v>3.1550000000000002E-2</v>
      </c>
      <c r="R168" s="30">
        <f t="shared" si="20"/>
        <v>13.527099841521395</v>
      </c>
      <c r="S168" s="12">
        <f t="shared" si="21"/>
        <v>14.527099841521395</v>
      </c>
      <c r="T168" s="30">
        <f t="shared" si="22"/>
        <v>4.8240185243658563E-2</v>
      </c>
      <c r="U168" s="9" t="str">
        <f t="shared" si="23"/>
        <v>35-44</v>
      </c>
    </row>
    <row r="169" spans="1:21">
      <c r="A169" t="s">
        <v>201</v>
      </c>
      <c r="B169" s="8">
        <v>5714</v>
      </c>
      <c r="C169" s="23">
        <v>0</v>
      </c>
      <c r="D169" s="19" t="s">
        <v>28</v>
      </c>
      <c r="E169" s="21">
        <v>77.646000000000001</v>
      </c>
      <c r="F169" s="21">
        <v>9.3160000000000007</v>
      </c>
      <c r="G169" s="23">
        <v>0</v>
      </c>
      <c r="H169" s="26">
        <v>0</v>
      </c>
      <c r="I169" s="19" t="s">
        <v>26</v>
      </c>
      <c r="J169" s="8">
        <v>29</v>
      </c>
      <c r="K169" s="19" t="s">
        <v>37</v>
      </c>
      <c r="L169" s="19" t="s">
        <v>38</v>
      </c>
      <c r="M169" s="8">
        <v>3</v>
      </c>
      <c r="N169" s="33">
        <f t="shared" si="16"/>
        <v>0</v>
      </c>
      <c r="O169" s="23">
        <f t="shared" si="17"/>
        <v>0</v>
      </c>
      <c r="P169" s="59">
        <f t="shared" si="18"/>
        <v>0.11998042397547846</v>
      </c>
      <c r="Q169" s="30">
        <f t="shared" si="19"/>
        <v>0</v>
      </c>
      <c r="R169" s="30">
        <f t="shared" si="20"/>
        <v>0</v>
      </c>
      <c r="S169" s="12">
        <f t="shared" si="21"/>
        <v>0</v>
      </c>
      <c r="T169" s="30">
        <f t="shared" si="22"/>
        <v>0</v>
      </c>
      <c r="U169" s="9" t="str">
        <f t="shared" si="23"/>
        <v>25-34</v>
      </c>
    </row>
    <row r="170" spans="1:21">
      <c r="A170" t="s">
        <v>202</v>
      </c>
      <c r="B170" s="8">
        <v>8914</v>
      </c>
      <c r="C170" s="23">
        <v>9.8030000000000006E-2</v>
      </c>
      <c r="D170" s="19" t="s">
        <v>40</v>
      </c>
      <c r="E170" s="21">
        <v>41.920999999999999</v>
      </c>
      <c r="F170" s="21">
        <v>2.5830000000000002</v>
      </c>
      <c r="G170" s="23">
        <v>0</v>
      </c>
      <c r="H170" s="26">
        <v>0</v>
      </c>
      <c r="I170" s="19" t="s">
        <v>29</v>
      </c>
      <c r="J170" s="8">
        <v>56</v>
      </c>
      <c r="K170" s="19" t="s">
        <v>31</v>
      </c>
      <c r="L170" s="19" t="s">
        <v>23</v>
      </c>
      <c r="M170" s="8">
        <v>1</v>
      </c>
      <c r="N170" s="33">
        <f t="shared" si="16"/>
        <v>0</v>
      </c>
      <c r="O170" s="23">
        <f t="shared" si="17"/>
        <v>3.795199380565234E-2</v>
      </c>
      <c r="P170" s="59">
        <f t="shared" si="18"/>
        <v>6.1615896567352883E-2</v>
      </c>
      <c r="Q170" s="30">
        <f t="shared" si="19"/>
        <v>0</v>
      </c>
      <c r="R170" s="30">
        <f t="shared" si="20"/>
        <v>-1</v>
      </c>
      <c r="S170" s="12">
        <f t="shared" si="21"/>
        <v>0</v>
      </c>
      <c r="T170" s="30">
        <f t="shared" si="22"/>
        <v>0</v>
      </c>
      <c r="U170" s="9" t="str">
        <f t="shared" si="23"/>
        <v>55+</v>
      </c>
    </row>
    <row r="171" spans="1:21">
      <c r="A171" t="s">
        <v>203</v>
      </c>
      <c r="B171" s="8">
        <v>5564</v>
      </c>
      <c r="C171" s="23">
        <v>0</v>
      </c>
      <c r="D171" s="19" t="s">
        <v>40</v>
      </c>
      <c r="E171" s="21">
        <v>56.228000000000002</v>
      </c>
      <c r="F171" s="21">
        <v>6.3159999999999998</v>
      </c>
      <c r="G171" s="23">
        <v>0</v>
      </c>
      <c r="H171" s="26">
        <v>0</v>
      </c>
      <c r="I171" s="19" t="s">
        <v>17</v>
      </c>
      <c r="J171" s="8">
        <v>61</v>
      </c>
      <c r="K171" s="19" t="s">
        <v>18</v>
      </c>
      <c r="L171" s="19" t="s">
        <v>38</v>
      </c>
      <c r="M171" s="8">
        <v>5</v>
      </c>
      <c r="N171" s="33">
        <f t="shared" si="16"/>
        <v>0</v>
      </c>
      <c r="O171" s="23">
        <f t="shared" si="17"/>
        <v>0</v>
      </c>
      <c r="P171" s="59">
        <f t="shared" si="18"/>
        <v>0.11232837732090772</v>
      </c>
      <c r="Q171" s="30">
        <f t="shared" si="19"/>
        <v>0</v>
      </c>
      <c r="R171" s="30">
        <f t="shared" si="20"/>
        <v>0</v>
      </c>
      <c r="S171" s="12">
        <f t="shared" si="21"/>
        <v>0</v>
      </c>
      <c r="T171" s="30">
        <f t="shared" si="22"/>
        <v>0</v>
      </c>
      <c r="U171" s="9" t="str">
        <f t="shared" si="23"/>
        <v>55+</v>
      </c>
    </row>
    <row r="172" spans="1:21">
      <c r="A172" t="s">
        <v>204</v>
      </c>
      <c r="B172" s="8">
        <v>7114</v>
      </c>
      <c r="C172" s="23">
        <v>0.16894000000000001</v>
      </c>
      <c r="D172" s="19" t="s">
        <v>28</v>
      </c>
      <c r="E172" s="21">
        <v>36.893000000000001</v>
      </c>
      <c r="F172" s="21">
        <v>9.8209999999999997</v>
      </c>
      <c r="G172" s="23">
        <v>0.31268000000000001</v>
      </c>
      <c r="H172" s="26">
        <v>1</v>
      </c>
      <c r="I172" s="19" t="s">
        <v>21</v>
      </c>
      <c r="J172" s="8">
        <v>42</v>
      </c>
      <c r="K172" s="19" t="s">
        <v>31</v>
      </c>
      <c r="L172" s="19" t="s">
        <v>19</v>
      </c>
      <c r="M172" s="8" t="s">
        <v>1065</v>
      </c>
      <c r="N172" s="33">
        <f t="shared" si="16"/>
        <v>0.10182262498727218</v>
      </c>
      <c r="O172" s="23">
        <f t="shared" si="17"/>
        <v>1.7201914265349762E-2</v>
      </c>
      <c r="P172" s="59">
        <f t="shared" si="18"/>
        <v>0.26620226059144009</v>
      </c>
      <c r="Q172" s="30">
        <f t="shared" si="19"/>
        <v>0.16894000000000001</v>
      </c>
      <c r="R172" s="30">
        <f t="shared" si="20"/>
        <v>0.85083461583994313</v>
      </c>
      <c r="S172" s="12">
        <f t="shared" si="21"/>
        <v>1.8508346158399431</v>
      </c>
      <c r="T172" s="30">
        <f t="shared" si="22"/>
        <v>3.1837898381020267E-2</v>
      </c>
      <c r="U172" s="9" t="str">
        <f t="shared" si="23"/>
        <v>35-44</v>
      </c>
    </row>
    <row r="173" spans="1:21">
      <c r="A173" t="s">
        <v>205</v>
      </c>
      <c r="B173" s="8">
        <v>9321</v>
      </c>
      <c r="C173" s="23">
        <v>3.2750000000000001E-2</v>
      </c>
      <c r="D173" s="19" t="s">
        <v>40</v>
      </c>
      <c r="E173" s="21">
        <v>97.284999999999997</v>
      </c>
      <c r="F173" s="21">
        <v>5.5510000000000002</v>
      </c>
      <c r="G173" s="23">
        <v>0</v>
      </c>
      <c r="H173" s="26">
        <v>0</v>
      </c>
      <c r="I173" s="19" t="s">
        <v>26</v>
      </c>
      <c r="J173" s="8">
        <v>20</v>
      </c>
      <c r="K173" s="19" t="s">
        <v>37</v>
      </c>
      <c r="L173" s="19" t="s">
        <v>45</v>
      </c>
      <c r="M173" s="8">
        <v>3</v>
      </c>
      <c r="N173" s="33">
        <f t="shared" si="16"/>
        <v>0</v>
      </c>
      <c r="O173" s="23">
        <f t="shared" si="17"/>
        <v>5.899837867050982E-3</v>
      </c>
      <c r="P173" s="59">
        <f t="shared" si="18"/>
        <v>5.7059156087783322E-2</v>
      </c>
      <c r="Q173" s="30">
        <f t="shared" si="19"/>
        <v>0</v>
      </c>
      <c r="R173" s="30">
        <f t="shared" si="20"/>
        <v>-1</v>
      </c>
      <c r="S173" s="12">
        <f t="shared" si="21"/>
        <v>0</v>
      </c>
      <c r="T173" s="30">
        <f t="shared" si="22"/>
        <v>0</v>
      </c>
      <c r="U173" s="9" t="str">
        <f t="shared" si="23"/>
        <v>18-24</v>
      </c>
    </row>
    <row r="174" spans="1:21">
      <c r="A174" t="s">
        <v>206</v>
      </c>
      <c r="B174" s="8">
        <v>7758</v>
      </c>
      <c r="C174" s="23">
        <v>2.2720000000000001E-2</v>
      </c>
      <c r="D174" s="19" t="s">
        <v>25</v>
      </c>
      <c r="E174" s="21">
        <v>27.945</v>
      </c>
      <c r="F174" s="21">
        <v>7.4059999999999997</v>
      </c>
      <c r="G174" s="23">
        <v>0</v>
      </c>
      <c r="H174" s="26">
        <v>0</v>
      </c>
      <c r="I174" s="19" t="s">
        <v>26</v>
      </c>
      <c r="J174" s="8">
        <v>23</v>
      </c>
      <c r="K174" s="19" t="s">
        <v>31</v>
      </c>
      <c r="L174" s="19" t="s">
        <v>23</v>
      </c>
      <c r="M174" s="8">
        <v>4</v>
      </c>
      <c r="N174" s="33">
        <f t="shared" si="16"/>
        <v>0</v>
      </c>
      <c r="O174" s="23">
        <f t="shared" si="17"/>
        <v>3.0677828787469621E-3</v>
      </c>
      <c r="P174" s="59">
        <f t="shared" si="18"/>
        <v>0.26502057613168722</v>
      </c>
      <c r="Q174" s="30">
        <f t="shared" si="19"/>
        <v>0</v>
      </c>
      <c r="R174" s="30">
        <f t="shared" si="20"/>
        <v>-1</v>
      </c>
      <c r="S174" s="12">
        <f t="shared" si="21"/>
        <v>0</v>
      </c>
      <c r="T174" s="30">
        <f t="shared" si="22"/>
        <v>0</v>
      </c>
      <c r="U174" s="9" t="str">
        <f t="shared" si="23"/>
        <v>18-24</v>
      </c>
    </row>
    <row r="175" spans="1:21">
      <c r="A175" t="s">
        <v>207</v>
      </c>
      <c r="B175" s="8">
        <v>4330</v>
      </c>
      <c r="C175" s="23">
        <v>7.7649999999999997E-2</v>
      </c>
      <c r="D175" s="19" t="s">
        <v>25</v>
      </c>
      <c r="E175" s="21">
        <v>13.436999999999999</v>
      </c>
      <c r="F175" s="21">
        <v>6.7350000000000003</v>
      </c>
      <c r="G175" s="23">
        <v>4.3409999999999997E-2</v>
      </c>
      <c r="H175" s="26">
        <v>1</v>
      </c>
      <c r="I175" s="19" t="s">
        <v>21</v>
      </c>
      <c r="J175" s="8">
        <v>50</v>
      </c>
      <c r="K175" s="19" t="s">
        <v>22</v>
      </c>
      <c r="L175" s="19" t="s">
        <v>23</v>
      </c>
      <c r="M175" s="8">
        <v>5</v>
      </c>
      <c r="N175" s="33">
        <f t="shared" si="16"/>
        <v>0.14847809948032664</v>
      </c>
      <c r="O175" s="23">
        <f t="shared" si="17"/>
        <v>1.1529324424647363E-2</v>
      </c>
      <c r="P175" s="59">
        <f t="shared" si="18"/>
        <v>0.50122795266800635</v>
      </c>
      <c r="Q175" s="30">
        <f t="shared" si="19"/>
        <v>7.7649999999999997E-2</v>
      </c>
      <c r="R175" s="30">
        <f t="shared" si="20"/>
        <v>-0.44095299420476497</v>
      </c>
      <c r="S175" s="12">
        <f t="shared" si="21"/>
        <v>0.55904700579523503</v>
      </c>
      <c r="T175" s="30">
        <f t="shared" si="22"/>
        <v>6.4454342984409793E-3</v>
      </c>
      <c r="U175" s="9" t="str">
        <f t="shared" si="23"/>
        <v>45-54</v>
      </c>
    </row>
    <row r="176" spans="1:21">
      <c r="A176" t="s">
        <v>208</v>
      </c>
      <c r="B176" s="8">
        <v>1987</v>
      </c>
      <c r="C176" s="23">
        <v>5.1999999999999998E-3</v>
      </c>
      <c r="D176" s="19" t="s">
        <v>32</v>
      </c>
      <c r="E176" s="21">
        <v>96.99</v>
      </c>
      <c r="F176" s="21">
        <v>5.1429999999999998</v>
      </c>
      <c r="G176" s="23">
        <v>0.11975</v>
      </c>
      <c r="H176" s="26">
        <v>1</v>
      </c>
      <c r="I176" s="19" t="s">
        <v>17</v>
      </c>
      <c r="J176" s="8">
        <v>41</v>
      </c>
      <c r="K176" s="19" t="s">
        <v>18</v>
      </c>
      <c r="L176" s="19" t="s">
        <v>38</v>
      </c>
      <c r="M176" s="8">
        <v>2</v>
      </c>
      <c r="N176" s="33">
        <f t="shared" si="16"/>
        <v>0.19443904335990667</v>
      </c>
      <c r="O176" s="23">
        <f t="shared" si="17"/>
        <v>1.0110830254715147E-3</v>
      </c>
      <c r="P176" s="59">
        <f t="shared" si="18"/>
        <v>5.3026085163418911E-2</v>
      </c>
      <c r="Q176" s="30">
        <f t="shared" si="19"/>
        <v>5.1999999999999998E-3</v>
      </c>
      <c r="R176" s="30">
        <f t="shared" si="20"/>
        <v>22.028846153846153</v>
      </c>
      <c r="S176" s="12">
        <f t="shared" si="21"/>
        <v>23.028846153846153</v>
      </c>
      <c r="T176" s="30">
        <f t="shared" si="22"/>
        <v>2.3284075442348822E-2</v>
      </c>
      <c r="U176" s="9" t="str">
        <f t="shared" si="23"/>
        <v>35-44</v>
      </c>
    </row>
    <row r="177" spans="1:21">
      <c r="A177" t="s">
        <v>209</v>
      </c>
      <c r="B177" s="8">
        <v>3176</v>
      </c>
      <c r="C177" s="23">
        <v>0.17463999999999999</v>
      </c>
      <c r="D177" s="19" t="s">
        <v>25</v>
      </c>
      <c r="E177" s="21">
        <v>5.0720000000000001</v>
      </c>
      <c r="F177" s="21">
        <v>2.448</v>
      </c>
      <c r="G177" s="23">
        <v>0.43858999999999998</v>
      </c>
      <c r="H177" s="26">
        <v>1</v>
      </c>
      <c r="I177" s="19" t="s">
        <v>26</v>
      </c>
      <c r="J177" s="8">
        <v>32</v>
      </c>
      <c r="K177" s="19" t="s">
        <v>22</v>
      </c>
      <c r="L177" s="19" t="s">
        <v>19</v>
      </c>
      <c r="M177" s="8" t="s">
        <v>1065</v>
      </c>
      <c r="N177" s="33">
        <f t="shared" si="16"/>
        <v>0.40849673202614378</v>
      </c>
      <c r="O177" s="23">
        <f t="shared" si="17"/>
        <v>7.1339869281045742E-2</v>
      </c>
      <c r="P177" s="59">
        <f t="shared" si="18"/>
        <v>0.48264984227129337</v>
      </c>
      <c r="Q177" s="30">
        <f t="shared" si="19"/>
        <v>0.17463999999999999</v>
      </c>
      <c r="R177" s="30">
        <f t="shared" si="20"/>
        <v>1.5113948694457171</v>
      </c>
      <c r="S177" s="12">
        <f t="shared" si="21"/>
        <v>2.5113948694457169</v>
      </c>
      <c r="T177" s="30">
        <f t="shared" si="22"/>
        <v>0.1791625816993464</v>
      </c>
      <c r="U177" s="9" t="str">
        <f t="shared" si="23"/>
        <v>25-34</v>
      </c>
    </row>
    <row r="178" spans="1:21">
      <c r="A178" t="s">
        <v>210</v>
      </c>
      <c r="B178" s="8">
        <v>8762</v>
      </c>
      <c r="C178" s="23">
        <v>0.13847000000000001</v>
      </c>
      <c r="D178" s="19" t="s">
        <v>40</v>
      </c>
      <c r="E178" s="21">
        <v>70.320999999999998</v>
      </c>
      <c r="F178" s="21">
        <v>5.1310000000000002</v>
      </c>
      <c r="G178" s="23">
        <v>0</v>
      </c>
      <c r="H178" s="26">
        <v>0</v>
      </c>
      <c r="I178" s="19" t="s">
        <v>34</v>
      </c>
      <c r="J178" s="8">
        <v>40</v>
      </c>
      <c r="K178" s="19" t="s">
        <v>31</v>
      </c>
      <c r="L178" s="19" t="s">
        <v>38</v>
      </c>
      <c r="M178" s="8">
        <v>2</v>
      </c>
      <c r="N178" s="33">
        <f t="shared" si="16"/>
        <v>0</v>
      </c>
      <c r="O178" s="23">
        <f t="shared" si="17"/>
        <v>2.6986942116546484E-2</v>
      </c>
      <c r="P178" s="59">
        <f t="shared" si="18"/>
        <v>7.2965401515905637E-2</v>
      </c>
      <c r="Q178" s="30">
        <f t="shared" si="19"/>
        <v>0</v>
      </c>
      <c r="R178" s="30">
        <f t="shared" si="20"/>
        <v>-1</v>
      </c>
      <c r="S178" s="12">
        <f t="shared" si="21"/>
        <v>0</v>
      </c>
      <c r="T178" s="30">
        <f t="shared" si="22"/>
        <v>0</v>
      </c>
      <c r="U178" s="9" t="str">
        <f t="shared" si="23"/>
        <v>35-44</v>
      </c>
    </row>
    <row r="179" spans="1:21">
      <c r="A179" t="s">
        <v>211</v>
      </c>
      <c r="B179" s="8">
        <v>2206</v>
      </c>
      <c r="C179" s="23">
        <v>0.13777</v>
      </c>
      <c r="D179" s="19" t="s">
        <v>15</v>
      </c>
      <c r="E179" s="21">
        <v>66.668999999999997</v>
      </c>
      <c r="F179" s="21">
        <v>2.5760000000000001</v>
      </c>
      <c r="G179" s="23">
        <v>0</v>
      </c>
      <c r="H179" s="26">
        <v>0</v>
      </c>
      <c r="I179" s="19" t="s">
        <v>34</v>
      </c>
      <c r="J179" s="8">
        <v>41</v>
      </c>
      <c r="K179" s="19" t="s">
        <v>37</v>
      </c>
      <c r="L179" s="19" t="s">
        <v>32</v>
      </c>
      <c r="M179" s="8">
        <v>1</v>
      </c>
      <c r="N179" s="33">
        <f t="shared" si="16"/>
        <v>0</v>
      </c>
      <c r="O179" s="23">
        <f t="shared" si="17"/>
        <v>5.348214285714286E-2</v>
      </c>
      <c r="P179" s="59">
        <f t="shared" si="18"/>
        <v>3.8638647647332346E-2</v>
      </c>
      <c r="Q179" s="30">
        <f t="shared" si="19"/>
        <v>0</v>
      </c>
      <c r="R179" s="30">
        <f t="shared" si="20"/>
        <v>-1</v>
      </c>
      <c r="S179" s="12">
        <f t="shared" si="21"/>
        <v>0</v>
      </c>
      <c r="T179" s="30">
        <f t="shared" si="22"/>
        <v>0</v>
      </c>
      <c r="U179" s="9" t="str">
        <f t="shared" si="23"/>
        <v>35-44</v>
      </c>
    </row>
    <row r="180" spans="1:21">
      <c r="A180" t="s">
        <v>212</v>
      </c>
      <c r="B180" s="8">
        <v>1795</v>
      </c>
      <c r="C180" s="23">
        <v>4.0719999999999999E-2</v>
      </c>
      <c r="D180" s="19" t="s">
        <v>28</v>
      </c>
      <c r="E180" s="21">
        <v>24.956</v>
      </c>
      <c r="F180" s="21">
        <v>5.7439999999999998</v>
      </c>
      <c r="G180" s="23">
        <v>0</v>
      </c>
      <c r="H180" s="26">
        <v>0</v>
      </c>
      <c r="I180" s="19" t="s">
        <v>26</v>
      </c>
      <c r="J180" s="8">
        <v>28</v>
      </c>
      <c r="K180" s="19" t="s">
        <v>37</v>
      </c>
      <c r="L180" s="19" t="s">
        <v>38</v>
      </c>
      <c r="M180" s="8">
        <v>2</v>
      </c>
      <c r="N180" s="33">
        <f t="shared" si="16"/>
        <v>0</v>
      </c>
      <c r="O180" s="23">
        <f t="shared" si="17"/>
        <v>7.0891364902506962E-3</v>
      </c>
      <c r="P180" s="59">
        <f t="shared" si="18"/>
        <v>0.2301650905593845</v>
      </c>
      <c r="Q180" s="30">
        <f t="shared" si="19"/>
        <v>0</v>
      </c>
      <c r="R180" s="30">
        <f t="shared" si="20"/>
        <v>-1</v>
      </c>
      <c r="S180" s="12">
        <f t="shared" si="21"/>
        <v>0</v>
      </c>
      <c r="T180" s="30">
        <f t="shared" si="22"/>
        <v>0</v>
      </c>
      <c r="U180" s="9" t="str">
        <f t="shared" si="23"/>
        <v>25-34</v>
      </c>
    </row>
    <row r="181" spans="1:21">
      <c r="A181" t="s">
        <v>213</v>
      </c>
      <c r="B181" s="8">
        <v>4660</v>
      </c>
      <c r="C181" s="23">
        <v>2.6610000000000002E-2</v>
      </c>
      <c r="D181" s="19" t="s">
        <v>40</v>
      </c>
      <c r="E181" s="21">
        <v>93.643000000000001</v>
      </c>
      <c r="F181" s="21">
        <v>1.111</v>
      </c>
      <c r="G181" s="23">
        <v>0</v>
      </c>
      <c r="H181" s="26">
        <v>0</v>
      </c>
      <c r="I181" s="19" t="s">
        <v>29</v>
      </c>
      <c r="J181" s="8">
        <v>40</v>
      </c>
      <c r="K181" s="19" t="s">
        <v>18</v>
      </c>
      <c r="L181" s="19" t="s">
        <v>19</v>
      </c>
      <c r="M181" s="8">
        <v>4</v>
      </c>
      <c r="N181" s="33">
        <f t="shared" si="16"/>
        <v>0</v>
      </c>
      <c r="O181" s="23">
        <f t="shared" si="17"/>
        <v>2.3951395139513953E-2</v>
      </c>
      <c r="P181" s="59">
        <f t="shared" si="18"/>
        <v>1.1864207682368143E-2</v>
      </c>
      <c r="Q181" s="30">
        <f t="shared" si="19"/>
        <v>0</v>
      </c>
      <c r="R181" s="30">
        <f t="shared" si="20"/>
        <v>-1</v>
      </c>
      <c r="S181" s="12">
        <f t="shared" si="21"/>
        <v>0</v>
      </c>
      <c r="T181" s="30">
        <f t="shared" si="22"/>
        <v>0</v>
      </c>
      <c r="U181" s="9" t="str">
        <f t="shared" si="23"/>
        <v>35-44</v>
      </c>
    </row>
    <row r="182" spans="1:21">
      <c r="A182" t="s">
        <v>214</v>
      </c>
      <c r="B182" s="8">
        <v>1403</v>
      </c>
      <c r="C182" s="23">
        <v>0.18804999999999999</v>
      </c>
      <c r="D182" s="19" t="s">
        <v>28</v>
      </c>
      <c r="E182" s="21">
        <v>71.563000000000002</v>
      </c>
      <c r="F182" s="21">
        <v>6.3979999999999997</v>
      </c>
      <c r="G182" s="23">
        <v>0</v>
      </c>
      <c r="H182" s="26">
        <v>0</v>
      </c>
      <c r="I182" s="19" t="s">
        <v>1067</v>
      </c>
      <c r="J182" s="8">
        <v>41</v>
      </c>
      <c r="K182" s="19" t="s">
        <v>31</v>
      </c>
      <c r="L182" s="19" t="s">
        <v>45</v>
      </c>
      <c r="M182" s="8">
        <v>5</v>
      </c>
      <c r="N182" s="33">
        <f t="shared" si="16"/>
        <v>0</v>
      </c>
      <c r="O182" s="23">
        <f t="shared" si="17"/>
        <v>2.9391997499218506E-2</v>
      </c>
      <c r="P182" s="59">
        <f t="shared" si="18"/>
        <v>8.9403742157260033E-2</v>
      </c>
      <c r="Q182" s="30">
        <f t="shared" si="19"/>
        <v>0</v>
      </c>
      <c r="R182" s="30">
        <f t="shared" si="20"/>
        <v>-1</v>
      </c>
      <c r="S182" s="12">
        <f t="shared" si="21"/>
        <v>0</v>
      </c>
      <c r="T182" s="30">
        <f t="shared" si="22"/>
        <v>0</v>
      </c>
      <c r="U182" s="9" t="str">
        <f t="shared" si="23"/>
        <v>35-44</v>
      </c>
    </row>
    <row r="183" spans="1:21">
      <c r="A183" t="s">
        <v>215</v>
      </c>
      <c r="B183" s="8">
        <v>3720</v>
      </c>
      <c r="C183" s="23">
        <v>0.12787999999999999</v>
      </c>
      <c r="D183" s="19" t="s">
        <v>32</v>
      </c>
      <c r="E183" s="21">
        <v>3.1629999999999998</v>
      </c>
      <c r="F183" s="21">
        <v>8.8859999999999992</v>
      </c>
      <c r="G183" s="23">
        <v>0</v>
      </c>
      <c r="H183" s="26">
        <v>0</v>
      </c>
      <c r="I183" s="19" t="s">
        <v>34</v>
      </c>
      <c r="J183" s="8">
        <v>21</v>
      </c>
      <c r="K183" s="19" t="s">
        <v>18</v>
      </c>
      <c r="L183" s="19" t="s">
        <v>19</v>
      </c>
      <c r="M183" s="8">
        <v>5</v>
      </c>
      <c r="N183" s="33">
        <f t="shared" si="16"/>
        <v>0</v>
      </c>
      <c r="O183" s="23">
        <f t="shared" si="17"/>
        <v>1.4391177132568085E-2</v>
      </c>
      <c r="P183" s="59">
        <f t="shared" si="18"/>
        <v>2.8093582042364842</v>
      </c>
      <c r="Q183" s="30">
        <f t="shared" si="19"/>
        <v>0</v>
      </c>
      <c r="R183" s="30">
        <f t="shared" si="20"/>
        <v>-1</v>
      </c>
      <c r="S183" s="12">
        <f t="shared" si="21"/>
        <v>0</v>
      </c>
      <c r="T183" s="30">
        <f t="shared" si="22"/>
        <v>0</v>
      </c>
      <c r="U183" s="9" t="str">
        <f t="shared" si="23"/>
        <v>18-24</v>
      </c>
    </row>
    <row r="184" spans="1:21">
      <c r="A184" t="s">
        <v>216</v>
      </c>
      <c r="B184" s="8">
        <v>7492</v>
      </c>
      <c r="C184" s="23">
        <v>0.11611</v>
      </c>
      <c r="D184" s="19" t="s">
        <v>32</v>
      </c>
      <c r="E184" s="21">
        <v>64.757999999999996</v>
      </c>
      <c r="F184" s="21">
        <v>4.8310000000000004</v>
      </c>
      <c r="G184" s="23">
        <v>0</v>
      </c>
      <c r="H184" s="26">
        <v>0</v>
      </c>
      <c r="I184" s="19" t="s">
        <v>21</v>
      </c>
      <c r="J184" s="8">
        <v>61</v>
      </c>
      <c r="K184" s="19" t="s">
        <v>22</v>
      </c>
      <c r="L184" s="19" t="s">
        <v>38</v>
      </c>
      <c r="M184" s="8">
        <v>1</v>
      </c>
      <c r="N184" s="33">
        <f t="shared" si="16"/>
        <v>0</v>
      </c>
      <c r="O184" s="23">
        <f t="shared" si="17"/>
        <v>2.403436141585593E-2</v>
      </c>
      <c r="P184" s="59">
        <f t="shared" si="18"/>
        <v>7.4600821520121083E-2</v>
      </c>
      <c r="Q184" s="30">
        <f t="shared" si="19"/>
        <v>0</v>
      </c>
      <c r="R184" s="30">
        <f t="shared" si="20"/>
        <v>-1</v>
      </c>
      <c r="S184" s="12">
        <f t="shared" si="21"/>
        <v>0</v>
      </c>
      <c r="T184" s="30">
        <f t="shared" si="22"/>
        <v>0</v>
      </c>
      <c r="U184" s="9" t="str">
        <f t="shared" si="23"/>
        <v>55+</v>
      </c>
    </row>
    <row r="185" spans="1:21">
      <c r="A185" t="s">
        <v>217</v>
      </c>
      <c r="B185" s="8">
        <v>3961</v>
      </c>
      <c r="C185" s="23">
        <v>0</v>
      </c>
      <c r="D185" s="19" t="s">
        <v>28</v>
      </c>
      <c r="E185" s="21">
        <v>14.186</v>
      </c>
      <c r="F185" s="21">
        <v>3.722</v>
      </c>
      <c r="G185" s="23">
        <v>0</v>
      </c>
      <c r="H185" s="26">
        <v>0</v>
      </c>
      <c r="I185" s="19" t="s">
        <v>21</v>
      </c>
      <c r="J185" s="8">
        <v>60</v>
      </c>
      <c r="K185" s="19" t="s">
        <v>18</v>
      </c>
      <c r="L185" s="19" t="s">
        <v>32</v>
      </c>
      <c r="M185" s="8">
        <v>5</v>
      </c>
      <c r="N185" s="33">
        <f t="shared" si="16"/>
        <v>0</v>
      </c>
      <c r="O185" s="23">
        <f t="shared" si="17"/>
        <v>0</v>
      </c>
      <c r="P185" s="59">
        <f t="shared" si="18"/>
        <v>0.26237135203721978</v>
      </c>
      <c r="Q185" s="30">
        <f t="shared" si="19"/>
        <v>0</v>
      </c>
      <c r="R185" s="30">
        <f t="shared" si="20"/>
        <v>0</v>
      </c>
      <c r="S185" s="12">
        <f t="shared" si="21"/>
        <v>0</v>
      </c>
      <c r="T185" s="30">
        <f t="shared" si="22"/>
        <v>0</v>
      </c>
      <c r="U185" s="9" t="str">
        <f t="shared" si="23"/>
        <v>55+</v>
      </c>
    </row>
    <row r="186" spans="1:21">
      <c r="A186" t="s">
        <v>218</v>
      </c>
      <c r="B186" s="8">
        <v>2155</v>
      </c>
      <c r="C186" s="23">
        <v>8.838E-2</v>
      </c>
      <c r="D186" s="19" t="s">
        <v>45</v>
      </c>
      <c r="E186" s="21">
        <v>81.325999999999993</v>
      </c>
      <c r="F186" s="21">
        <v>5.5279999999999996</v>
      </c>
      <c r="G186" s="23">
        <v>0</v>
      </c>
      <c r="H186" s="26">
        <v>1</v>
      </c>
      <c r="I186" s="19" t="s">
        <v>29</v>
      </c>
      <c r="J186" s="8">
        <v>57</v>
      </c>
      <c r="K186" s="19" t="s">
        <v>37</v>
      </c>
      <c r="L186" s="19" t="s">
        <v>45</v>
      </c>
      <c r="M186" s="8">
        <v>5</v>
      </c>
      <c r="N186" s="33">
        <f t="shared" si="16"/>
        <v>0.18089725036179452</v>
      </c>
      <c r="O186" s="23">
        <f t="shared" si="17"/>
        <v>1.5987698986975399E-2</v>
      </c>
      <c r="P186" s="59">
        <f t="shared" si="18"/>
        <v>6.7973341858692179E-2</v>
      </c>
      <c r="Q186" s="30">
        <f t="shared" si="19"/>
        <v>8.838E-2</v>
      </c>
      <c r="R186" s="30">
        <f t="shared" si="20"/>
        <v>-1</v>
      </c>
      <c r="S186" s="12">
        <f t="shared" si="21"/>
        <v>0</v>
      </c>
      <c r="T186" s="30">
        <f t="shared" si="22"/>
        <v>0</v>
      </c>
      <c r="U186" s="9" t="str">
        <f t="shared" si="23"/>
        <v>55+</v>
      </c>
    </row>
    <row r="187" spans="1:21">
      <c r="A187" t="s">
        <v>219</v>
      </c>
      <c r="B187" s="8">
        <v>5026</v>
      </c>
      <c r="C187" s="23">
        <v>8.9289999999999994E-2</v>
      </c>
      <c r="D187" s="19" t="s">
        <v>28</v>
      </c>
      <c r="E187" s="21">
        <v>25.311</v>
      </c>
      <c r="F187" s="21">
        <v>5.9569999999999999</v>
      </c>
      <c r="G187" s="23">
        <v>0</v>
      </c>
      <c r="H187" s="26">
        <v>0</v>
      </c>
      <c r="I187" s="19" t="s">
        <v>34</v>
      </c>
      <c r="J187" s="8">
        <v>41</v>
      </c>
      <c r="K187" s="19" t="s">
        <v>18</v>
      </c>
      <c r="L187" s="19" t="s">
        <v>32</v>
      </c>
      <c r="M187" s="8">
        <v>5</v>
      </c>
      <c r="N187" s="33">
        <f t="shared" si="16"/>
        <v>0</v>
      </c>
      <c r="O187" s="23">
        <f t="shared" si="17"/>
        <v>1.4989088467349336E-2</v>
      </c>
      <c r="P187" s="59">
        <f t="shared" si="18"/>
        <v>0.23535221840306586</v>
      </c>
      <c r="Q187" s="30">
        <f t="shared" si="19"/>
        <v>0</v>
      </c>
      <c r="R187" s="30">
        <f t="shared" si="20"/>
        <v>-1</v>
      </c>
      <c r="S187" s="12">
        <f t="shared" si="21"/>
        <v>0</v>
      </c>
      <c r="T187" s="30">
        <f t="shared" si="22"/>
        <v>0</v>
      </c>
      <c r="U187" s="9" t="str">
        <f t="shared" si="23"/>
        <v>35-44</v>
      </c>
    </row>
    <row r="188" spans="1:21">
      <c r="A188" t="s">
        <v>220</v>
      </c>
      <c r="B188" s="8">
        <v>2734</v>
      </c>
      <c r="C188" s="23">
        <v>0.16446</v>
      </c>
      <c r="D188" s="19" t="s">
        <v>28</v>
      </c>
      <c r="E188" s="21">
        <v>41.188000000000002</v>
      </c>
      <c r="F188" s="21">
        <v>1.9970000000000001</v>
      </c>
      <c r="G188" s="23">
        <v>0</v>
      </c>
      <c r="H188" s="26">
        <v>0</v>
      </c>
      <c r="I188" s="19" t="s">
        <v>34</v>
      </c>
      <c r="J188" s="8">
        <v>45</v>
      </c>
      <c r="K188" s="19" t="s">
        <v>37</v>
      </c>
      <c r="L188" s="19" t="s">
        <v>23</v>
      </c>
      <c r="M188" s="8">
        <v>5</v>
      </c>
      <c r="N188" s="33">
        <f t="shared" si="16"/>
        <v>0</v>
      </c>
      <c r="O188" s="23">
        <f t="shared" si="17"/>
        <v>8.2353530295443164E-2</v>
      </c>
      <c r="P188" s="59">
        <f t="shared" si="18"/>
        <v>4.8484995629795087E-2</v>
      </c>
      <c r="Q188" s="30">
        <f t="shared" si="19"/>
        <v>0</v>
      </c>
      <c r="R188" s="30">
        <f t="shared" si="20"/>
        <v>-1</v>
      </c>
      <c r="S188" s="12">
        <f t="shared" si="21"/>
        <v>0</v>
      </c>
      <c r="T188" s="30">
        <f t="shared" si="22"/>
        <v>0</v>
      </c>
      <c r="U188" s="9" t="str">
        <f t="shared" si="23"/>
        <v>45-54</v>
      </c>
    </row>
    <row r="189" spans="1:21">
      <c r="A189" t="s">
        <v>221</v>
      </c>
      <c r="B189" s="8">
        <v>3015</v>
      </c>
      <c r="C189" s="23">
        <v>0</v>
      </c>
      <c r="D189" s="19" t="s">
        <v>28</v>
      </c>
      <c r="E189" s="21">
        <v>24.087</v>
      </c>
      <c r="F189" s="21">
        <v>5.3049999999999997</v>
      </c>
      <c r="G189" s="23">
        <v>0</v>
      </c>
      <c r="H189" s="26">
        <v>0</v>
      </c>
      <c r="I189" s="19" t="s">
        <v>29</v>
      </c>
      <c r="J189" s="8">
        <v>43</v>
      </c>
      <c r="K189" s="19" t="s">
        <v>31</v>
      </c>
      <c r="L189" s="19" t="s">
        <v>19</v>
      </c>
      <c r="M189" s="8">
        <v>1</v>
      </c>
      <c r="N189" s="33">
        <f t="shared" si="16"/>
        <v>0</v>
      </c>
      <c r="O189" s="23">
        <f t="shared" si="17"/>
        <v>0</v>
      </c>
      <c r="P189" s="59">
        <f t="shared" si="18"/>
        <v>0.22024328475941379</v>
      </c>
      <c r="Q189" s="30">
        <f t="shared" si="19"/>
        <v>0</v>
      </c>
      <c r="R189" s="30">
        <f t="shared" si="20"/>
        <v>0</v>
      </c>
      <c r="S189" s="12">
        <f t="shared" si="21"/>
        <v>0</v>
      </c>
      <c r="T189" s="30">
        <f t="shared" si="22"/>
        <v>0</v>
      </c>
      <c r="U189" s="9" t="str">
        <f t="shared" si="23"/>
        <v>35-44</v>
      </c>
    </row>
    <row r="190" spans="1:21">
      <c r="A190" t="s">
        <v>222</v>
      </c>
      <c r="B190" s="8">
        <v>7955</v>
      </c>
      <c r="C190" s="23">
        <v>0.19846</v>
      </c>
      <c r="D190" s="19" t="s">
        <v>25</v>
      </c>
      <c r="E190" s="21">
        <v>64.313000000000002</v>
      </c>
      <c r="F190" s="21">
        <v>7.8070000000000004</v>
      </c>
      <c r="G190" s="23">
        <v>0</v>
      </c>
      <c r="H190" s="26">
        <v>0</v>
      </c>
      <c r="I190" s="19" t="s">
        <v>29</v>
      </c>
      <c r="J190" s="8">
        <v>40</v>
      </c>
      <c r="K190" s="19" t="s">
        <v>37</v>
      </c>
      <c r="L190" s="19" t="s">
        <v>19</v>
      </c>
      <c r="M190" s="8">
        <v>3</v>
      </c>
      <c r="N190" s="33">
        <f t="shared" si="16"/>
        <v>0</v>
      </c>
      <c r="O190" s="23">
        <f t="shared" si="17"/>
        <v>2.5420776226463427E-2</v>
      </c>
      <c r="P190" s="59">
        <f t="shared" si="18"/>
        <v>0.12139069861458804</v>
      </c>
      <c r="Q190" s="30">
        <f t="shared" si="19"/>
        <v>0</v>
      </c>
      <c r="R190" s="30">
        <f t="shared" si="20"/>
        <v>-1</v>
      </c>
      <c r="S190" s="12">
        <f t="shared" si="21"/>
        <v>0</v>
      </c>
      <c r="T190" s="30">
        <f t="shared" si="22"/>
        <v>0</v>
      </c>
      <c r="U190" s="9" t="str">
        <f t="shared" si="23"/>
        <v>35-44</v>
      </c>
    </row>
    <row r="191" spans="1:21">
      <c r="A191" t="s">
        <v>223</v>
      </c>
      <c r="B191" s="8">
        <v>3145</v>
      </c>
      <c r="C191" s="23">
        <v>4.3490000000000001E-2</v>
      </c>
      <c r="D191" s="19" t="s">
        <v>28</v>
      </c>
      <c r="E191" s="21">
        <v>70.078999999999994</v>
      </c>
      <c r="F191" s="21">
        <v>2.4470000000000001</v>
      </c>
      <c r="G191" s="23">
        <v>0</v>
      </c>
      <c r="H191" s="26">
        <v>0</v>
      </c>
      <c r="I191" s="19" t="s">
        <v>26</v>
      </c>
      <c r="J191" s="8">
        <v>41</v>
      </c>
      <c r="K191" s="19" t="s">
        <v>22</v>
      </c>
      <c r="L191" s="19" t="s">
        <v>19</v>
      </c>
      <c r="M191" s="8">
        <v>5</v>
      </c>
      <c r="N191" s="33">
        <f t="shared" si="16"/>
        <v>0</v>
      </c>
      <c r="O191" s="23">
        <f t="shared" si="17"/>
        <v>1.7772782999591338E-2</v>
      </c>
      <c r="P191" s="59">
        <f t="shared" si="18"/>
        <v>3.4917735698283367E-2</v>
      </c>
      <c r="Q191" s="30">
        <f t="shared" si="19"/>
        <v>0</v>
      </c>
      <c r="R191" s="30">
        <f t="shared" si="20"/>
        <v>-1</v>
      </c>
      <c r="S191" s="12">
        <f t="shared" si="21"/>
        <v>0</v>
      </c>
      <c r="T191" s="30">
        <f t="shared" si="22"/>
        <v>0</v>
      </c>
      <c r="U191" s="9" t="str">
        <f t="shared" si="23"/>
        <v>35-44</v>
      </c>
    </row>
    <row r="192" spans="1:21">
      <c r="A192" t="s">
        <v>224</v>
      </c>
      <c r="B192" s="8">
        <v>4106</v>
      </c>
      <c r="C192" s="23">
        <v>0.17069999999999999</v>
      </c>
      <c r="D192" s="19" t="s">
        <v>40</v>
      </c>
      <c r="E192" s="21">
        <v>26.388999999999999</v>
      </c>
      <c r="F192" s="21">
        <v>8.9190000000000005</v>
      </c>
      <c r="G192" s="23">
        <v>0.11373999999999999</v>
      </c>
      <c r="H192" s="26">
        <v>1</v>
      </c>
      <c r="I192" s="19" t="s">
        <v>34</v>
      </c>
      <c r="J192" s="8">
        <v>19</v>
      </c>
      <c r="K192" s="19" t="s">
        <v>18</v>
      </c>
      <c r="L192" s="19" t="s">
        <v>32</v>
      </c>
      <c r="M192" s="8" t="s">
        <v>1065</v>
      </c>
      <c r="N192" s="33">
        <f t="shared" si="16"/>
        <v>0.11212019284673169</v>
      </c>
      <c r="O192" s="23">
        <f t="shared" si="17"/>
        <v>1.9138916918937099E-2</v>
      </c>
      <c r="P192" s="59">
        <f t="shared" si="18"/>
        <v>0.33798173481374816</v>
      </c>
      <c r="Q192" s="30">
        <f t="shared" si="19"/>
        <v>0.17069999999999999</v>
      </c>
      <c r="R192" s="30">
        <f t="shared" si="20"/>
        <v>-0.333684827182191</v>
      </c>
      <c r="S192" s="12">
        <f t="shared" si="21"/>
        <v>0.66631517281780905</v>
      </c>
      <c r="T192" s="30">
        <f t="shared" si="22"/>
        <v>1.2752550734387262E-2</v>
      </c>
      <c r="U192" s="9" t="str">
        <f t="shared" si="23"/>
        <v>18-24</v>
      </c>
    </row>
    <row r="193" spans="1:21">
      <c r="A193" t="s">
        <v>225</v>
      </c>
      <c r="B193" s="8">
        <v>7395</v>
      </c>
      <c r="C193" s="23">
        <v>8.2949999999999996E-2</v>
      </c>
      <c r="D193" s="19" t="s">
        <v>45</v>
      </c>
      <c r="E193" s="21">
        <v>28.712</v>
      </c>
      <c r="F193" s="21">
        <v>8.0190000000000001</v>
      </c>
      <c r="G193" s="23">
        <v>0</v>
      </c>
      <c r="H193" s="26">
        <v>0</v>
      </c>
      <c r="I193" s="19" t="s">
        <v>26</v>
      </c>
      <c r="J193" s="8">
        <v>24</v>
      </c>
      <c r="K193" s="19" t="s">
        <v>31</v>
      </c>
      <c r="L193" s="19" t="s">
        <v>19</v>
      </c>
      <c r="M193" s="8">
        <v>5</v>
      </c>
      <c r="N193" s="33">
        <f t="shared" si="16"/>
        <v>0</v>
      </c>
      <c r="O193" s="23">
        <f t="shared" si="17"/>
        <v>1.0344182566404788E-2</v>
      </c>
      <c r="P193" s="59">
        <f t="shared" si="18"/>
        <v>0.27929088882697128</v>
      </c>
      <c r="Q193" s="30">
        <f t="shared" si="19"/>
        <v>0</v>
      </c>
      <c r="R193" s="30">
        <f t="shared" si="20"/>
        <v>-1</v>
      </c>
      <c r="S193" s="12">
        <f t="shared" si="21"/>
        <v>0</v>
      </c>
      <c r="T193" s="30">
        <f t="shared" si="22"/>
        <v>0</v>
      </c>
      <c r="U193" s="9" t="str">
        <f t="shared" si="23"/>
        <v>18-24</v>
      </c>
    </row>
    <row r="194" spans="1:21">
      <c r="A194" t="s">
        <v>226</v>
      </c>
      <c r="B194" s="8">
        <v>7579</v>
      </c>
      <c r="C194" s="23">
        <v>0</v>
      </c>
      <c r="D194" s="19" t="s">
        <v>15</v>
      </c>
      <c r="E194" s="21">
        <v>57.338000000000001</v>
      </c>
      <c r="F194" s="21">
        <v>9.673</v>
      </c>
      <c r="G194" s="23">
        <v>0</v>
      </c>
      <c r="H194" s="26">
        <v>0</v>
      </c>
      <c r="I194" s="19" t="s">
        <v>29</v>
      </c>
      <c r="J194" s="8">
        <v>44</v>
      </c>
      <c r="K194" s="19" t="s">
        <v>37</v>
      </c>
      <c r="L194" s="19" t="s">
        <v>23</v>
      </c>
      <c r="M194" s="8">
        <v>3</v>
      </c>
      <c r="N194" s="33">
        <f t="shared" ref="N194:N257" si="24">IF(F194=0,0,H194/F194)</f>
        <v>0</v>
      </c>
      <c r="O194" s="23">
        <f t="shared" ref="O194:O257" si="25">IF(F194=0,0,C194/F194)</f>
        <v>0</v>
      </c>
      <c r="P194" s="59">
        <f t="shared" ref="P194:P257" si="26">IF(E194=0,0,F194/E194)</f>
        <v>0.16870138477100702</v>
      </c>
      <c r="Q194" s="30">
        <f t="shared" ref="Q194:Q257" si="27">IF(H194=0,0,C194/H194)</f>
        <v>0</v>
      </c>
      <c r="R194" s="30">
        <f t="shared" ref="R194:R257" si="28">IF(C194=0,0,(G194-C194)/C194)</f>
        <v>0</v>
      </c>
      <c r="S194" s="12">
        <f t="shared" ref="S194:S257" si="29">IF(G194=0,0,G194/C194)</f>
        <v>0</v>
      </c>
      <c r="T194" s="30">
        <f t="shared" ref="T194:T257" si="30">IF(F194=0,0,G194/F194)</f>
        <v>0</v>
      </c>
      <c r="U194" s="9" t="str">
        <f t="shared" si="23"/>
        <v>35-44</v>
      </c>
    </row>
    <row r="195" spans="1:21">
      <c r="A195" t="s">
        <v>227</v>
      </c>
      <c r="B195" s="8">
        <v>1881</v>
      </c>
      <c r="C195" s="23">
        <v>0</v>
      </c>
      <c r="D195" s="19" t="s">
        <v>32</v>
      </c>
      <c r="E195" s="21">
        <v>91.120999999999995</v>
      </c>
      <c r="F195" s="21">
        <v>1.7629999999999999</v>
      </c>
      <c r="G195" s="23">
        <v>0</v>
      </c>
      <c r="H195" s="26">
        <v>0</v>
      </c>
      <c r="I195" s="19" t="s">
        <v>34</v>
      </c>
      <c r="J195" s="8">
        <v>41</v>
      </c>
      <c r="K195" s="19" t="s">
        <v>22</v>
      </c>
      <c r="L195" s="19" t="s">
        <v>45</v>
      </c>
      <c r="M195" s="8">
        <v>4</v>
      </c>
      <c r="N195" s="33">
        <f t="shared" si="24"/>
        <v>0</v>
      </c>
      <c r="O195" s="23">
        <f t="shared" si="25"/>
        <v>0</v>
      </c>
      <c r="P195" s="59">
        <f t="shared" si="26"/>
        <v>1.9347900044995116E-2</v>
      </c>
      <c r="Q195" s="30">
        <f t="shared" si="27"/>
        <v>0</v>
      </c>
      <c r="R195" s="30">
        <f t="shared" si="28"/>
        <v>0</v>
      </c>
      <c r="S195" s="12">
        <f t="shared" si="29"/>
        <v>0</v>
      </c>
      <c r="T195" s="30">
        <f t="shared" si="30"/>
        <v>0</v>
      </c>
      <c r="U195" s="9" t="str">
        <f t="shared" ref="U195:U258" si="31">IF(J195&lt;25,"18-24",IF(J195&lt;35,"25-34",IF(J195&lt;45,"35-44",IF(J195&lt;55,"45-54","55+"))))</f>
        <v>35-44</v>
      </c>
    </row>
    <row r="196" spans="1:21">
      <c r="A196" t="s">
        <v>228</v>
      </c>
      <c r="B196" s="8">
        <v>4193</v>
      </c>
      <c r="C196" s="23">
        <v>9.4320000000000001E-2</v>
      </c>
      <c r="D196" s="19" t="s">
        <v>40</v>
      </c>
      <c r="E196" s="21">
        <v>62.841999999999999</v>
      </c>
      <c r="F196" s="21">
        <v>4.415</v>
      </c>
      <c r="G196" s="23">
        <v>0</v>
      </c>
      <c r="H196" s="26">
        <v>0</v>
      </c>
      <c r="I196" s="19" t="s">
        <v>17</v>
      </c>
      <c r="J196" s="8">
        <v>32</v>
      </c>
      <c r="K196" s="19" t="s">
        <v>22</v>
      </c>
      <c r="L196" s="19" t="s">
        <v>45</v>
      </c>
      <c r="M196" s="8">
        <v>1</v>
      </c>
      <c r="N196" s="33">
        <f t="shared" si="24"/>
        <v>0</v>
      </c>
      <c r="O196" s="23">
        <f t="shared" si="25"/>
        <v>2.1363533408833523E-2</v>
      </c>
      <c r="P196" s="59">
        <f t="shared" si="26"/>
        <v>7.0255561567104802E-2</v>
      </c>
      <c r="Q196" s="30">
        <f t="shared" si="27"/>
        <v>0</v>
      </c>
      <c r="R196" s="30">
        <f t="shared" si="28"/>
        <v>-1</v>
      </c>
      <c r="S196" s="12">
        <f t="shared" si="29"/>
        <v>0</v>
      </c>
      <c r="T196" s="30">
        <f t="shared" si="30"/>
        <v>0</v>
      </c>
      <c r="U196" s="9" t="str">
        <f t="shared" si="31"/>
        <v>25-34</v>
      </c>
    </row>
    <row r="197" spans="1:21">
      <c r="A197" t="s">
        <v>229</v>
      </c>
      <c r="B197" s="8">
        <v>8947</v>
      </c>
      <c r="C197" s="23">
        <v>0.13203000000000001</v>
      </c>
      <c r="D197" s="19" t="s">
        <v>32</v>
      </c>
      <c r="E197" s="21">
        <v>18.27</v>
      </c>
      <c r="F197" s="21">
        <v>9.7270000000000003</v>
      </c>
      <c r="G197" s="23">
        <v>0</v>
      </c>
      <c r="H197" s="26">
        <v>0</v>
      </c>
      <c r="I197" s="19" t="s">
        <v>26</v>
      </c>
      <c r="J197" s="8">
        <v>55</v>
      </c>
      <c r="K197" s="19" t="s">
        <v>37</v>
      </c>
      <c r="L197" s="19" t="s">
        <v>23</v>
      </c>
      <c r="M197" s="8">
        <v>3</v>
      </c>
      <c r="N197" s="33">
        <f t="shared" si="24"/>
        <v>0</v>
      </c>
      <c r="O197" s="23">
        <f t="shared" si="25"/>
        <v>1.3573558137144032E-2</v>
      </c>
      <c r="P197" s="59">
        <f t="shared" si="26"/>
        <v>0.53240284619594969</v>
      </c>
      <c r="Q197" s="30">
        <f t="shared" si="27"/>
        <v>0</v>
      </c>
      <c r="R197" s="30">
        <f t="shared" si="28"/>
        <v>-1</v>
      </c>
      <c r="S197" s="12">
        <f t="shared" si="29"/>
        <v>0</v>
      </c>
      <c r="T197" s="30">
        <f t="shared" si="30"/>
        <v>0</v>
      </c>
      <c r="U197" s="9" t="str">
        <f t="shared" si="31"/>
        <v>55+</v>
      </c>
    </row>
    <row r="198" spans="1:21">
      <c r="A198" t="s">
        <v>230</v>
      </c>
      <c r="B198" s="8">
        <v>7754</v>
      </c>
      <c r="C198" s="23">
        <v>0.17895</v>
      </c>
      <c r="D198" s="19" t="s">
        <v>40</v>
      </c>
      <c r="E198" s="21">
        <v>10.244999999999999</v>
      </c>
      <c r="F198" s="21">
        <v>6.7350000000000003</v>
      </c>
      <c r="G198" s="23">
        <v>0</v>
      </c>
      <c r="H198" s="26">
        <v>0</v>
      </c>
      <c r="I198" s="19" t="s">
        <v>21</v>
      </c>
      <c r="J198" s="8">
        <v>23</v>
      </c>
      <c r="K198" s="19" t="s">
        <v>18</v>
      </c>
      <c r="L198" s="19" t="s">
        <v>23</v>
      </c>
      <c r="M198" s="8">
        <v>4</v>
      </c>
      <c r="N198" s="33">
        <f t="shared" si="24"/>
        <v>0</v>
      </c>
      <c r="O198" s="23">
        <f t="shared" si="25"/>
        <v>2.6570155902004452E-2</v>
      </c>
      <c r="P198" s="59">
        <f t="shared" si="26"/>
        <v>0.65739385065885803</v>
      </c>
      <c r="Q198" s="30">
        <f t="shared" si="27"/>
        <v>0</v>
      </c>
      <c r="R198" s="30">
        <f t="shared" si="28"/>
        <v>-1</v>
      </c>
      <c r="S198" s="12">
        <f t="shared" si="29"/>
        <v>0</v>
      </c>
      <c r="T198" s="30">
        <f t="shared" si="30"/>
        <v>0</v>
      </c>
      <c r="U198" s="9" t="str">
        <f t="shared" si="31"/>
        <v>18-24</v>
      </c>
    </row>
    <row r="199" spans="1:21">
      <c r="A199" t="s">
        <v>231</v>
      </c>
      <c r="B199" s="8">
        <v>8887</v>
      </c>
      <c r="C199" s="23">
        <v>0</v>
      </c>
      <c r="D199" s="19" t="s">
        <v>45</v>
      </c>
      <c r="E199" s="21">
        <v>72.504999999999995</v>
      </c>
      <c r="F199" s="21">
        <v>7.1219999999999999</v>
      </c>
      <c r="G199" s="23">
        <v>0</v>
      </c>
      <c r="H199" s="26">
        <v>0</v>
      </c>
      <c r="I199" s="19" t="s">
        <v>34</v>
      </c>
      <c r="J199" s="8">
        <v>39</v>
      </c>
      <c r="K199" s="19" t="s">
        <v>18</v>
      </c>
      <c r="L199" s="19" t="s">
        <v>32</v>
      </c>
      <c r="M199" s="8">
        <v>4</v>
      </c>
      <c r="N199" s="33">
        <f t="shared" si="24"/>
        <v>0</v>
      </c>
      <c r="O199" s="23">
        <f t="shared" si="25"/>
        <v>0</v>
      </c>
      <c r="P199" s="59">
        <f t="shared" si="26"/>
        <v>9.822770843390112E-2</v>
      </c>
      <c r="Q199" s="30">
        <f t="shared" si="27"/>
        <v>0</v>
      </c>
      <c r="R199" s="30">
        <f t="shared" si="28"/>
        <v>0</v>
      </c>
      <c r="S199" s="12">
        <f t="shared" si="29"/>
        <v>0</v>
      </c>
      <c r="T199" s="30">
        <f t="shared" si="30"/>
        <v>0</v>
      </c>
      <c r="U199" s="9" t="str">
        <f t="shared" si="31"/>
        <v>35-44</v>
      </c>
    </row>
    <row r="200" spans="1:21">
      <c r="A200" t="s">
        <v>232</v>
      </c>
      <c r="B200" s="8">
        <v>1375</v>
      </c>
      <c r="C200" s="23">
        <v>7.6920000000000002E-2</v>
      </c>
      <c r="D200" s="19" t="s">
        <v>40</v>
      </c>
      <c r="E200" s="21">
        <v>49.386000000000003</v>
      </c>
      <c r="F200" s="21">
        <v>2.7480000000000002</v>
      </c>
      <c r="G200" s="23">
        <v>0</v>
      </c>
      <c r="H200" s="26">
        <v>0</v>
      </c>
      <c r="I200" s="19" t="s">
        <v>34</v>
      </c>
      <c r="J200" s="8">
        <v>46</v>
      </c>
      <c r="K200" s="19" t="s">
        <v>31</v>
      </c>
      <c r="L200" s="19" t="s">
        <v>23</v>
      </c>
      <c r="M200" s="8">
        <v>2</v>
      </c>
      <c r="N200" s="33">
        <f t="shared" si="24"/>
        <v>0</v>
      </c>
      <c r="O200" s="23">
        <f t="shared" si="25"/>
        <v>2.7991266375545849E-2</v>
      </c>
      <c r="P200" s="59">
        <f t="shared" si="26"/>
        <v>5.5643299720568584E-2</v>
      </c>
      <c r="Q200" s="30">
        <f t="shared" si="27"/>
        <v>0</v>
      </c>
      <c r="R200" s="30">
        <f t="shared" si="28"/>
        <v>-1</v>
      </c>
      <c r="S200" s="12">
        <f t="shared" si="29"/>
        <v>0</v>
      </c>
      <c r="T200" s="30">
        <f t="shared" si="30"/>
        <v>0</v>
      </c>
      <c r="U200" s="9" t="str">
        <f t="shared" si="31"/>
        <v>45-54</v>
      </c>
    </row>
    <row r="201" spans="1:21">
      <c r="A201" t="s">
        <v>233</v>
      </c>
      <c r="B201" s="8">
        <v>7477</v>
      </c>
      <c r="C201" s="23">
        <v>0</v>
      </c>
      <c r="D201" s="19" t="s">
        <v>15</v>
      </c>
      <c r="E201" s="21">
        <v>36.905000000000001</v>
      </c>
      <c r="F201" s="21">
        <v>0.98399999999999999</v>
      </c>
      <c r="G201" s="23">
        <v>0</v>
      </c>
      <c r="H201" s="26">
        <v>0</v>
      </c>
      <c r="I201" s="19" t="s">
        <v>34</v>
      </c>
      <c r="J201" s="8">
        <v>29</v>
      </c>
      <c r="K201" s="19" t="s">
        <v>22</v>
      </c>
      <c r="L201" s="19" t="s">
        <v>38</v>
      </c>
      <c r="M201" s="8">
        <v>4</v>
      </c>
      <c r="N201" s="33">
        <f t="shared" si="24"/>
        <v>0</v>
      </c>
      <c r="O201" s="23">
        <f t="shared" si="25"/>
        <v>0</v>
      </c>
      <c r="P201" s="59">
        <f t="shared" si="26"/>
        <v>2.6663053786749762E-2</v>
      </c>
      <c r="Q201" s="30">
        <f t="shared" si="27"/>
        <v>0</v>
      </c>
      <c r="R201" s="30">
        <f t="shared" si="28"/>
        <v>0</v>
      </c>
      <c r="S201" s="12">
        <f t="shared" si="29"/>
        <v>0</v>
      </c>
      <c r="T201" s="30">
        <f t="shared" si="30"/>
        <v>0</v>
      </c>
      <c r="U201" s="9" t="str">
        <f t="shared" si="31"/>
        <v>25-34</v>
      </c>
    </row>
    <row r="202" spans="1:21">
      <c r="A202" t="s">
        <v>234</v>
      </c>
      <c r="B202" s="8">
        <v>3603</v>
      </c>
      <c r="C202" s="23">
        <v>0.18886</v>
      </c>
      <c r="D202" s="19" t="s">
        <v>15</v>
      </c>
      <c r="E202" s="21">
        <v>65.762</v>
      </c>
      <c r="F202" s="21">
        <v>3.6349999999999998</v>
      </c>
      <c r="G202" s="23">
        <v>0.12937000000000001</v>
      </c>
      <c r="H202" s="26">
        <v>1</v>
      </c>
      <c r="I202" s="19" t="s">
        <v>34</v>
      </c>
      <c r="J202" s="8">
        <v>58</v>
      </c>
      <c r="K202" s="19" t="s">
        <v>22</v>
      </c>
      <c r="L202" s="19" t="s">
        <v>45</v>
      </c>
      <c r="M202" s="8">
        <v>3</v>
      </c>
      <c r="N202" s="33">
        <f t="shared" si="24"/>
        <v>0.27510316368638243</v>
      </c>
      <c r="O202" s="23">
        <f t="shared" si="25"/>
        <v>5.1955983493810184E-2</v>
      </c>
      <c r="P202" s="59">
        <f t="shared" si="26"/>
        <v>5.5275082874608431E-2</v>
      </c>
      <c r="Q202" s="30">
        <f t="shared" si="27"/>
        <v>0.18886</v>
      </c>
      <c r="R202" s="30">
        <f t="shared" si="28"/>
        <v>-0.31499523456528639</v>
      </c>
      <c r="S202" s="12">
        <f t="shared" si="29"/>
        <v>0.68500476543471356</v>
      </c>
      <c r="T202" s="30">
        <f t="shared" si="30"/>
        <v>3.5590096286107299E-2</v>
      </c>
      <c r="U202" s="9" t="str">
        <f t="shared" si="31"/>
        <v>55+</v>
      </c>
    </row>
    <row r="203" spans="1:21">
      <c r="A203" t="s">
        <v>235</v>
      </c>
      <c r="B203" s="8">
        <v>8144</v>
      </c>
      <c r="C203" s="23">
        <v>6.8059999999999996E-2</v>
      </c>
      <c r="D203" s="19" t="s">
        <v>28</v>
      </c>
      <c r="E203" s="21">
        <v>92.635000000000005</v>
      </c>
      <c r="F203" s="21">
        <v>9.0310000000000006</v>
      </c>
      <c r="G203" s="23">
        <v>0</v>
      </c>
      <c r="H203" s="26">
        <v>0</v>
      </c>
      <c r="I203" s="19" t="s">
        <v>29</v>
      </c>
      <c r="J203" s="8">
        <v>62</v>
      </c>
      <c r="K203" s="19" t="s">
        <v>18</v>
      </c>
      <c r="L203" s="19" t="s">
        <v>32</v>
      </c>
      <c r="M203" s="8">
        <v>1</v>
      </c>
      <c r="N203" s="33">
        <f t="shared" si="24"/>
        <v>0</v>
      </c>
      <c r="O203" s="23">
        <f t="shared" si="25"/>
        <v>7.5362639796257326E-3</v>
      </c>
      <c r="P203" s="59">
        <f t="shared" si="26"/>
        <v>9.7490149511523724E-2</v>
      </c>
      <c r="Q203" s="30">
        <f t="shared" si="27"/>
        <v>0</v>
      </c>
      <c r="R203" s="30">
        <f t="shared" si="28"/>
        <v>-1</v>
      </c>
      <c r="S203" s="12">
        <f t="shared" si="29"/>
        <v>0</v>
      </c>
      <c r="T203" s="30">
        <f t="shared" si="30"/>
        <v>0</v>
      </c>
      <c r="U203" s="9" t="str">
        <f t="shared" si="31"/>
        <v>55+</v>
      </c>
    </row>
    <row r="204" spans="1:21">
      <c r="A204" t="s">
        <v>236</v>
      </c>
      <c r="B204" s="8">
        <v>1329</v>
      </c>
      <c r="C204" s="23">
        <v>0.16131999999999999</v>
      </c>
      <c r="D204" s="19" t="s">
        <v>15</v>
      </c>
      <c r="E204" s="21">
        <v>42.448</v>
      </c>
      <c r="F204" s="21">
        <v>8.2650000000000006</v>
      </c>
      <c r="G204" s="23">
        <v>0</v>
      </c>
      <c r="H204" s="26">
        <v>0</v>
      </c>
      <c r="I204" s="19" t="s">
        <v>21</v>
      </c>
      <c r="J204" s="8">
        <v>54</v>
      </c>
      <c r="K204" s="19" t="s">
        <v>22</v>
      </c>
      <c r="L204" s="19" t="s">
        <v>45</v>
      </c>
      <c r="M204" s="8">
        <v>2</v>
      </c>
      <c r="N204" s="33">
        <f t="shared" si="24"/>
        <v>0</v>
      </c>
      <c r="O204" s="23">
        <f t="shared" si="25"/>
        <v>1.9518451300665454E-2</v>
      </c>
      <c r="P204" s="59">
        <f t="shared" si="26"/>
        <v>0.19470882020354316</v>
      </c>
      <c r="Q204" s="30">
        <f t="shared" si="27"/>
        <v>0</v>
      </c>
      <c r="R204" s="30">
        <f t="shared" si="28"/>
        <v>-1</v>
      </c>
      <c r="S204" s="12">
        <f t="shared" si="29"/>
        <v>0</v>
      </c>
      <c r="T204" s="30">
        <f t="shared" si="30"/>
        <v>0</v>
      </c>
      <c r="U204" s="9" t="str">
        <f t="shared" si="31"/>
        <v>45-54</v>
      </c>
    </row>
    <row r="205" spans="1:21">
      <c r="A205" t="s">
        <v>237</v>
      </c>
      <c r="B205" s="8">
        <v>7090</v>
      </c>
      <c r="C205" s="23">
        <v>8.4040000000000004E-2</v>
      </c>
      <c r="D205" s="19" t="s">
        <v>40</v>
      </c>
      <c r="E205" s="21">
        <v>67.444999999999993</v>
      </c>
      <c r="F205" s="21">
        <v>6.9770000000000003</v>
      </c>
      <c r="G205" s="23">
        <v>0</v>
      </c>
      <c r="H205" s="26">
        <v>0</v>
      </c>
      <c r="I205" s="19" t="s">
        <v>17</v>
      </c>
      <c r="J205" s="8">
        <v>53</v>
      </c>
      <c r="K205" s="19" t="s">
        <v>22</v>
      </c>
      <c r="L205" s="19" t="s">
        <v>32</v>
      </c>
      <c r="M205" s="8">
        <v>4</v>
      </c>
      <c r="N205" s="33">
        <f t="shared" si="24"/>
        <v>0</v>
      </c>
      <c r="O205" s="23">
        <f t="shared" si="25"/>
        <v>1.204529167263867E-2</v>
      </c>
      <c r="P205" s="59">
        <f t="shared" si="26"/>
        <v>0.10344725331751799</v>
      </c>
      <c r="Q205" s="30">
        <f t="shared" si="27"/>
        <v>0</v>
      </c>
      <c r="R205" s="30">
        <f t="shared" si="28"/>
        <v>-1</v>
      </c>
      <c r="S205" s="12">
        <f t="shared" si="29"/>
        <v>0</v>
      </c>
      <c r="T205" s="30">
        <f t="shared" si="30"/>
        <v>0</v>
      </c>
      <c r="U205" s="9" t="str">
        <f t="shared" si="31"/>
        <v>45-54</v>
      </c>
    </row>
    <row r="206" spans="1:21">
      <c r="A206" t="s">
        <v>238</v>
      </c>
      <c r="B206" s="8">
        <v>1880</v>
      </c>
      <c r="C206" s="23">
        <v>4.2520000000000002E-2</v>
      </c>
      <c r="D206" s="19" t="s">
        <v>15</v>
      </c>
      <c r="E206" s="21">
        <v>68.052000000000007</v>
      </c>
      <c r="F206" s="21">
        <v>9.8940000000000001</v>
      </c>
      <c r="G206" s="23">
        <v>0.46178999999999998</v>
      </c>
      <c r="H206" s="26">
        <v>1</v>
      </c>
      <c r="I206" s="19" t="s">
        <v>29</v>
      </c>
      <c r="J206" s="8">
        <v>48</v>
      </c>
      <c r="K206" s="19" t="s">
        <v>18</v>
      </c>
      <c r="L206" s="19" t="s">
        <v>32</v>
      </c>
      <c r="M206" s="8">
        <v>4</v>
      </c>
      <c r="N206" s="33">
        <f t="shared" si="24"/>
        <v>0.10107135637760259</v>
      </c>
      <c r="O206" s="23">
        <f t="shared" si="25"/>
        <v>4.297554073175662E-3</v>
      </c>
      <c r="P206" s="59">
        <f t="shared" si="26"/>
        <v>0.14538882031387762</v>
      </c>
      <c r="Q206" s="30">
        <f t="shared" si="27"/>
        <v>4.2520000000000002E-2</v>
      </c>
      <c r="R206" s="30">
        <f t="shared" si="28"/>
        <v>9.8605362182502336</v>
      </c>
      <c r="S206" s="12">
        <f t="shared" si="29"/>
        <v>10.860536218250234</v>
      </c>
      <c r="T206" s="30">
        <f t="shared" si="30"/>
        <v>4.6673741661613095E-2</v>
      </c>
      <c r="U206" s="9" t="str">
        <f t="shared" si="31"/>
        <v>45-54</v>
      </c>
    </row>
    <row r="207" spans="1:21">
      <c r="A207" t="s">
        <v>239</v>
      </c>
      <c r="B207" s="8">
        <v>5167</v>
      </c>
      <c r="C207" s="23">
        <v>0.13189999999999999</v>
      </c>
      <c r="D207" s="19" t="s">
        <v>25</v>
      </c>
      <c r="E207" s="21">
        <v>99.991</v>
      </c>
      <c r="F207" s="21">
        <v>7.3840000000000003</v>
      </c>
      <c r="G207" s="23">
        <v>0.48277999999999999</v>
      </c>
      <c r="H207" s="26">
        <v>1</v>
      </c>
      <c r="I207" s="19" t="s">
        <v>17</v>
      </c>
      <c r="J207" s="8">
        <v>51</v>
      </c>
      <c r="K207" s="19" t="s">
        <v>18</v>
      </c>
      <c r="L207" s="19" t="s">
        <v>23</v>
      </c>
      <c r="M207" s="8">
        <v>1</v>
      </c>
      <c r="N207" s="33">
        <f t="shared" si="24"/>
        <v>0.13542795232936078</v>
      </c>
      <c r="O207" s="23">
        <f t="shared" si="25"/>
        <v>1.7862946912242685E-2</v>
      </c>
      <c r="P207" s="59">
        <f t="shared" si="26"/>
        <v>7.3846646198157839E-2</v>
      </c>
      <c r="Q207" s="30">
        <f t="shared" si="27"/>
        <v>0.13189999999999999</v>
      </c>
      <c r="R207" s="30">
        <f t="shared" si="28"/>
        <v>2.6601971190295677</v>
      </c>
      <c r="S207" s="12">
        <f t="shared" si="29"/>
        <v>3.6601971190295681</v>
      </c>
      <c r="T207" s="30">
        <f t="shared" si="30"/>
        <v>6.5381906825568797E-2</v>
      </c>
      <c r="U207" s="9" t="str">
        <f t="shared" si="31"/>
        <v>45-54</v>
      </c>
    </row>
    <row r="208" spans="1:21">
      <c r="A208" t="s">
        <v>240</v>
      </c>
      <c r="B208" s="8">
        <v>7127</v>
      </c>
      <c r="C208" s="23">
        <v>0.11957</v>
      </c>
      <c r="D208" s="19" t="s">
        <v>32</v>
      </c>
      <c r="E208" s="21">
        <v>22.012</v>
      </c>
      <c r="F208" s="21">
        <v>6.1159999999999997</v>
      </c>
      <c r="G208" s="23">
        <v>0</v>
      </c>
      <c r="H208" s="26">
        <v>0</v>
      </c>
      <c r="I208" s="19" t="s">
        <v>29</v>
      </c>
      <c r="J208" s="8">
        <v>37</v>
      </c>
      <c r="K208" s="19" t="s">
        <v>22</v>
      </c>
      <c r="L208" s="19" t="s">
        <v>32</v>
      </c>
      <c r="M208" s="8">
        <v>5</v>
      </c>
      <c r="N208" s="33">
        <f t="shared" si="24"/>
        <v>0</v>
      </c>
      <c r="O208" s="23">
        <f t="shared" si="25"/>
        <v>1.9550359712230216E-2</v>
      </c>
      <c r="P208" s="59">
        <f t="shared" si="26"/>
        <v>0.27784844630201705</v>
      </c>
      <c r="Q208" s="30">
        <f t="shared" si="27"/>
        <v>0</v>
      </c>
      <c r="R208" s="30">
        <f t="shared" si="28"/>
        <v>-1</v>
      </c>
      <c r="S208" s="12">
        <f t="shared" si="29"/>
        <v>0</v>
      </c>
      <c r="T208" s="30">
        <f t="shared" si="30"/>
        <v>0</v>
      </c>
      <c r="U208" s="9" t="str">
        <f t="shared" si="31"/>
        <v>35-44</v>
      </c>
    </row>
    <row r="209" spans="1:21">
      <c r="A209" t="s">
        <v>241</v>
      </c>
      <c r="B209" s="8">
        <v>5597</v>
      </c>
      <c r="C209" s="23">
        <v>8.5639999999999994E-2</v>
      </c>
      <c r="D209" s="19" t="s">
        <v>15</v>
      </c>
      <c r="E209" s="21">
        <v>38.167000000000002</v>
      </c>
      <c r="F209" s="21">
        <v>3.4119999999999999</v>
      </c>
      <c r="G209" s="23">
        <v>0</v>
      </c>
      <c r="H209" s="26">
        <v>0</v>
      </c>
      <c r="I209" s="19" t="s">
        <v>26</v>
      </c>
      <c r="J209" s="8">
        <v>57</v>
      </c>
      <c r="K209" s="19" t="s">
        <v>31</v>
      </c>
      <c r="L209" s="19" t="s">
        <v>23</v>
      </c>
      <c r="M209" s="8">
        <v>3</v>
      </c>
      <c r="N209" s="33">
        <f t="shared" si="24"/>
        <v>0</v>
      </c>
      <c r="O209" s="23">
        <f t="shared" si="25"/>
        <v>2.5099648300117232E-2</v>
      </c>
      <c r="P209" s="59">
        <f t="shared" si="26"/>
        <v>8.939659915633924E-2</v>
      </c>
      <c r="Q209" s="30">
        <f t="shared" si="27"/>
        <v>0</v>
      </c>
      <c r="R209" s="30">
        <f t="shared" si="28"/>
        <v>-1</v>
      </c>
      <c r="S209" s="12">
        <f t="shared" si="29"/>
        <v>0</v>
      </c>
      <c r="T209" s="30">
        <f t="shared" si="30"/>
        <v>0</v>
      </c>
      <c r="U209" s="9" t="str">
        <f t="shared" si="31"/>
        <v>55+</v>
      </c>
    </row>
    <row r="210" spans="1:21">
      <c r="A210" t="s">
        <v>242</v>
      </c>
      <c r="B210" s="8">
        <v>6276</v>
      </c>
      <c r="C210" s="23">
        <v>0.14806</v>
      </c>
      <c r="D210" s="19" t="s">
        <v>40</v>
      </c>
      <c r="E210" s="21">
        <v>75.138000000000005</v>
      </c>
      <c r="F210" s="21">
        <v>7.4009999999999998</v>
      </c>
      <c r="G210" s="23">
        <v>0.23233999999999999</v>
      </c>
      <c r="H210" s="26">
        <v>1</v>
      </c>
      <c r="I210" s="19" t="s">
        <v>1067</v>
      </c>
      <c r="J210" s="8">
        <v>51</v>
      </c>
      <c r="K210" s="19" t="s">
        <v>31</v>
      </c>
      <c r="L210" s="19" t="s">
        <v>32</v>
      </c>
      <c r="M210" s="8">
        <v>2</v>
      </c>
      <c r="N210" s="33">
        <f t="shared" si="24"/>
        <v>0.13511687609782463</v>
      </c>
      <c r="O210" s="23">
        <f t="shared" si="25"/>
        <v>2.0005404675043914E-2</v>
      </c>
      <c r="P210" s="59">
        <f t="shared" si="26"/>
        <v>9.8498762277409557E-2</v>
      </c>
      <c r="Q210" s="30">
        <f t="shared" si="27"/>
        <v>0.14806</v>
      </c>
      <c r="R210" s="30">
        <f t="shared" si="28"/>
        <v>0.56922869107118734</v>
      </c>
      <c r="S210" s="12">
        <f t="shared" si="29"/>
        <v>1.5692286910711872</v>
      </c>
      <c r="T210" s="30">
        <f t="shared" si="30"/>
        <v>3.1393054992568573E-2</v>
      </c>
      <c r="U210" s="9" t="str">
        <f t="shared" si="31"/>
        <v>45-54</v>
      </c>
    </row>
    <row r="211" spans="1:21">
      <c r="A211" t="s">
        <v>243</v>
      </c>
      <c r="B211" s="8">
        <v>5086</v>
      </c>
      <c r="C211" s="23">
        <v>0</v>
      </c>
      <c r="D211" s="19" t="s">
        <v>45</v>
      </c>
      <c r="E211" s="21">
        <v>42.561</v>
      </c>
      <c r="F211" s="21">
        <v>9.8230000000000004</v>
      </c>
      <c r="G211" s="23">
        <v>0</v>
      </c>
      <c r="H211" s="26">
        <v>0</v>
      </c>
      <c r="I211" s="19" t="s">
        <v>34</v>
      </c>
      <c r="J211" s="8">
        <v>21</v>
      </c>
      <c r="K211" s="19" t="s">
        <v>37</v>
      </c>
      <c r="L211" s="19" t="s">
        <v>38</v>
      </c>
      <c r="M211" s="8">
        <v>2</v>
      </c>
      <c r="N211" s="33">
        <f t="shared" si="24"/>
        <v>0</v>
      </c>
      <c r="O211" s="23">
        <f t="shared" si="25"/>
        <v>0</v>
      </c>
      <c r="P211" s="59">
        <f t="shared" si="26"/>
        <v>0.23079814853974295</v>
      </c>
      <c r="Q211" s="30">
        <f t="shared" si="27"/>
        <v>0</v>
      </c>
      <c r="R211" s="30">
        <f t="shared" si="28"/>
        <v>0</v>
      </c>
      <c r="S211" s="12">
        <f t="shared" si="29"/>
        <v>0</v>
      </c>
      <c r="T211" s="30">
        <f t="shared" si="30"/>
        <v>0</v>
      </c>
      <c r="U211" s="9" t="str">
        <f t="shared" si="31"/>
        <v>18-24</v>
      </c>
    </row>
    <row r="212" spans="1:21">
      <c r="A212" t="s">
        <v>244</v>
      </c>
      <c r="B212" s="8">
        <v>9503</v>
      </c>
      <c r="C212" s="23">
        <v>8.8020000000000001E-2</v>
      </c>
      <c r="D212" s="19" t="s">
        <v>32</v>
      </c>
      <c r="E212" s="21">
        <v>14.29</v>
      </c>
      <c r="F212" s="21">
        <v>0.29799999999999999</v>
      </c>
      <c r="G212" s="23">
        <v>0</v>
      </c>
      <c r="H212" s="26">
        <v>0</v>
      </c>
      <c r="I212" s="19" t="s">
        <v>21</v>
      </c>
      <c r="J212" s="8">
        <v>27</v>
      </c>
      <c r="K212" s="19" t="s">
        <v>22</v>
      </c>
      <c r="L212" s="19" t="s">
        <v>19</v>
      </c>
      <c r="M212" s="8" t="s">
        <v>1065</v>
      </c>
      <c r="N212" s="33">
        <f t="shared" si="24"/>
        <v>0</v>
      </c>
      <c r="O212" s="23">
        <f t="shared" si="25"/>
        <v>0.29536912751677852</v>
      </c>
      <c r="P212" s="59">
        <f t="shared" si="26"/>
        <v>2.0853743876836948E-2</v>
      </c>
      <c r="Q212" s="30">
        <f t="shared" si="27"/>
        <v>0</v>
      </c>
      <c r="R212" s="30">
        <f t="shared" si="28"/>
        <v>-1</v>
      </c>
      <c r="S212" s="12">
        <f t="shared" si="29"/>
        <v>0</v>
      </c>
      <c r="T212" s="30">
        <f t="shared" si="30"/>
        <v>0</v>
      </c>
      <c r="U212" s="9" t="str">
        <f t="shared" si="31"/>
        <v>25-34</v>
      </c>
    </row>
    <row r="213" spans="1:21">
      <c r="A213" t="s">
        <v>245</v>
      </c>
      <c r="B213" s="8">
        <v>1064</v>
      </c>
      <c r="C213" s="23">
        <v>0.16095999999999999</v>
      </c>
      <c r="D213" s="19" t="s">
        <v>40</v>
      </c>
      <c r="E213" s="21">
        <v>76.477999999999994</v>
      </c>
      <c r="F213" s="21">
        <v>8.2289999999999992</v>
      </c>
      <c r="G213" s="23">
        <v>0</v>
      </c>
      <c r="H213" s="26">
        <v>0</v>
      </c>
      <c r="I213" s="19" t="s">
        <v>21</v>
      </c>
      <c r="J213" s="8">
        <v>50</v>
      </c>
      <c r="K213" s="19" t="s">
        <v>37</v>
      </c>
      <c r="L213" s="19" t="s">
        <v>32</v>
      </c>
      <c r="M213" s="8">
        <v>1</v>
      </c>
      <c r="N213" s="33">
        <f t="shared" si="24"/>
        <v>0</v>
      </c>
      <c r="O213" s="23">
        <f t="shared" si="25"/>
        <v>1.9560092356300889E-2</v>
      </c>
      <c r="P213" s="59">
        <f t="shared" si="26"/>
        <v>0.1075995711184916</v>
      </c>
      <c r="Q213" s="30">
        <f t="shared" si="27"/>
        <v>0</v>
      </c>
      <c r="R213" s="30">
        <f t="shared" si="28"/>
        <v>-1</v>
      </c>
      <c r="S213" s="12">
        <f t="shared" si="29"/>
        <v>0</v>
      </c>
      <c r="T213" s="30">
        <f t="shared" si="30"/>
        <v>0</v>
      </c>
      <c r="U213" s="9" t="str">
        <f t="shared" si="31"/>
        <v>45-54</v>
      </c>
    </row>
    <row r="214" spans="1:21">
      <c r="A214" t="s">
        <v>246</v>
      </c>
      <c r="B214" s="8">
        <v>2785</v>
      </c>
      <c r="C214" s="23">
        <v>9.8640000000000005E-2</v>
      </c>
      <c r="D214" s="19" t="s">
        <v>32</v>
      </c>
      <c r="E214" s="21">
        <v>33.140999999999998</v>
      </c>
      <c r="F214" s="21">
        <v>7.556</v>
      </c>
      <c r="G214" s="23">
        <v>0</v>
      </c>
      <c r="H214" s="26">
        <v>0</v>
      </c>
      <c r="I214" s="19" t="s">
        <v>21</v>
      </c>
      <c r="J214" s="8">
        <v>57</v>
      </c>
      <c r="K214" s="19" t="s">
        <v>18</v>
      </c>
      <c r="L214" s="19" t="s">
        <v>45</v>
      </c>
      <c r="M214" s="8">
        <v>3</v>
      </c>
      <c r="N214" s="33">
        <f t="shared" si="24"/>
        <v>0</v>
      </c>
      <c r="O214" s="23">
        <f t="shared" si="25"/>
        <v>1.3054526204340921E-2</v>
      </c>
      <c r="P214" s="59">
        <f t="shared" si="26"/>
        <v>0.22799553423252167</v>
      </c>
      <c r="Q214" s="30">
        <f t="shared" si="27"/>
        <v>0</v>
      </c>
      <c r="R214" s="30">
        <f t="shared" si="28"/>
        <v>-1</v>
      </c>
      <c r="S214" s="12">
        <f t="shared" si="29"/>
        <v>0</v>
      </c>
      <c r="T214" s="30">
        <f t="shared" si="30"/>
        <v>0</v>
      </c>
      <c r="U214" s="9" t="str">
        <f t="shared" si="31"/>
        <v>55+</v>
      </c>
    </row>
    <row r="215" spans="1:21">
      <c r="A215" t="s">
        <v>247</v>
      </c>
      <c r="B215" s="8">
        <v>3262</v>
      </c>
      <c r="C215" s="23">
        <v>0.15526000000000001</v>
      </c>
      <c r="D215" s="19" t="s">
        <v>40</v>
      </c>
      <c r="E215" s="21">
        <v>47.518000000000001</v>
      </c>
      <c r="F215" s="21">
        <v>4.0970000000000004</v>
      </c>
      <c r="G215" s="23">
        <v>0</v>
      </c>
      <c r="H215" s="26">
        <v>0</v>
      </c>
      <c r="I215" s="19" t="s">
        <v>34</v>
      </c>
      <c r="J215" s="8">
        <v>49</v>
      </c>
      <c r="K215" s="19" t="s">
        <v>31</v>
      </c>
      <c r="L215" s="19" t="s">
        <v>19</v>
      </c>
      <c r="M215" s="8">
        <v>5</v>
      </c>
      <c r="N215" s="33">
        <f t="shared" si="24"/>
        <v>0</v>
      </c>
      <c r="O215" s="23">
        <f t="shared" si="25"/>
        <v>3.789602147913107E-2</v>
      </c>
      <c r="P215" s="59">
        <f t="shared" si="26"/>
        <v>8.621995875247275E-2</v>
      </c>
      <c r="Q215" s="30">
        <f t="shared" si="27"/>
        <v>0</v>
      </c>
      <c r="R215" s="30">
        <f t="shared" si="28"/>
        <v>-1</v>
      </c>
      <c r="S215" s="12">
        <f t="shared" si="29"/>
        <v>0</v>
      </c>
      <c r="T215" s="30">
        <f t="shared" si="30"/>
        <v>0</v>
      </c>
      <c r="U215" s="9" t="str">
        <f t="shared" si="31"/>
        <v>45-54</v>
      </c>
    </row>
    <row r="216" spans="1:21">
      <c r="A216" t="s">
        <v>248</v>
      </c>
      <c r="B216" s="8">
        <v>8632</v>
      </c>
      <c r="C216" s="23">
        <v>0.17197999999999999</v>
      </c>
      <c r="D216" s="19" t="s">
        <v>28</v>
      </c>
      <c r="E216" s="21">
        <v>60.731000000000002</v>
      </c>
      <c r="F216" s="21">
        <v>6.6280000000000001</v>
      </c>
      <c r="G216" s="23">
        <v>0</v>
      </c>
      <c r="H216" s="26">
        <v>0</v>
      </c>
      <c r="I216" s="19" t="s">
        <v>29</v>
      </c>
      <c r="J216" s="8">
        <v>19</v>
      </c>
      <c r="K216" s="19" t="s">
        <v>22</v>
      </c>
      <c r="L216" s="19" t="s">
        <v>45</v>
      </c>
      <c r="M216" s="8" t="s">
        <v>1065</v>
      </c>
      <c r="N216" s="33">
        <f t="shared" si="24"/>
        <v>0</v>
      </c>
      <c r="O216" s="23">
        <f t="shared" si="25"/>
        <v>2.5947495473747736E-2</v>
      </c>
      <c r="P216" s="59">
        <f t="shared" si="26"/>
        <v>0.10913701404554511</v>
      </c>
      <c r="Q216" s="30">
        <f t="shared" si="27"/>
        <v>0</v>
      </c>
      <c r="R216" s="30">
        <f t="shared" si="28"/>
        <v>-1</v>
      </c>
      <c r="S216" s="12">
        <f t="shared" si="29"/>
        <v>0</v>
      </c>
      <c r="T216" s="30">
        <f t="shared" si="30"/>
        <v>0</v>
      </c>
      <c r="U216" s="9" t="str">
        <f t="shared" si="31"/>
        <v>18-24</v>
      </c>
    </row>
    <row r="217" spans="1:21">
      <c r="A217" t="s">
        <v>249</v>
      </c>
      <c r="B217" s="8">
        <v>4315</v>
      </c>
      <c r="C217" s="23">
        <v>0.14408000000000001</v>
      </c>
      <c r="D217" s="19" t="s">
        <v>25</v>
      </c>
      <c r="E217" s="21">
        <v>72.215999999999994</v>
      </c>
      <c r="F217" s="21">
        <v>9.0760000000000005</v>
      </c>
      <c r="G217" s="23">
        <v>0</v>
      </c>
      <c r="H217" s="26">
        <v>0</v>
      </c>
      <c r="I217" s="19" t="s">
        <v>26</v>
      </c>
      <c r="J217" s="8">
        <v>62</v>
      </c>
      <c r="K217" s="19" t="s">
        <v>31</v>
      </c>
      <c r="L217" s="19" t="s">
        <v>19</v>
      </c>
      <c r="M217" s="8">
        <v>4</v>
      </c>
      <c r="N217" s="33">
        <f t="shared" si="24"/>
        <v>0</v>
      </c>
      <c r="O217" s="23">
        <f t="shared" si="25"/>
        <v>1.5874834728955487E-2</v>
      </c>
      <c r="P217" s="59">
        <f t="shared" si="26"/>
        <v>0.12567851999556887</v>
      </c>
      <c r="Q217" s="30">
        <f t="shared" si="27"/>
        <v>0</v>
      </c>
      <c r="R217" s="30">
        <f t="shared" si="28"/>
        <v>-1</v>
      </c>
      <c r="S217" s="12">
        <f t="shared" si="29"/>
        <v>0</v>
      </c>
      <c r="T217" s="30">
        <f t="shared" si="30"/>
        <v>0</v>
      </c>
      <c r="U217" s="9" t="str">
        <f t="shared" si="31"/>
        <v>55+</v>
      </c>
    </row>
    <row r="218" spans="1:21">
      <c r="A218" t="s">
        <v>250</v>
      </c>
      <c r="B218" s="8">
        <v>2372</v>
      </c>
      <c r="C218" s="23">
        <v>9.4780000000000003E-2</v>
      </c>
      <c r="D218" s="19" t="s">
        <v>32</v>
      </c>
      <c r="E218" s="21">
        <v>12.595000000000001</v>
      </c>
      <c r="F218" s="21">
        <v>0.35099999999999998</v>
      </c>
      <c r="G218" s="23">
        <v>0</v>
      </c>
      <c r="H218" s="26">
        <v>0</v>
      </c>
      <c r="I218" s="19" t="s">
        <v>21</v>
      </c>
      <c r="J218" s="8">
        <v>49</v>
      </c>
      <c r="K218" s="19" t="s">
        <v>18</v>
      </c>
      <c r="L218" s="19" t="s">
        <v>23</v>
      </c>
      <c r="M218" s="8">
        <v>5</v>
      </c>
      <c r="N218" s="33">
        <f t="shared" si="24"/>
        <v>0</v>
      </c>
      <c r="O218" s="23">
        <f t="shared" si="25"/>
        <v>0.27002849002849005</v>
      </c>
      <c r="P218" s="59">
        <f t="shared" si="26"/>
        <v>2.7868201667328302E-2</v>
      </c>
      <c r="Q218" s="30">
        <f t="shared" si="27"/>
        <v>0</v>
      </c>
      <c r="R218" s="30">
        <f t="shared" si="28"/>
        <v>-1</v>
      </c>
      <c r="S218" s="12">
        <f t="shared" si="29"/>
        <v>0</v>
      </c>
      <c r="T218" s="30">
        <f t="shared" si="30"/>
        <v>0</v>
      </c>
      <c r="U218" s="9" t="str">
        <f t="shared" si="31"/>
        <v>45-54</v>
      </c>
    </row>
    <row r="219" spans="1:21">
      <c r="A219" t="s">
        <v>251</v>
      </c>
      <c r="B219" s="8">
        <v>8702</v>
      </c>
      <c r="C219" s="23">
        <v>0.17213000000000001</v>
      </c>
      <c r="D219" s="19" t="s">
        <v>15</v>
      </c>
      <c r="E219" s="21">
        <v>97.634</v>
      </c>
      <c r="F219" s="21">
        <v>6.6479999999999997</v>
      </c>
      <c r="G219" s="23">
        <v>0</v>
      </c>
      <c r="H219" s="26">
        <v>0</v>
      </c>
      <c r="I219" s="19" t="s">
        <v>1067</v>
      </c>
      <c r="J219" s="8">
        <v>48</v>
      </c>
      <c r="K219" s="19" t="s">
        <v>31</v>
      </c>
      <c r="L219" s="19" t="s">
        <v>38</v>
      </c>
      <c r="M219" s="8">
        <v>2</v>
      </c>
      <c r="N219" s="33">
        <f t="shared" si="24"/>
        <v>0</v>
      </c>
      <c r="O219" s="23">
        <f t="shared" si="25"/>
        <v>2.5891997593261135E-2</v>
      </c>
      <c r="P219" s="59">
        <f t="shared" si="26"/>
        <v>6.809103386115492E-2</v>
      </c>
      <c r="Q219" s="30">
        <f t="shared" si="27"/>
        <v>0</v>
      </c>
      <c r="R219" s="30">
        <f t="shared" si="28"/>
        <v>-1</v>
      </c>
      <c r="S219" s="12">
        <f t="shared" si="29"/>
        <v>0</v>
      </c>
      <c r="T219" s="30">
        <f t="shared" si="30"/>
        <v>0</v>
      </c>
      <c r="U219" s="9" t="str">
        <f t="shared" si="31"/>
        <v>45-54</v>
      </c>
    </row>
    <row r="220" spans="1:21">
      <c r="A220" t="s">
        <v>252</v>
      </c>
      <c r="B220" s="8">
        <v>4265</v>
      </c>
      <c r="C220" s="23">
        <v>0</v>
      </c>
      <c r="D220" s="19" t="s">
        <v>45</v>
      </c>
      <c r="E220" s="21">
        <v>72.367999999999995</v>
      </c>
      <c r="F220" s="21">
        <v>3.415</v>
      </c>
      <c r="G220" s="23">
        <v>8.7919999999999998E-2</v>
      </c>
      <c r="H220" s="26">
        <v>1</v>
      </c>
      <c r="I220" s="19" t="s">
        <v>17</v>
      </c>
      <c r="J220" s="8">
        <v>25</v>
      </c>
      <c r="K220" s="19" t="s">
        <v>37</v>
      </c>
      <c r="L220" s="19" t="s">
        <v>32</v>
      </c>
      <c r="M220" s="8">
        <v>2</v>
      </c>
      <c r="N220" s="33">
        <f t="shared" si="24"/>
        <v>0.29282576866764276</v>
      </c>
      <c r="O220" s="23">
        <f t="shared" si="25"/>
        <v>0</v>
      </c>
      <c r="P220" s="59">
        <f t="shared" si="26"/>
        <v>4.7189365465399077E-2</v>
      </c>
      <c r="Q220" s="30">
        <f t="shared" si="27"/>
        <v>0</v>
      </c>
      <c r="R220" s="30">
        <f t="shared" si="28"/>
        <v>0</v>
      </c>
      <c r="S220" s="12" t="e">
        <f t="shared" si="29"/>
        <v>#DIV/0!</v>
      </c>
      <c r="T220" s="30">
        <f t="shared" si="30"/>
        <v>2.574524158125915E-2</v>
      </c>
      <c r="U220" s="9" t="str">
        <f t="shared" si="31"/>
        <v>25-34</v>
      </c>
    </row>
    <row r="221" spans="1:21">
      <c r="A221" t="s">
        <v>253</v>
      </c>
      <c r="B221" s="8">
        <v>7273</v>
      </c>
      <c r="C221" s="23">
        <v>3.0099999999999998E-2</v>
      </c>
      <c r="D221" s="19" t="s">
        <v>15</v>
      </c>
      <c r="E221" s="21">
        <v>49.155999999999999</v>
      </c>
      <c r="F221" s="21">
        <v>8.0649999999999995</v>
      </c>
      <c r="G221" s="23">
        <v>0</v>
      </c>
      <c r="H221" s="26">
        <v>0</v>
      </c>
      <c r="I221" s="19" t="s">
        <v>29</v>
      </c>
      <c r="J221" s="8">
        <v>55</v>
      </c>
      <c r="K221" s="19" t="s">
        <v>22</v>
      </c>
      <c r="L221" s="19" t="s">
        <v>23</v>
      </c>
      <c r="M221" s="8">
        <v>2</v>
      </c>
      <c r="N221" s="33">
        <f t="shared" si="24"/>
        <v>0</v>
      </c>
      <c r="O221" s="23">
        <f t="shared" si="25"/>
        <v>3.7321760694358341E-3</v>
      </c>
      <c r="P221" s="59">
        <f t="shared" si="26"/>
        <v>0.16406949304255838</v>
      </c>
      <c r="Q221" s="30">
        <f t="shared" si="27"/>
        <v>0</v>
      </c>
      <c r="R221" s="30">
        <f t="shared" si="28"/>
        <v>-1</v>
      </c>
      <c r="S221" s="12">
        <f t="shared" si="29"/>
        <v>0</v>
      </c>
      <c r="T221" s="30">
        <f t="shared" si="30"/>
        <v>0</v>
      </c>
      <c r="U221" s="9" t="str">
        <f t="shared" si="31"/>
        <v>55+</v>
      </c>
    </row>
    <row r="222" spans="1:21">
      <c r="A222" t="s">
        <v>254</v>
      </c>
      <c r="B222" s="8">
        <v>1854</v>
      </c>
      <c r="C222" s="23">
        <v>0.13399</v>
      </c>
      <c r="D222" s="19" t="s">
        <v>25</v>
      </c>
      <c r="E222" s="21">
        <v>36.948999999999998</v>
      </c>
      <c r="F222" s="21">
        <v>5.7359999999999998</v>
      </c>
      <c r="G222" s="23">
        <v>0</v>
      </c>
      <c r="H222" s="26">
        <v>0</v>
      </c>
      <c r="I222" s="19" t="s">
        <v>21</v>
      </c>
      <c r="J222" s="8">
        <v>30</v>
      </c>
      <c r="K222" s="19" t="s">
        <v>22</v>
      </c>
      <c r="L222" s="19" t="s">
        <v>23</v>
      </c>
      <c r="M222" s="8">
        <v>2</v>
      </c>
      <c r="N222" s="33">
        <f t="shared" si="24"/>
        <v>0</v>
      </c>
      <c r="O222" s="23">
        <f t="shared" si="25"/>
        <v>2.3359483960948398E-2</v>
      </c>
      <c r="P222" s="59">
        <f t="shared" si="26"/>
        <v>0.15524100787572059</v>
      </c>
      <c r="Q222" s="30">
        <f t="shared" si="27"/>
        <v>0</v>
      </c>
      <c r="R222" s="30">
        <f t="shared" si="28"/>
        <v>-1</v>
      </c>
      <c r="S222" s="12">
        <f t="shared" si="29"/>
        <v>0</v>
      </c>
      <c r="T222" s="30">
        <f t="shared" si="30"/>
        <v>0</v>
      </c>
      <c r="U222" s="9" t="str">
        <f t="shared" si="31"/>
        <v>25-34</v>
      </c>
    </row>
    <row r="223" spans="1:21">
      <c r="A223" t="s">
        <v>255</v>
      </c>
      <c r="B223" s="8">
        <v>4384</v>
      </c>
      <c r="C223" s="23">
        <v>0</v>
      </c>
      <c r="D223" s="19" t="s">
        <v>40</v>
      </c>
      <c r="E223" s="21">
        <v>12.172000000000001</v>
      </c>
      <c r="F223" s="21">
        <v>8.8019999999999996</v>
      </c>
      <c r="G223" s="23">
        <v>0</v>
      </c>
      <c r="H223" s="26">
        <v>0</v>
      </c>
      <c r="I223" s="19" t="s">
        <v>17</v>
      </c>
      <c r="J223" s="8">
        <v>29</v>
      </c>
      <c r="K223" s="19" t="s">
        <v>31</v>
      </c>
      <c r="L223" s="19" t="s">
        <v>45</v>
      </c>
      <c r="M223" s="8">
        <v>4</v>
      </c>
      <c r="N223" s="33">
        <f t="shared" si="24"/>
        <v>0</v>
      </c>
      <c r="O223" s="23">
        <f t="shared" si="25"/>
        <v>0</v>
      </c>
      <c r="P223" s="59">
        <f t="shared" si="26"/>
        <v>0.72313506408149841</v>
      </c>
      <c r="Q223" s="30">
        <f t="shared" si="27"/>
        <v>0</v>
      </c>
      <c r="R223" s="30">
        <f t="shared" si="28"/>
        <v>0</v>
      </c>
      <c r="S223" s="12">
        <f t="shared" si="29"/>
        <v>0</v>
      </c>
      <c r="T223" s="30">
        <f t="shared" si="30"/>
        <v>0</v>
      </c>
      <c r="U223" s="9" t="str">
        <f t="shared" si="31"/>
        <v>25-34</v>
      </c>
    </row>
    <row r="224" spans="1:21">
      <c r="A224" t="s">
        <v>256</v>
      </c>
      <c r="B224" s="8">
        <v>2922</v>
      </c>
      <c r="C224" s="23">
        <v>0</v>
      </c>
      <c r="D224" s="19" t="s">
        <v>45</v>
      </c>
      <c r="E224" s="21">
        <v>63.91</v>
      </c>
      <c r="F224" s="21">
        <v>5.5739999999999998</v>
      </c>
      <c r="G224" s="23">
        <v>0.20185</v>
      </c>
      <c r="H224" s="26">
        <v>1</v>
      </c>
      <c r="I224" s="19" t="s">
        <v>26</v>
      </c>
      <c r="J224" s="8">
        <v>63</v>
      </c>
      <c r="K224" s="19" t="s">
        <v>22</v>
      </c>
      <c r="L224" s="19" t="s">
        <v>23</v>
      </c>
      <c r="M224" s="8">
        <v>3</v>
      </c>
      <c r="N224" s="33">
        <f t="shared" si="24"/>
        <v>0.17940437746681021</v>
      </c>
      <c r="O224" s="23">
        <f t="shared" si="25"/>
        <v>0</v>
      </c>
      <c r="P224" s="59">
        <f t="shared" si="26"/>
        <v>8.7216398059771549E-2</v>
      </c>
      <c r="Q224" s="30">
        <f t="shared" si="27"/>
        <v>0</v>
      </c>
      <c r="R224" s="30">
        <f t="shared" si="28"/>
        <v>0</v>
      </c>
      <c r="S224" s="12" t="e">
        <f t="shared" si="29"/>
        <v>#DIV/0!</v>
      </c>
      <c r="T224" s="30">
        <f t="shared" si="30"/>
        <v>3.6212773591675636E-2</v>
      </c>
      <c r="U224" s="9" t="str">
        <f t="shared" si="31"/>
        <v>55+</v>
      </c>
    </row>
    <row r="225" spans="1:21">
      <c r="A225" t="s">
        <v>257</v>
      </c>
      <c r="B225" s="8">
        <v>4673</v>
      </c>
      <c r="C225" s="23">
        <v>0.14294000000000001</v>
      </c>
      <c r="D225" s="19" t="s">
        <v>32</v>
      </c>
      <c r="E225" s="21">
        <v>86.100999999999999</v>
      </c>
      <c r="F225" s="21">
        <v>1.6579999999999999</v>
      </c>
      <c r="G225" s="23">
        <v>0</v>
      </c>
      <c r="H225" s="26">
        <v>0</v>
      </c>
      <c r="I225" s="19" t="s">
        <v>26</v>
      </c>
      <c r="J225" s="8">
        <v>27</v>
      </c>
      <c r="K225" s="19" t="s">
        <v>18</v>
      </c>
      <c r="L225" s="19" t="s">
        <v>38</v>
      </c>
      <c r="M225" s="8">
        <v>5</v>
      </c>
      <c r="N225" s="33">
        <f t="shared" si="24"/>
        <v>0</v>
      </c>
      <c r="O225" s="23">
        <f t="shared" si="25"/>
        <v>8.6212303980699651E-2</v>
      </c>
      <c r="P225" s="59">
        <f t="shared" si="26"/>
        <v>1.9256454628866097E-2</v>
      </c>
      <c r="Q225" s="30">
        <f t="shared" si="27"/>
        <v>0</v>
      </c>
      <c r="R225" s="30">
        <f t="shared" si="28"/>
        <v>-1</v>
      </c>
      <c r="S225" s="12">
        <f t="shared" si="29"/>
        <v>0</v>
      </c>
      <c r="T225" s="30">
        <f t="shared" si="30"/>
        <v>0</v>
      </c>
      <c r="U225" s="9" t="str">
        <f t="shared" si="31"/>
        <v>25-34</v>
      </c>
    </row>
    <row r="226" spans="1:21">
      <c r="A226" t="s">
        <v>258</v>
      </c>
      <c r="B226" s="8">
        <v>5037</v>
      </c>
      <c r="C226" s="23">
        <v>5.8749999999999997E-2</v>
      </c>
      <c r="D226" s="19" t="s">
        <v>25</v>
      </c>
      <c r="E226" s="21">
        <v>75.494</v>
      </c>
      <c r="F226" s="21">
        <v>4.7859999999999996</v>
      </c>
      <c r="G226" s="23">
        <v>0</v>
      </c>
      <c r="H226" s="26">
        <v>0</v>
      </c>
      <c r="I226" s="19" t="s">
        <v>29</v>
      </c>
      <c r="J226" s="8">
        <v>57</v>
      </c>
      <c r="K226" s="19" t="s">
        <v>18</v>
      </c>
      <c r="L226" s="19" t="s">
        <v>32</v>
      </c>
      <c r="M226" s="8">
        <v>2</v>
      </c>
      <c r="N226" s="33">
        <f t="shared" si="24"/>
        <v>0</v>
      </c>
      <c r="O226" s="23">
        <f t="shared" si="25"/>
        <v>1.2275386544086921E-2</v>
      </c>
      <c r="P226" s="59">
        <f t="shared" si="26"/>
        <v>6.3395766550984181E-2</v>
      </c>
      <c r="Q226" s="30">
        <f t="shared" si="27"/>
        <v>0</v>
      </c>
      <c r="R226" s="30">
        <f t="shared" si="28"/>
        <v>-1</v>
      </c>
      <c r="S226" s="12">
        <f t="shared" si="29"/>
        <v>0</v>
      </c>
      <c r="T226" s="30">
        <f t="shared" si="30"/>
        <v>0</v>
      </c>
      <c r="U226" s="9" t="str">
        <f t="shared" si="31"/>
        <v>55+</v>
      </c>
    </row>
    <row r="227" spans="1:21">
      <c r="A227" t="s">
        <v>259</v>
      </c>
      <c r="B227" s="8">
        <v>7215</v>
      </c>
      <c r="C227" s="23">
        <v>0</v>
      </c>
      <c r="D227" s="19" t="s">
        <v>32</v>
      </c>
      <c r="E227" s="21">
        <v>71.204999999999998</v>
      </c>
      <c r="F227" s="21">
        <v>4.5199999999999996</v>
      </c>
      <c r="G227" s="23">
        <v>0</v>
      </c>
      <c r="H227" s="26">
        <v>0</v>
      </c>
      <c r="I227" s="19" t="s">
        <v>29</v>
      </c>
      <c r="J227" s="8">
        <v>54</v>
      </c>
      <c r="K227" s="19" t="s">
        <v>22</v>
      </c>
      <c r="L227" s="19" t="s">
        <v>45</v>
      </c>
      <c r="M227" s="8" t="s">
        <v>1065</v>
      </c>
      <c r="N227" s="33">
        <f t="shared" si="24"/>
        <v>0</v>
      </c>
      <c r="O227" s="23">
        <f t="shared" si="25"/>
        <v>0</v>
      </c>
      <c r="P227" s="59">
        <f t="shared" si="26"/>
        <v>6.3478688294361346E-2</v>
      </c>
      <c r="Q227" s="30">
        <f t="shared" si="27"/>
        <v>0</v>
      </c>
      <c r="R227" s="30">
        <f t="shared" si="28"/>
        <v>0</v>
      </c>
      <c r="S227" s="12">
        <f t="shared" si="29"/>
        <v>0</v>
      </c>
      <c r="T227" s="30">
        <f t="shared" si="30"/>
        <v>0</v>
      </c>
      <c r="U227" s="9" t="str">
        <f t="shared" si="31"/>
        <v>45-54</v>
      </c>
    </row>
    <row r="228" spans="1:21">
      <c r="A228" t="s">
        <v>260</v>
      </c>
      <c r="B228" s="8">
        <v>7934</v>
      </c>
      <c r="C228" s="23">
        <v>4.3920000000000001E-2</v>
      </c>
      <c r="D228" s="19" t="s">
        <v>28</v>
      </c>
      <c r="E228" s="21">
        <v>30.132999999999999</v>
      </c>
      <c r="F228" s="21">
        <v>7.4749999999999996</v>
      </c>
      <c r="G228" s="23">
        <v>0</v>
      </c>
      <c r="H228" s="26">
        <v>0</v>
      </c>
      <c r="I228" s="19" t="s">
        <v>34</v>
      </c>
      <c r="J228" s="8">
        <v>35</v>
      </c>
      <c r="K228" s="19" t="s">
        <v>31</v>
      </c>
      <c r="L228" s="19" t="s">
        <v>32</v>
      </c>
      <c r="M228" s="8" t="s">
        <v>1065</v>
      </c>
      <c r="N228" s="33">
        <f t="shared" si="24"/>
        <v>0</v>
      </c>
      <c r="O228" s="23">
        <f t="shared" si="25"/>
        <v>5.8755852842809365E-3</v>
      </c>
      <c r="P228" s="59">
        <f t="shared" si="26"/>
        <v>0.24806690339494905</v>
      </c>
      <c r="Q228" s="30">
        <f t="shared" si="27"/>
        <v>0</v>
      </c>
      <c r="R228" s="30">
        <f t="shared" si="28"/>
        <v>-1</v>
      </c>
      <c r="S228" s="12">
        <f t="shared" si="29"/>
        <v>0</v>
      </c>
      <c r="T228" s="30">
        <f t="shared" si="30"/>
        <v>0</v>
      </c>
      <c r="U228" s="9" t="str">
        <f t="shared" si="31"/>
        <v>35-44</v>
      </c>
    </row>
    <row r="229" spans="1:21">
      <c r="A229" t="s">
        <v>261</v>
      </c>
      <c r="B229" s="8">
        <v>1465</v>
      </c>
      <c r="C229" s="23">
        <v>7.8960000000000002E-2</v>
      </c>
      <c r="D229" s="19" t="s">
        <v>25</v>
      </c>
      <c r="E229" s="21">
        <v>69.153000000000006</v>
      </c>
      <c r="F229" s="21">
        <v>4.4169999999999998</v>
      </c>
      <c r="G229" s="23">
        <v>1.2070000000000001E-2</v>
      </c>
      <c r="H229" s="26">
        <v>1</v>
      </c>
      <c r="I229" s="19" t="s">
        <v>26</v>
      </c>
      <c r="J229" s="8">
        <v>43</v>
      </c>
      <c r="K229" s="19" t="s">
        <v>31</v>
      </c>
      <c r="L229" s="19" t="s">
        <v>19</v>
      </c>
      <c r="M229" s="8">
        <v>5</v>
      </c>
      <c r="N229" s="33">
        <f t="shared" si="24"/>
        <v>0.22639800769753227</v>
      </c>
      <c r="O229" s="23">
        <f t="shared" si="25"/>
        <v>1.787638668779715E-2</v>
      </c>
      <c r="P229" s="59">
        <f t="shared" si="26"/>
        <v>6.3872861625670602E-2</v>
      </c>
      <c r="Q229" s="30">
        <f t="shared" si="27"/>
        <v>7.8960000000000002E-2</v>
      </c>
      <c r="R229" s="30">
        <f t="shared" si="28"/>
        <v>-0.8471377912867275</v>
      </c>
      <c r="S229" s="12">
        <f t="shared" si="29"/>
        <v>0.15286220871327255</v>
      </c>
      <c r="T229" s="30">
        <f t="shared" si="30"/>
        <v>2.7326239529092146E-3</v>
      </c>
      <c r="U229" s="9" t="str">
        <f t="shared" si="31"/>
        <v>35-44</v>
      </c>
    </row>
    <row r="230" spans="1:21">
      <c r="A230" t="s">
        <v>262</v>
      </c>
      <c r="B230" s="8">
        <v>7227</v>
      </c>
      <c r="C230" s="23">
        <v>3.3500000000000002E-2</v>
      </c>
      <c r="D230" s="19" t="s">
        <v>25</v>
      </c>
      <c r="E230" s="21">
        <v>87.216999999999999</v>
      </c>
      <c r="F230" s="21">
        <v>5.3230000000000004</v>
      </c>
      <c r="G230" s="23">
        <v>0</v>
      </c>
      <c r="H230" s="26">
        <v>0</v>
      </c>
      <c r="I230" s="19" t="s">
        <v>21</v>
      </c>
      <c r="J230" s="8">
        <v>45</v>
      </c>
      <c r="K230" s="19" t="s">
        <v>18</v>
      </c>
      <c r="L230" s="19" t="s">
        <v>45</v>
      </c>
      <c r="M230" s="8">
        <v>5</v>
      </c>
      <c r="N230" s="33">
        <f t="shared" si="24"/>
        <v>0</v>
      </c>
      <c r="O230" s="23">
        <f t="shared" si="25"/>
        <v>6.2934435468720643E-3</v>
      </c>
      <c r="P230" s="59">
        <f t="shared" si="26"/>
        <v>6.1031679603746981E-2</v>
      </c>
      <c r="Q230" s="30">
        <f t="shared" si="27"/>
        <v>0</v>
      </c>
      <c r="R230" s="30">
        <f t="shared" si="28"/>
        <v>-1</v>
      </c>
      <c r="S230" s="12">
        <f t="shared" si="29"/>
        <v>0</v>
      </c>
      <c r="T230" s="30">
        <f t="shared" si="30"/>
        <v>0</v>
      </c>
      <c r="U230" s="9" t="str">
        <f t="shared" si="31"/>
        <v>45-54</v>
      </c>
    </row>
    <row r="231" spans="1:21">
      <c r="A231" t="s">
        <v>263</v>
      </c>
      <c r="B231" s="8">
        <v>4485</v>
      </c>
      <c r="C231" s="23">
        <v>3.918E-2</v>
      </c>
      <c r="D231" s="19" t="s">
        <v>28</v>
      </c>
      <c r="E231" s="21">
        <v>53.070999999999998</v>
      </c>
      <c r="F231" s="21">
        <v>7.585</v>
      </c>
      <c r="G231" s="23">
        <v>0</v>
      </c>
      <c r="H231" s="26">
        <v>0</v>
      </c>
      <c r="I231" s="19" t="s">
        <v>17</v>
      </c>
      <c r="J231" s="8">
        <v>59</v>
      </c>
      <c r="K231" s="19" t="s">
        <v>18</v>
      </c>
      <c r="L231" s="19" t="s">
        <v>45</v>
      </c>
      <c r="M231" s="8">
        <v>5</v>
      </c>
      <c r="N231" s="33">
        <f t="shared" si="24"/>
        <v>0</v>
      </c>
      <c r="O231" s="23">
        <f t="shared" si="25"/>
        <v>5.1654581410678973E-3</v>
      </c>
      <c r="P231" s="59">
        <f t="shared" si="26"/>
        <v>0.14292174633980895</v>
      </c>
      <c r="Q231" s="30">
        <f t="shared" si="27"/>
        <v>0</v>
      </c>
      <c r="R231" s="30">
        <f t="shared" si="28"/>
        <v>-1</v>
      </c>
      <c r="S231" s="12">
        <f t="shared" si="29"/>
        <v>0</v>
      </c>
      <c r="T231" s="30">
        <f t="shared" si="30"/>
        <v>0</v>
      </c>
      <c r="U231" s="9" t="str">
        <f t="shared" si="31"/>
        <v>55+</v>
      </c>
    </row>
    <row r="232" spans="1:21">
      <c r="A232" t="s">
        <v>264</v>
      </c>
      <c r="B232" s="8">
        <v>5148</v>
      </c>
      <c r="C232" s="23">
        <v>0</v>
      </c>
      <c r="D232" s="19" t="s">
        <v>40</v>
      </c>
      <c r="E232" s="21">
        <v>96.730999999999995</v>
      </c>
      <c r="F232" s="21">
        <v>6.9180000000000001</v>
      </c>
      <c r="G232" s="23">
        <v>0</v>
      </c>
      <c r="H232" s="26">
        <v>0</v>
      </c>
      <c r="I232" s="19" t="s">
        <v>21</v>
      </c>
      <c r="J232" s="8">
        <v>49</v>
      </c>
      <c r="K232" s="19" t="s">
        <v>31</v>
      </c>
      <c r="L232" s="19" t="s">
        <v>19</v>
      </c>
      <c r="M232" s="8">
        <v>2</v>
      </c>
      <c r="N232" s="33">
        <f t="shared" si="24"/>
        <v>0</v>
      </c>
      <c r="O232" s="23">
        <f t="shared" si="25"/>
        <v>0</v>
      </c>
      <c r="P232" s="59">
        <f t="shared" si="26"/>
        <v>7.1517920831998025E-2</v>
      </c>
      <c r="Q232" s="30">
        <f t="shared" si="27"/>
        <v>0</v>
      </c>
      <c r="R232" s="30">
        <f t="shared" si="28"/>
        <v>0</v>
      </c>
      <c r="S232" s="12">
        <f t="shared" si="29"/>
        <v>0</v>
      </c>
      <c r="T232" s="30">
        <f t="shared" si="30"/>
        <v>0</v>
      </c>
      <c r="U232" s="9" t="str">
        <f t="shared" si="31"/>
        <v>45-54</v>
      </c>
    </row>
    <row r="233" spans="1:21">
      <c r="A233" t="s">
        <v>265</v>
      </c>
      <c r="B233" s="8">
        <v>2723</v>
      </c>
      <c r="C233" s="23">
        <v>4.6080000000000003E-2</v>
      </c>
      <c r="D233" s="19" t="s">
        <v>25</v>
      </c>
      <c r="E233" s="21">
        <v>72.873999999999995</v>
      </c>
      <c r="F233" s="21">
        <v>1.8540000000000001</v>
      </c>
      <c r="G233" s="23">
        <v>0</v>
      </c>
      <c r="H233" s="26">
        <v>0</v>
      </c>
      <c r="I233" s="19" t="s">
        <v>34</v>
      </c>
      <c r="J233" s="8">
        <v>36</v>
      </c>
      <c r="K233" s="19" t="s">
        <v>37</v>
      </c>
      <c r="L233" s="19" t="s">
        <v>45</v>
      </c>
      <c r="M233" s="8">
        <v>5</v>
      </c>
      <c r="N233" s="33">
        <f t="shared" si="24"/>
        <v>0</v>
      </c>
      <c r="O233" s="23">
        <f t="shared" si="25"/>
        <v>2.4854368932038837E-2</v>
      </c>
      <c r="P233" s="59">
        <f t="shared" si="26"/>
        <v>2.544117243461317E-2</v>
      </c>
      <c r="Q233" s="30">
        <f t="shared" si="27"/>
        <v>0</v>
      </c>
      <c r="R233" s="30">
        <f t="shared" si="28"/>
        <v>-1</v>
      </c>
      <c r="S233" s="12">
        <f t="shared" si="29"/>
        <v>0</v>
      </c>
      <c r="T233" s="30">
        <f t="shared" si="30"/>
        <v>0</v>
      </c>
      <c r="U233" s="9" t="str">
        <f t="shared" si="31"/>
        <v>35-44</v>
      </c>
    </row>
    <row r="234" spans="1:21">
      <c r="A234" t="s">
        <v>266</v>
      </c>
      <c r="B234" s="8">
        <v>4875</v>
      </c>
      <c r="C234" s="23">
        <v>0.14543</v>
      </c>
      <c r="D234" s="19" t="s">
        <v>28</v>
      </c>
      <c r="E234" s="21">
        <v>85.088999999999999</v>
      </c>
      <c r="F234" s="21">
        <v>0.95299999999999996</v>
      </c>
      <c r="G234" s="23">
        <v>0.32168999999999998</v>
      </c>
      <c r="H234" s="26">
        <v>1</v>
      </c>
      <c r="I234" s="19" t="s">
        <v>17</v>
      </c>
      <c r="J234" s="8">
        <v>52</v>
      </c>
      <c r="K234" s="19" t="s">
        <v>18</v>
      </c>
      <c r="L234" s="19" t="s">
        <v>45</v>
      </c>
      <c r="M234" s="8">
        <v>3</v>
      </c>
      <c r="N234" s="33">
        <f t="shared" si="24"/>
        <v>1.0493179433368311</v>
      </c>
      <c r="O234" s="23">
        <f t="shared" si="25"/>
        <v>0.15260230849947534</v>
      </c>
      <c r="P234" s="59">
        <f t="shared" si="26"/>
        <v>1.1200037607681368E-2</v>
      </c>
      <c r="Q234" s="30">
        <f t="shared" si="27"/>
        <v>0.14543</v>
      </c>
      <c r="R234" s="30">
        <f t="shared" si="28"/>
        <v>1.2119920236539914</v>
      </c>
      <c r="S234" s="12">
        <f t="shared" si="29"/>
        <v>2.2119920236539912</v>
      </c>
      <c r="T234" s="30">
        <f t="shared" si="30"/>
        <v>0.33755508919202515</v>
      </c>
      <c r="U234" s="9" t="str">
        <f t="shared" si="31"/>
        <v>45-54</v>
      </c>
    </row>
    <row r="235" spans="1:21">
      <c r="A235" t="s">
        <v>267</v>
      </c>
      <c r="B235" s="8">
        <v>9012</v>
      </c>
      <c r="C235" s="23">
        <v>0</v>
      </c>
      <c r="D235" s="19" t="s">
        <v>28</v>
      </c>
      <c r="E235" s="21">
        <v>29.895</v>
      </c>
      <c r="F235" s="21">
        <v>0.34300000000000003</v>
      </c>
      <c r="G235" s="23">
        <v>0.10741000000000001</v>
      </c>
      <c r="H235" s="26">
        <v>1</v>
      </c>
      <c r="I235" s="19" t="s">
        <v>17</v>
      </c>
      <c r="J235" s="8">
        <v>62</v>
      </c>
      <c r="K235" s="19" t="s">
        <v>22</v>
      </c>
      <c r="L235" s="19" t="s">
        <v>45</v>
      </c>
      <c r="M235" s="8">
        <v>3</v>
      </c>
      <c r="N235" s="33">
        <f t="shared" si="24"/>
        <v>2.9154518950437316</v>
      </c>
      <c r="O235" s="23">
        <f t="shared" si="25"/>
        <v>0</v>
      </c>
      <c r="P235" s="59">
        <f t="shared" si="26"/>
        <v>1.1473490550259242E-2</v>
      </c>
      <c r="Q235" s="30">
        <f t="shared" si="27"/>
        <v>0</v>
      </c>
      <c r="R235" s="30">
        <f t="shared" si="28"/>
        <v>0</v>
      </c>
      <c r="S235" s="12" t="e">
        <f t="shared" si="29"/>
        <v>#DIV/0!</v>
      </c>
      <c r="T235" s="30">
        <f t="shared" si="30"/>
        <v>0.31314868804664719</v>
      </c>
      <c r="U235" s="9" t="str">
        <f t="shared" si="31"/>
        <v>55+</v>
      </c>
    </row>
    <row r="236" spans="1:21">
      <c r="A236" t="s">
        <v>268</v>
      </c>
      <c r="B236" s="8">
        <v>6280</v>
      </c>
      <c r="C236" s="23">
        <v>6.8900000000000003E-3</v>
      </c>
      <c r="D236" s="19" t="s">
        <v>25</v>
      </c>
      <c r="E236" s="21">
        <v>64.98</v>
      </c>
      <c r="F236" s="21">
        <v>1.9239999999999999</v>
      </c>
      <c r="G236" s="23">
        <v>0</v>
      </c>
      <c r="H236" s="26">
        <v>0</v>
      </c>
      <c r="I236" s="19" t="s">
        <v>21</v>
      </c>
      <c r="J236" s="8">
        <v>23</v>
      </c>
      <c r="K236" s="19" t="s">
        <v>22</v>
      </c>
      <c r="L236" s="19" t="s">
        <v>23</v>
      </c>
      <c r="M236" s="8">
        <v>3</v>
      </c>
      <c r="N236" s="33">
        <f t="shared" si="24"/>
        <v>0</v>
      </c>
      <c r="O236" s="23">
        <f t="shared" si="25"/>
        <v>3.5810810810810814E-3</v>
      </c>
      <c r="P236" s="59">
        <f t="shared" si="26"/>
        <v>2.9609110495537085E-2</v>
      </c>
      <c r="Q236" s="30">
        <f t="shared" si="27"/>
        <v>0</v>
      </c>
      <c r="R236" s="30">
        <f t="shared" si="28"/>
        <v>-1</v>
      </c>
      <c r="S236" s="12">
        <f t="shared" si="29"/>
        <v>0</v>
      </c>
      <c r="T236" s="30">
        <f t="shared" si="30"/>
        <v>0</v>
      </c>
      <c r="U236" s="9" t="str">
        <f t="shared" si="31"/>
        <v>18-24</v>
      </c>
    </row>
    <row r="237" spans="1:21">
      <c r="A237" t="s">
        <v>269</v>
      </c>
      <c r="B237" s="8">
        <v>8590</v>
      </c>
      <c r="C237" s="23">
        <v>0</v>
      </c>
      <c r="D237" s="19" t="s">
        <v>25</v>
      </c>
      <c r="E237" s="21">
        <v>74.853999999999999</v>
      </c>
      <c r="F237" s="21">
        <v>0.13400000000000001</v>
      </c>
      <c r="G237" s="23">
        <v>0</v>
      </c>
      <c r="H237" s="26">
        <v>0</v>
      </c>
      <c r="I237" s="19" t="s">
        <v>21</v>
      </c>
      <c r="J237" s="8">
        <v>23</v>
      </c>
      <c r="K237" s="19" t="s">
        <v>37</v>
      </c>
      <c r="L237" s="19" t="s">
        <v>32</v>
      </c>
      <c r="M237" s="8" t="s">
        <v>1065</v>
      </c>
      <c r="N237" s="33">
        <f t="shared" si="24"/>
        <v>0</v>
      </c>
      <c r="O237" s="23">
        <f t="shared" si="25"/>
        <v>0</v>
      </c>
      <c r="P237" s="59">
        <f t="shared" si="26"/>
        <v>1.7901514949100917E-3</v>
      </c>
      <c r="Q237" s="30">
        <f t="shared" si="27"/>
        <v>0</v>
      </c>
      <c r="R237" s="30">
        <f t="shared" si="28"/>
        <v>0</v>
      </c>
      <c r="S237" s="12">
        <f t="shared" si="29"/>
        <v>0</v>
      </c>
      <c r="T237" s="30">
        <f t="shared" si="30"/>
        <v>0</v>
      </c>
      <c r="U237" s="9" t="str">
        <f t="shared" si="31"/>
        <v>18-24</v>
      </c>
    </row>
    <row r="238" spans="1:21">
      <c r="A238" t="s">
        <v>270</v>
      </c>
      <c r="B238" s="8">
        <v>3628</v>
      </c>
      <c r="C238" s="23">
        <v>0.18572</v>
      </c>
      <c r="D238" s="19" t="s">
        <v>28</v>
      </c>
      <c r="E238" s="21">
        <v>82.007999999999996</v>
      </c>
      <c r="F238" s="21">
        <v>3.5129999999999999</v>
      </c>
      <c r="G238" s="23">
        <v>0</v>
      </c>
      <c r="H238" s="26">
        <v>0</v>
      </c>
      <c r="I238" s="19" t="s">
        <v>29</v>
      </c>
      <c r="J238" s="8">
        <v>34</v>
      </c>
      <c r="K238" s="19" t="s">
        <v>37</v>
      </c>
      <c r="L238" s="19" t="s">
        <v>19</v>
      </c>
      <c r="M238" s="8">
        <v>1</v>
      </c>
      <c r="N238" s="33">
        <f t="shared" si="24"/>
        <v>0</v>
      </c>
      <c r="O238" s="23">
        <f t="shared" si="25"/>
        <v>5.2866495872473669E-2</v>
      </c>
      <c r="P238" s="59">
        <f t="shared" si="26"/>
        <v>4.2837284167398307E-2</v>
      </c>
      <c r="Q238" s="30">
        <f t="shared" si="27"/>
        <v>0</v>
      </c>
      <c r="R238" s="30">
        <f t="shared" si="28"/>
        <v>-1</v>
      </c>
      <c r="S238" s="12">
        <f t="shared" si="29"/>
        <v>0</v>
      </c>
      <c r="T238" s="30">
        <f t="shared" si="30"/>
        <v>0</v>
      </c>
      <c r="U238" s="9" t="str">
        <f t="shared" si="31"/>
        <v>25-34</v>
      </c>
    </row>
    <row r="239" spans="1:21">
      <c r="A239" t="s">
        <v>271</v>
      </c>
      <c r="B239" s="8">
        <v>1477</v>
      </c>
      <c r="C239" s="23">
        <v>0.19106000000000001</v>
      </c>
      <c r="D239" s="19" t="s">
        <v>28</v>
      </c>
      <c r="E239" s="21">
        <v>78.501000000000005</v>
      </c>
      <c r="F239" s="21">
        <v>7.2679999999999998</v>
      </c>
      <c r="G239" s="23">
        <v>0</v>
      </c>
      <c r="H239" s="26">
        <v>0</v>
      </c>
      <c r="I239" s="19" t="s">
        <v>17</v>
      </c>
      <c r="J239" s="8">
        <v>55</v>
      </c>
      <c r="K239" s="19" t="s">
        <v>37</v>
      </c>
      <c r="L239" s="19" t="s">
        <v>45</v>
      </c>
      <c r="M239" s="8">
        <v>5</v>
      </c>
      <c r="N239" s="33">
        <f t="shared" si="24"/>
        <v>0</v>
      </c>
      <c r="O239" s="23">
        <f t="shared" si="25"/>
        <v>2.6287837094111175E-2</v>
      </c>
      <c r="P239" s="59">
        <f t="shared" si="26"/>
        <v>9.2584807836842836E-2</v>
      </c>
      <c r="Q239" s="30">
        <f t="shared" si="27"/>
        <v>0</v>
      </c>
      <c r="R239" s="30">
        <f t="shared" si="28"/>
        <v>-1</v>
      </c>
      <c r="S239" s="12">
        <f t="shared" si="29"/>
        <v>0</v>
      </c>
      <c r="T239" s="30">
        <f t="shared" si="30"/>
        <v>0</v>
      </c>
      <c r="U239" s="9" t="str">
        <f t="shared" si="31"/>
        <v>55+</v>
      </c>
    </row>
    <row r="240" spans="1:21">
      <c r="A240" t="s">
        <v>272</v>
      </c>
      <c r="B240" s="8">
        <v>5811</v>
      </c>
      <c r="C240" s="23">
        <v>0.13125000000000001</v>
      </c>
      <c r="D240" s="19" t="s">
        <v>15</v>
      </c>
      <c r="E240" s="21">
        <v>67.049000000000007</v>
      </c>
      <c r="F240" s="21">
        <v>7.8490000000000002</v>
      </c>
      <c r="G240" s="23">
        <v>0</v>
      </c>
      <c r="H240" s="26">
        <v>0</v>
      </c>
      <c r="I240" s="19" t="s">
        <v>17</v>
      </c>
      <c r="J240" s="8">
        <v>39</v>
      </c>
      <c r="K240" s="19" t="s">
        <v>18</v>
      </c>
      <c r="L240" s="19" t="s">
        <v>32</v>
      </c>
      <c r="M240" s="8">
        <v>3</v>
      </c>
      <c r="N240" s="33">
        <f t="shared" si="24"/>
        <v>0</v>
      </c>
      <c r="O240" s="23">
        <f t="shared" si="25"/>
        <v>1.672187539813989E-2</v>
      </c>
      <c r="P240" s="59">
        <f t="shared" si="26"/>
        <v>0.11706364002445971</v>
      </c>
      <c r="Q240" s="30">
        <f t="shared" si="27"/>
        <v>0</v>
      </c>
      <c r="R240" s="30">
        <f t="shared" si="28"/>
        <v>-1</v>
      </c>
      <c r="S240" s="12">
        <f t="shared" si="29"/>
        <v>0</v>
      </c>
      <c r="T240" s="30">
        <f t="shared" si="30"/>
        <v>0</v>
      </c>
      <c r="U240" s="9" t="str">
        <f t="shared" si="31"/>
        <v>35-44</v>
      </c>
    </row>
    <row r="241" spans="1:21">
      <c r="A241" t="s">
        <v>273</v>
      </c>
      <c r="B241" s="8">
        <v>1841</v>
      </c>
      <c r="C241" s="23">
        <v>1.15E-2</v>
      </c>
      <c r="D241" s="19" t="s">
        <v>45</v>
      </c>
      <c r="E241" s="21">
        <v>34.167000000000002</v>
      </c>
      <c r="F241" s="21">
        <v>3.6139999999999999</v>
      </c>
      <c r="G241" s="23">
        <v>0</v>
      </c>
      <c r="H241" s="26">
        <v>0</v>
      </c>
      <c r="I241" s="19" t="s">
        <v>17</v>
      </c>
      <c r="J241" s="8">
        <v>41</v>
      </c>
      <c r="K241" s="19" t="s">
        <v>22</v>
      </c>
      <c r="L241" s="19" t="s">
        <v>19</v>
      </c>
      <c r="M241" s="8">
        <v>3</v>
      </c>
      <c r="N241" s="33">
        <f t="shared" si="24"/>
        <v>0</v>
      </c>
      <c r="O241" s="23">
        <f t="shared" si="25"/>
        <v>3.1820697288323188E-3</v>
      </c>
      <c r="P241" s="59">
        <f t="shared" si="26"/>
        <v>0.10577457780899698</v>
      </c>
      <c r="Q241" s="30">
        <f t="shared" si="27"/>
        <v>0</v>
      </c>
      <c r="R241" s="30">
        <f t="shared" si="28"/>
        <v>-1</v>
      </c>
      <c r="S241" s="12">
        <f t="shared" si="29"/>
        <v>0</v>
      </c>
      <c r="T241" s="30">
        <f t="shared" si="30"/>
        <v>0</v>
      </c>
      <c r="U241" s="9" t="str">
        <f t="shared" si="31"/>
        <v>35-44</v>
      </c>
    </row>
    <row r="242" spans="1:21">
      <c r="A242" t="s">
        <v>274</v>
      </c>
      <c r="B242" s="8">
        <v>6590</v>
      </c>
      <c r="C242" s="23">
        <v>7.1150000000000005E-2</v>
      </c>
      <c r="D242" s="19" t="s">
        <v>32</v>
      </c>
      <c r="E242" s="21">
        <v>6.49</v>
      </c>
      <c r="F242" s="21">
        <v>7.6449999999999996</v>
      </c>
      <c r="G242" s="23">
        <v>0</v>
      </c>
      <c r="H242" s="26">
        <v>0</v>
      </c>
      <c r="I242" s="19" t="s">
        <v>21</v>
      </c>
      <c r="J242" s="8">
        <v>41</v>
      </c>
      <c r="K242" s="19" t="s">
        <v>22</v>
      </c>
      <c r="L242" s="19" t="s">
        <v>19</v>
      </c>
      <c r="M242" s="8" t="s">
        <v>1065</v>
      </c>
      <c r="N242" s="33">
        <f t="shared" si="24"/>
        <v>0</v>
      </c>
      <c r="O242" s="23">
        <f t="shared" si="25"/>
        <v>9.3067364290385889E-3</v>
      </c>
      <c r="P242" s="59">
        <f t="shared" si="26"/>
        <v>1.1779661016949152</v>
      </c>
      <c r="Q242" s="30">
        <f t="shared" si="27"/>
        <v>0</v>
      </c>
      <c r="R242" s="30">
        <f t="shared" si="28"/>
        <v>-1</v>
      </c>
      <c r="S242" s="12">
        <f t="shared" si="29"/>
        <v>0</v>
      </c>
      <c r="T242" s="30">
        <f t="shared" si="30"/>
        <v>0</v>
      </c>
      <c r="U242" s="9" t="str">
        <f t="shared" si="31"/>
        <v>35-44</v>
      </c>
    </row>
    <row r="243" spans="1:21">
      <c r="A243" t="s">
        <v>275</v>
      </c>
      <c r="B243" s="8">
        <v>9334</v>
      </c>
      <c r="C243" s="23">
        <v>0.17349000000000001</v>
      </c>
      <c r="D243" s="19" t="s">
        <v>15</v>
      </c>
      <c r="E243" s="21">
        <v>4.5190000000000001</v>
      </c>
      <c r="F243" s="21">
        <v>0.56100000000000005</v>
      </c>
      <c r="G243" s="23">
        <v>0</v>
      </c>
      <c r="H243" s="26">
        <v>0</v>
      </c>
      <c r="I243" s="19" t="s">
        <v>34</v>
      </c>
      <c r="J243" s="8">
        <v>24</v>
      </c>
      <c r="K243" s="19" t="s">
        <v>31</v>
      </c>
      <c r="L243" s="19" t="s">
        <v>32</v>
      </c>
      <c r="M243" s="8" t="s">
        <v>1065</v>
      </c>
      <c r="N243" s="33">
        <f t="shared" si="24"/>
        <v>0</v>
      </c>
      <c r="O243" s="23">
        <f t="shared" si="25"/>
        <v>0.30925133689839568</v>
      </c>
      <c r="P243" s="59">
        <f t="shared" si="26"/>
        <v>0.12414250940473556</v>
      </c>
      <c r="Q243" s="30">
        <f t="shared" si="27"/>
        <v>0</v>
      </c>
      <c r="R243" s="30">
        <f t="shared" si="28"/>
        <v>-1</v>
      </c>
      <c r="S243" s="12">
        <f t="shared" si="29"/>
        <v>0</v>
      </c>
      <c r="T243" s="30">
        <f t="shared" si="30"/>
        <v>0</v>
      </c>
      <c r="U243" s="9" t="str">
        <f t="shared" si="31"/>
        <v>18-24</v>
      </c>
    </row>
    <row r="244" spans="1:21">
      <c r="A244" t="s">
        <v>276</v>
      </c>
      <c r="B244" s="8">
        <v>8834</v>
      </c>
      <c r="C244" s="23">
        <v>7.3760000000000006E-2</v>
      </c>
      <c r="D244" s="19" t="s">
        <v>15</v>
      </c>
      <c r="E244" s="21">
        <v>7.8159999999999998</v>
      </c>
      <c r="F244" s="21">
        <v>1.5329999999999999</v>
      </c>
      <c r="G244" s="23">
        <v>0.16914000000000001</v>
      </c>
      <c r="H244" s="26">
        <v>1</v>
      </c>
      <c r="I244" s="19" t="s">
        <v>34</v>
      </c>
      <c r="J244" s="8">
        <v>41</v>
      </c>
      <c r="K244" s="19" t="s">
        <v>18</v>
      </c>
      <c r="L244" s="19" t="s">
        <v>32</v>
      </c>
      <c r="M244" s="8">
        <v>1</v>
      </c>
      <c r="N244" s="33">
        <f t="shared" si="24"/>
        <v>0.65231572080887157</v>
      </c>
      <c r="O244" s="23">
        <f t="shared" si="25"/>
        <v>4.8114807566862365E-2</v>
      </c>
      <c r="P244" s="59">
        <f t="shared" si="26"/>
        <v>0.19613613101330604</v>
      </c>
      <c r="Q244" s="30">
        <f t="shared" si="27"/>
        <v>7.3760000000000006E-2</v>
      </c>
      <c r="R244" s="30">
        <f t="shared" si="28"/>
        <v>1.293112798264642</v>
      </c>
      <c r="S244" s="12">
        <f t="shared" si="29"/>
        <v>2.2931127982646422</v>
      </c>
      <c r="T244" s="30">
        <f t="shared" si="30"/>
        <v>0.11033268101761254</v>
      </c>
      <c r="U244" s="9" t="str">
        <f t="shared" si="31"/>
        <v>35-44</v>
      </c>
    </row>
    <row r="245" spans="1:21">
      <c r="A245" t="s">
        <v>277</v>
      </c>
      <c r="B245" s="8">
        <v>8102</v>
      </c>
      <c r="C245" s="23">
        <v>0.1827</v>
      </c>
      <c r="D245" s="19" t="s">
        <v>28</v>
      </c>
      <c r="E245" s="21">
        <v>63.040999999999997</v>
      </c>
      <c r="F245" s="21">
        <v>5.0579999999999998</v>
      </c>
      <c r="G245" s="23">
        <v>0</v>
      </c>
      <c r="H245" s="26">
        <v>0</v>
      </c>
      <c r="I245" s="19" t="s">
        <v>26</v>
      </c>
      <c r="J245" s="8">
        <v>41</v>
      </c>
      <c r="K245" s="19" t="s">
        <v>31</v>
      </c>
      <c r="L245" s="19" t="s">
        <v>32</v>
      </c>
      <c r="M245" s="8">
        <v>5</v>
      </c>
      <c r="N245" s="33">
        <f t="shared" si="24"/>
        <v>0</v>
      </c>
      <c r="O245" s="23">
        <f t="shared" si="25"/>
        <v>3.6120996441281139E-2</v>
      </c>
      <c r="P245" s="59">
        <f t="shared" si="26"/>
        <v>8.0233498834092101E-2</v>
      </c>
      <c r="Q245" s="30">
        <f t="shared" si="27"/>
        <v>0</v>
      </c>
      <c r="R245" s="30">
        <f t="shared" si="28"/>
        <v>-1</v>
      </c>
      <c r="S245" s="12">
        <f t="shared" si="29"/>
        <v>0</v>
      </c>
      <c r="T245" s="30">
        <f t="shared" si="30"/>
        <v>0</v>
      </c>
      <c r="U245" s="9" t="str">
        <f t="shared" si="31"/>
        <v>35-44</v>
      </c>
    </row>
    <row r="246" spans="1:21">
      <c r="A246" t="s">
        <v>278</v>
      </c>
      <c r="B246" s="8">
        <v>2356</v>
      </c>
      <c r="C246" s="23">
        <v>0.11246</v>
      </c>
      <c r="D246" s="19" t="s">
        <v>15</v>
      </c>
      <c r="E246" s="21">
        <v>6.4820000000000002</v>
      </c>
      <c r="F246" s="21">
        <v>0.28599999999999998</v>
      </c>
      <c r="G246" s="23">
        <v>0</v>
      </c>
      <c r="H246" s="26">
        <v>0</v>
      </c>
      <c r="I246" s="19" t="s">
        <v>26</v>
      </c>
      <c r="J246" s="8">
        <v>27</v>
      </c>
      <c r="K246" s="19" t="s">
        <v>31</v>
      </c>
      <c r="L246" s="19" t="s">
        <v>32</v>
      </c>
      <c r="M246" s="8">
        <v>1</v>
      </c>
      <c r="N246" s="33">
        <f t="shared" si="24"/>
        <v>0</v>
      </c>
      <c r="O246" s="23">
        <f t="shared" si="25"/>
        <v>0.39321678321678327</v>
      </c>
      <c r="P246" s="59">
        <f t="shared" si="26"/>
        <v>4.4122184510953406E-2</v>
      </c>
      <c r="Q246" s="30">
        <f t="shared" si="27"/>
        <v>0</v>
      </c>
      <c r="R246" s="30">
        <f t="shared" si="28"/>
        <v>-1</v>
      </c>
      <c r="S246" s="12">
        <f t="shared" si="29"/>
        <v>0</v>
      </c>
      <c r="T246" s="30">
        <f t="shared" si="30"/>
        <v>0</v>
      </c>
      <c r="U246" s="9" t="str">
        <f t="shared" si="31"/>
        <v>25-34</v>
      </c>
    </row>
    <row r="247" spans="1:21">
      <c r="A247" t="s">
        <v>279</v>
      </c>
      <c r="B247" s="8">
        <v>7553</v>
      </c>
      <c r="C247" s="23">
        <v>9.2929999999999999E-2</v>
      </c>
      <c r="D247" s="19" t="s">
        <v>25</v>
      </c>
      <c r="E247" s="21">
        <v>95.581999999999994</v>
      </c>
      <c r="F247" s="21">
        <v>7.984</v>
      </c>
      <c r="G247" s="23">
        <v>0.46750999999999998</v>
      </c>
      <c r="H247" s="26">
        <v>1</v>
      </c>
      <c r="I247" s="19" t="s">
        <v>34</v>
      </c>
      <c r="J247" s="8">
        <v>37</v>
      </c>
      <c r="K247" s="19" t="s">
        <v>22</v>
      </c>
      <c r="L247" s="19" t="s">
        <v>32</v>
      </c>
      <c r="M247" s="8">
        <v>5</v>
      </c>
      <c r="N247" s="33">
        <f t="shared" si="24"/>
        <v>0.12525050100200399</v>
      </c>
      <c r="O247" s="23">
        <f t="shared" si="25"/>
        <v>1.1639529058116231E-2</v>
      </c>
      <c r="P247" s="59">
        <f t="shared" si="26"/>
        <v>8.3530371827331515E-2</v>
      </c>
      <c r="Q247" s="30">
        <f t="shared" si="27"/>
        <v>9.2929999999999999E-2</v>
      </c>
      <c r="R247" s="30">
        <f t="shared" si="28"/>
        <v>4.0307758527924245</v>
      </c>
      <c r="S247" s="12">
        <f t="shared" si="29"/>
        <v>5.0307758527924245</v>
      </c>
      <c r="T247" s="30">
        <f t="shared" si="30"/>
        <v>5.8555861723446893E-2</v>
      </c>
      <c r="U247" s="9" t="str">
        <f t="shared" si="31"/>
        <v>35-44</v>
      </c>
    </row>
    <row r="248" spans="1:21">
      <c r="A248" t="s">
        <v>280</v>
      </c>
      <c r="B248" s="8">
        <v>2934</v>
      </c>
      <c r="C248" s="23">
        <v>8.3000000000000004E-2</v>
      </c>
      <c r="D248" s="19" t="s">
        <v>15</v>
      </c>
      <c r="E248" s="21">
        <v>13.773999999999999</v>
      </c>
      <c r="F248" s="21">
        <v>9.9740000000000002</v>
      </c>
      <c r="G248" s="23">
        <v>0</v>
      </c>
      <c r="H248" s="26">
        <v>0</v>
      </c>
      <c r="I248" s="19" t="s">
        <v>1067</v>
      </c>
      <c r="J248" s="8">
        <v>60</v>
      </c>
      <c r="K248" s="19" t="s">
        <v>37</v>
      </c>
      <c r="L248" s="19" t="s">
        <v>23</v>
      </c>
      <c r="M248" s="8">
        <v>2</v>
      </c>
      <c r="N248" s="33">
        <f t="shared" si="24"/>
        <v>0</v>
      </c>
      <c r="O248" s="23">
        <f t="shared" si="25"/>
        <v>8.3216362542610795E-3</v>
      </c>
      <c r="P248" s="59">
        <f t="shared" si="26"/>
        <v>0.72411790329606507</v>
      </c>
      <c r="Q248" s="30">
        <f t="shared" si="27"/>
        <v>0</v>
      </c>
      <c r="R248" s="30">
        <f t="shared" si="28"/>
        <v>-1</v>
      </c>
      <c r="S248" s="12">
        <f t="shared" si="29"/>
        <v>0</v>
      </c>
      <c r="T248" s="30">
        <f t="shared" si="30"/>
        <v>0</v>
      </c>
      <c r="U248" s="9" t="str">
        <f t="shared" si="31"/>
        <v>55+</v>
      </c>
    </row>
    <row r="249" spans="1:21">
      <c r="A249" t="s">
        <v>281</v>
      </c>
      <c r="B249" s="8">
        <v>2296</v>
      </c>
      <c r="C249" s="23">
        <v>6.3259999999999997E-2</v>
      </c>
      <c r="D249" s="19" t="s">
        <v>28</v>
      </c>
      <c r="E249" s="21">
        <v>14.725</v>
      </c>
      <c r="F249" s="21">
        <v>0.72099999999999997</v>
      </c>
      <c r="G249" s="23">
        <v>0</v>
      </c>
      <c r="H249" s="26">
        <v>0</v>
      </c>
      <c r="I249" s="19" t="s">
        <v>29</v>
      </c>
      <c r="J249" s="8">
        <v>31</v>
      </c>
      <c r="K249" s="19" t="s">
        <v>18</v>
      </c>
      <c r="L249" s="19" t="s">
        <v>38</v>
      </c>
      <c r="M249" s="8">
        <v>4</v>
      </c>
      <c r="N249" s="33">
        <f t="shared" si="24"/>
        <v>0</v>
      </c>
      <c r="O249" s="23">
        <f t="shared" si="25"/>
        <v>8.7739251040221913E-2</v>
      </c>
      <c r="P249" s="59">
        <f t="shared" si="26"/>
        <v>4.8964346349745329E-2</v>
      </c>
      <c r="Q249" s="30">
        <f t="shared" si="27"/>
        <v>0</v>
      </c>
      <c r="R249" s="30">
        <f t="shared" si="28"/>
        <v>-1</v>
      </c>
      <c r="S249" s="12">
        <f t="shared" si="29"/>
        <v>0</v>
      </c>
      <c r="T249" s="30">
        <f t="shared" si="30"/>
        <v>0</v>
      </c>
      <c r="U249" s="9" t="str">
        <f t="shared" si="31"/>
        <v>25-34</v>
      </c>
    </row>
    <row r="250" spans="1:21">
      <c r="A250" t="s">
        <v>282</v>
      </c>
      <c r="B250" s="8">
        <v>8672</v>
      </c>
      <c r="C250" s="23">
        <v>0</v>
      </c>
      <c r="D250" s="19" t="s">
        <v>45</v>
      </c>
      <c r="E250" s="21">
        <v>85.147999999999996</v>
      </c>
      <c r="F250" s="21">
        <v>1.5469999999999999</v>
      </c>
      <c r="G250" s="23">
        <v>0.29694999999999999</v>
      </c>
      <c r="H250" s="26">
        <v>1</v>
      </c>
      <c r="I250" s="19" t="s">
        <v>26</v>
      </c>
      <c r="J250" s="8">
        <v>63</v>
      </c>
      <c r="K250" s="19" t="s">
        <v>18</v>
      </c>
      <c r="L250" s="19" t="s">
        <v>38</v>
      </c>
      <c r="M250" s="8">
        <v>2</v>
      </c>
      <c r="N250" s="33">
        <f t="shared" si="24"/>
        <v>0.64641241111829351</v>
      </c>
      <c r="O250" s="23">
        <f t="shared" si="25"/>
        <v>0</v>
      </c>
      <c r="P250" s="59">
        <f t="shared" si="26"/>
        <v>1.8168365669187767E-2</v>
      </c>
      <c r="Q250" s="30">
        <f t="shared" si="27"/>
        <v>0</v>
      </c>
      <c r="R250" s="30">
        <f t="shared" si="28"/>
        <v>0</v>
      </c>
      <c r="S250" s="12" t="e">
        <f t="shared" si="29"/>
        <v>#DIV/0!</v>
      </c>
      <c r="T250" s="30">
        <f t="shared" si="30"/>
        <v>0.19195216548157726</v>
      </c>
      <c r="U250" s="9" t="str">
        <f t="shared" si="31"/>
        <v>55+</v>
      </c>
    </row>
    <row r="251" spans="1:21">
      <c r="A251" t="s">
        <v>283</v>
      </c>
      <c r="B251" s="8">
        <v>9706</v>
      </c>
      <c r="C251" s="23">
        <v>0.18</v>
      </c>
      <c r="D251" s="19" t="s">
        <v>40</v>
      </c>
      <c r="E251" s="21">
        <v>83.468000000000004</v>
      </c>
      <c r="F251" s="21">
        <v>7.9409999999999998</v>
      </c>
      <c r="G251" s="23">
        <v>0.38096000000000002</v>
      </c>
      <c r="H251" s="26">
        <v>1</v>
      </c>
      <c r="I251" s="19" t="s">
        <v>17</v>
      </c>
      <c r="J251" s="8">
        <v>49</v>
      </c>
      <c r="K251" s="19" t="s">
        <v>37</v>
      </c>
      <c r="L251" s="19" t="s">
        <v>19</v>
      </c>
      <c r="M251" s="8">
        <v>1</v>
      </c>
      <c r="N251" s="33">
        <f t="shared" si="24"/>
        <v>0.12592872434202243</v>
      </c>
      <c r="O251" s="23">
        <f t="shared" si="25"/>
        <v>2.2667170381564034E-2</v>
      </c>
      <c r="P251" s="59">
        <f t="shared" si="26"/>
        <v>9.5138256577370961E-2</v>
      </c>
      <c r="Q251" s="30">
        <f t="shared" si="27"/>
        <v>0.18</v>
      </c>
      <c r="R251" s="30">
        <f t="shared" si="28"/>
        <v>1.1164444444444446</v>
      </c>
      <c r="S251" s="12">
        <f t="shared" si="29"/>
        <v>2.1164444444444448</v>
      </c>
      <c r="T251" s="30">
        <f t="shared" si="30"/>
        <v>4.7973806825336862E-2</v>
      </c>
      <c r="U251" s="9" t="str">
        <f t="shared" si="31"/>
        <v>45-54</v>
      </c>
    </row>
    <row r="252" spans="1:21">
      <c r="A252" t="s">
        <v>284</v>
      </c>
      <c r="B252" s="8">
        <v>7402</v>
      </c>
      <c r="C252" s="23">
        <v>0.11153</v>
      </c>
      <c r="D252" s="19" t="s">
        <v>28</v>
      </c>
      <c r="E252" s="21">
        <v>37.720999999999997</v>
      </c>
      <c r="F252" s="21">
        <v>4.51</v>
      </c>
      <c r="G252" s="23">
        <v>0</v>
      </c>
      <c r="H252" s="26">
        <v>0</v>
      </c>
      <c r="I252" s="19" t="s">
        <v>17</v>
      </c>
      <c r="J252" s="8">
        <v>21</v>
      </c>
      <c r="K252" s="19" t="s">
        <v>22</v>
      </c>
      <c r="L252" s="19" t="s">
        <v>38</v>
      </c>
      <c r="M252" s="8">
        <v>2</v>
      </c>
      <c r="N252" s="33">
        <f t="shared" si="24"/>
        <v>0</v>
      </c>
      <c r="O252" s="23">
        <f t="shared" si="25"/>
        <v>2.4729490022172951E-2</v>
      </c>
      <c r="P252" s="59">
        <f t="shared" si="26"/>
        <v>0.11956204766575648</v>
      </c>
      <c r="Q252" s="30">
        <f t="shared" si="27"/>
        <v>0</v>
      </c>
      <c r="R252" s="30">
        <f t="shared" si="28"/>
        <v>-1</v>
      </c>
      <c r="S252" s="12">
        <f t="shared" si="29"/>
        <v>0</v>
      </c>
      <c r="T252" s="30">
        <f t="shared" si="30"/>
        <v>0</v>
      </c>
      <c r="U252" s="9" t="str">
        <f t="shared" si="31"/>
        <v>18-24</v>
      </c>
    </row>
    <row r="253" spans="1:21">
      <c r="A253" t="s">
        <v>285</v>
      </c>
      <c r="B253" s="8">
        <v>9027</v>
      </c>
      <c r="C253" s="23">
        <v>5.8819999999999997E-2</v>
      </c>
      <c r="D253" s="19" t="s">
        <v>25</v>
      </c>
      <c r="E253" s="21">
        <v>45.588999999999999</v>
      </c>
      <c r="F253" s="21">
        <v>7.3239999999999998</v>
      </c>
      <c r="G253" s="23">
        <v>0</v>
      </c>
      <c r="H253" s="26">
        <v>1</v>
      </c>
      <c r="I253" s="19" t="s">
        <v>26</v>
      </c>
      <c r="J253" s="8">
        <v>65</v>
      </c>
      <c r="K253" s="19" t="s">
        <v>31</v>
      </c>
      <c r="L253" s="19" t="s">
        <v>19</v>
      </c>
      <c r="M253" s="8">
        <v>2</v>
      </c>
      <c r="N253" s="33">
        <f t="shared" si="24"/>
        <v>0.13653741125068269</v>
      </c>
      <c r="O253" s="23">
        <f t="shared" si="25"/>
        <v>8.0311305297651563E-3</v>
      </c>
      <c r="P253" s="59">
        <f t="shared" si="26"/>
        <v>0.16065278904999014</v>
      </c>
      <c r="Q253" s="30">
        <f t="shared" si="27"/>
        <v>5.8819999999999997E-2</v>
      </c>
      <c r="R253" s="30">
        <f t="shared" si="28"/>
        <v>-1</v>
      </c>
      <c r="S253" s="12">
        <f t="shared" si="29"/>
        <v>0</v>
      </c>
      <c r="T253" s="30">
        <f t="shared" si="30"/>
        <v>0</v>
      </c>
      <c r="U253" s="9" t="str">
        <f t="shared" si="31"/>
        <v>55+</v>
      </c>
    </row>
    <row r="254" spans="1:21">
      <c r="A254" t="s">
        <v>286</v>
      </c>
      <c r="B254" s="8">
        <v>9284</v>
      </c>
      <c r="C254" s="23">
        <v>0</v>
      </c>
      <c r="D254" s="19" t="s">
        <v>28</v>
      </c>
      <c r="E254" s="21">
        <v>72.168000000000006</v>
      </c>
      <c r="F254" s="21">
        <v>4.4749999999999996</v>
      </c>
      <c r="G254" s="23">
        <v>0</v>
      </c>
      <c r="H254" s="26">
        <v>0</v>
      </c>
      <c r="I254" s="19" t="s">
        <v>17</v>
      </c>
      <c r="J254" s="8">
        <v>21</v>
      </c>
      <c r="K254" s="19" t="s">
        <v>37</v>
      </c>
      <c r="L254" s="19" t="s">
        <v>23</v>
      </c>
      <c r="M254" s="8">
        <v>2</v>
      </c>
      <c r="N254" s="33">
        <f t="shared" si="24"/>
        <v>0</v>
      </c>
      <c r="O254" s="23">
        <f t="shared" si="25"/>
        <v>0</v>
      </c>
      <c r="P254" s="59">
        <f t="shared" si="26"/>
        <v>6.2008092229242869E-2</v>
      </c>
      <c r="Q254" s="30">
        <f t="shared" si="27"/>
        <v>0</v>
      </c>
      <c r="R254" s="30">
        <f t="shared" si="28"/>
        <v>0</v>
      </c>
      <c r="S254" s="12">
        <f t="shared" si="29"/>
        <v>0</v>
      </c>
      <c r="T254" s="30">
        <f t="shared" si="30"/>
        <v>0</v>
      </c>
      <c r="U254" s="9" t="str">
        <f t="shared" si="31"/>
        <v>18-24</v>
      </c>
    </row>
    <row r="255" spans="1:21">
      <c r="A255" t="s">
        <v>287</v>
      </c>
      <c r="B255" s="8">
        <v>3631</v>
      </c>
      <c r="C255" s="23">
        <v>9.6189999999999998E-2</v>
      </c>
      <c r="D255" s="19" t="s">
        <v>28</v>
      </c>
      <c r="E255" s="21">
        <v>70.887</v>
      </c>
      <c r="F255" s="21">
        <v>4.758</v>
      </c>
      <c r="G255" s="23">
        <v>0.17787</v>
      </c>
      <c r="H255" s="26">
        <v>1</v>
      </c>
      <c r="I255" s="19" t="s">
        <v>21</v>
      </c>
      <c r="J255" s="8">
        <v>56</v>
      </c>
      <c r="K255" s="19" t="s">
        <v>18</v>
      </c>
      <c r="L255" s="19" t="s">
        <v>45</v>
      </c>
      <c r="M255" s="8" t="s">
        <v>1065</v>
      </c>
      <c r="N255" s="33">
        <f t="shared" si="24"/>
        <v>0.2101723413198823</v>
      </c>
      <c r="O255" s="23">
        <f t="shared" si="25"/>
        <v>2.0216477511559479E-2</v>
      </c>
      <c r="P255" s="59">
        <f t="shared" si="26"/>
        <v>6.7120910745270643E-2</v>
      </c>
      <c r="Q255" s="30">
        <f t="shared" si="27"/>
        <v>9.6189999999999998E-2</v>
      </c>
      <c r="R255" s="30">
        <f t="shared" si="28"/>
        <v>0.84915271857781482</v>
      </c>
      <c r="S255" s="12">
        <f t="shared" si="29"/>
        <v>1.8491527185778147</v>
      </c>
      <c r="T255" s="30">
        <f t="shared" si="30"/>
        <v>3.7383354350567465E-2</v>
      </c>
      <c r="U255" s="9" t="str">
        <f t="shared" si="31"/>
        <v>55+</v>
      </c>
    </row>
    <row r="256" spans="1:21">
      <c r="A256" t="s">
        <v>288</v>
      </c>
      <c r="B256" s="8">
        <v>7077</v>
      </c>
      <c r="C256" s="23">
        <v>0.10671</v>
      </c>
      <c r="D256" s="19" t="s">
        <v>28</v>
      </c>
      <c r="E256" s="21">
        <v>11.605</v>
      </c>
      <c r="F256" s="21">
        <v>0</v>
      </c>
      <c r="G256" s="23">
        <v>0</v>
      </c>
      <c r="H256" s="26">
        <v>0</v>
      </c>
      <c r="I256" s="19" t="s">
        <v>29</v>
      </c>
      <c r="J256" s="8">
        <v>38</v>
      </c>
      <c r="K256" s="19" t="s">
        <v>22</v>
      </c>
      <c r="L256" s="19" t="s">
        <v>23</v>
      </c>
      <c r="M256" s="8">
        <v>1</v>
      </c>
      <c r="N256" s="33">
        <f t="shared" si="24"/>
        <v>0</v>
      </c>
      <c r="O256" s="23">
        <f t="shared" si="25"/>
        <v>0</v>
      </c>
      <c r="P256" s="59">
        <f t="shared" si="26"/>
        <v>0</v>
      </c>
      <c r="Q256" s="30">
        <f t="shared" si="27"/>
        <v>0</v>
      </c>
      <c r="R256" s="30">
        <f t="shared" si="28"/>
        <v>-1</v>
      </c>
      <c r="S256" s="12">
        <f t="shared" si="29"/>
        <v>0</v>
      </c>
      <c r="T256" s="30">
        <f t="shared" si="30"/>
        <v>0</v>
      </c>
      <c r="U256" s="9" t="str">
        <f t="shared" si="31"/>
        <v>35-44</v>
      </c>
    </row>
    <row r="257" spans="1:21">
      <c r="A257" t="s">
        <v>289</v>
      </c>
      <c r="B257" s="8">
        <v>6321</v>
      </c>
      <c r="C257" s="23">
        <v>9.665E-2</v>
      </c>
      <c r="D257" s="19" t="s">
        <v>15</v>
      </c>
      <c r="E257" s="21">
        <v>61.128</v>
      </c>
      <c r="F257" s="21">
        <v>8.3439999999999994</v>
      </c>
      <c r="G257" s="23">
        <v>0.32172000000000001</v>
      </c>
      <c r="H257" s="26">
        <v>1</v>
      </c>
      <c r="I257" s="19" t="s">
        <v>34</v>
      </c>
      <c r="J257" s="8">
        <v>44</v>
      </c>
      <c r="K257" s="19" t="s">
        <v>37</v>
      </c>
      <c r="L257" s="19" t="s">
        <v>23</v>
      </c>
      <c r="M257" s="8">
        <v>3</v>
      </c>
      <c r="N257" s="33">
        <f t="shared" si="24"/>
        <v>0.11984659635666348</v>
      </c>
      <c r="O257" s="23">
        <f t="shared" si="25"/>
        <v>1.1583173537871526E-2</v>
      </c>
      <c r="P257" s="59">
        <f t="shared" si="26"/>
        <v>0.13650045805522837</v>
      </c>
      <c r="Q257" s="30">
        <f t="shared" si="27"/>
        <v>9.665E-2</v>
      </c>
      <c r="R257" s="30">
        <f t="shared" si="28"/>
        <v>2.3287118468701498</v>
      </c>
      <c r="S257" s="12">
        <f t="shared" si="29"/>
        <v>3.3287118468701502</v>
      </c>
      <c r="T257" s="30">
        <f t="shared" si="30"/>
        <v>3.8557046979865776E-2</v>
      </c>
      <c r="U257" s="9" t="str">
        <f t="shared" si="31"/>
        <v>35-44</v>
      </c>
    </row>
    <row r="258" spans="1:21">
      <c r="A258" t="s">
        <v>290</v>
      </c>
      <c r="B258" s="8">
        <v>3051</v>
      </c>
      <c r="C258" s="23">
        <v>0.19771</v>
      </c>
      <c r="D258" s="19" t="s">
        <v>40</v>
      </c>
      <c r="E258" s="21">
        <v>71.346999999999994</v>
      </c>
      <c r="F258" s="21">
        <v>9.4760000000000009</v>
      </c>
      <c r="G258" s="23">
        <v>0</v>
      </c>
      <c r="H258" s="26">
        <v>0</v>
      </c>
      <c r="I258" s="19" t="s">
        <v>21</v>
      </c>
      <c r="J258" s="8">
        <v>32</v>
      </c>
      <c r="K258" s="19" t="s">
        <v>31</v>
      </c>
      <c r="L258" s="19" t="s">
        <v>32</v>
      </c>
      <c r="M258" s="8">
        <v>3</v>
      </c>
      <c r="N258" s="33">
        <f t="shared" ref="N258:N321" si="32">IF(F258=0,0,H258/F258)</f>
        <v>0</v>
      </c>
      <c r="O258" s="23">
        <f t="shared" ref="O258:O321" si="33">IF(F258=0,0,C258/F258)</f>
        <v>2.0864288729421695E-2</v>
      </c>
      <c r="P258" s="59">
        <f t="shared" ref="P258:P321" si="34">IF(E258=0,0,F258/E258)</f>
        <v>0.13281567550142265</v>
      </c>
      <c r="Q258" s="30">
        <f t="shared" ref="Q258:Q321" si="35">IF(H258=0,0,C258/H258)</f>
        <v>0</v>
      </c>
      <c r="R258" s="30">
        <f t="shared" ref="R258:R321" si="36">IF(C258=0,0,(G258-C258)/C258)</f>
        <v>-1</v>
      </c>
      <c r="S258" s="12">
        <f t="shared" ref="S258:S321" si="37">IF(G258=0,0,G258/C258)</f>
        <v>0</v>
      </c>
      <c r="T258" s="30">
        <f t="shared" ref="T258:T321" si="38">IF(F258=0,0,G258/F258)</f>
        <v>0</v>
      </c>
      <c r="U258" s="9" t="str">
        <f t="shared" si="31"/>
        <v>25-34</v>
      </c>
    </row>
    <row r="259" spans="1:21">
      <c r="A259" t="s">
        <v>291</v>
      </c>
      <c r="B259" s="8">
        <v>4784</v>
      </c>
      <c r="C259" s="23">
        <v>0</v>
      </c>
      <c r="D259" s="19" t="s">
        <v>40</v>
      </c>
      <c r="E259" s="21">
        <v>17.922999999999998</v>
      </c>
      <c r="F259" s="21">
        <v>5.3090000000000002</v>
      </c>
      <c r="G259" s="23">
        <v>0</v>
      </c>
      <c r="H259" s="26">
        <v>0</v>
      </c>
      <c r="I259" s="19" t="s">
        <v>29</v>
      </c>
      <c r="J259" s="8">
        <v>54</v>
      </c>
      <c r="K259" s="19" t="s">
        <v>37</v>
      </c>
      <c r="L259" s="19" t="s">
        <v>23</v>
      </c>
      <c r="M259" s="8">
        <v>4</v>
      </c>
      <c r="N259" s="33">
        <f t="shared" si="32"/>
        <v>0</v>
      </c>
      <c r="O259" s="23">
        <f t="shared" si="33"/>
        <v>0</v>
      </c>
      <c r="P259" s="59">
        <f t="shared" si="34"/>
        <v>0.29621157172348384</v>
      </c>
      <c r="Q259" s="30">
        <f t="shared" si="35"/>
        <v>0</v>
      </c>
      <c r="R259" s="30">
        <f t="shared" si="36"/>
        <v>0</v>
      </c>
      <c r="S259" s="12">
        <f t="shared" si="37"/>
        <v>0</v>
      </c>
      <c r="T259" s="30">
        <f t="shared" si="38"/>
        <v>0</v>
      </c>
      <c r="U259" s="9" t="str">
        <f t="shared" ref="U259:U322" si="39">IF(J259&lt;25,"18-24",IF(J259&lt;35,"25-34",IF(J259&lt;45,"35-44",IF(J259&lt;55,"45-54","55+"))))</f>
        <v>45-54</v>
      </c>
    </row>
    <row r="260" spans="1:21">
      <c r="A260" t="s">
        <v>292</v>
      </c>
      <c r="B260" s="8">
        <v>1699</v>
      </c>
      <c r="C260" s="23">
        <v>0.17706</v>
      </c>
      <c r="D260" s="19" t="s">
        <v>40</v>
      </c>
      <c r="E260" s="21">
        <v>4.8310000000000004</v>
      </c>
      <c r="F260" s="21">
        <v>4.4969999999999999</v>
      </c>
      <c r="G260" s="23">
        <v>0</v>
      </c>
      <c r="H260" s="26">
        <v>0</v>
      </c>
      <c r="I260" s="19" t="s">
        <v>21</v>
      </c>
      <c r="J260" s="8">
        <v>62</v>
      </c>
      <c r="K260" s="19" t="s">
        <v>22</v>
      </c>
      <c r="L260" s="19" t="s">
        <v>45</v>
      </c>
      <c r="M260" s="8">
        <v>1</v>
      </c>
      <c r="N260" s="33">
        <f t="shared" si="32"/>
        <v>0</v>
      </c>
      <c r="O260" s="23">
        <f t="shared" si="33"/>
        <v>3.9372915276851231E-2</v>
      </c>
      <c r="P260" s="59">
        <f t="shared" si="34"/>
        <v>0.93086317532601937</v>
      </c>
      <c r="Q260" s="30">
        <f t="shared" si="35"/>
        <v>0</v>
      </c>
      <c r="R260" s="30">
        <f t="shared" si="36"/>
        <v>-1</v>
      </c>
      <c r="S260" s="12">
        <f t="shared" si="37"/>
        <v>0</v>
      </c>
      <c r="T260" s="30">
        <f t="shared" si="38"/>
        <v>0</v>
      </c>
      <c r="U260" s="9" t="str">
        <f t="shared" si="39"/>
        <v>55+</v>
      </c>
    </row>
    <row r="261" spans="1:21">
      <c r="A261" t="s">
        <v>293</v>
      </c>
      <c r="B261" s="8">
        <v>5877</v>
      </c>
      <c r="C261" s="23">
        <v>9.2259999999999995E-2</v>
      </c>
      <c r="D261" s="19" t="s">
        <v>32</v>
      </c>
      <c r="E261" s="21">
        <v>79.61</v>
      </c>
      <c r="F261" s="21">
        <v>6.7670000000000003</v>
      </c>
      <c r="G261" s="23">
        <v>0.19986999999999999</v>
      </c>
      <c r="H261" s="26">
        <v>1</v>
      </c>
      <c r="I261" s="19" t="s">
        <v>21</v>
      </c>
      <c r="J261" s="8">
        <v>57</v>
      </c>
      <c r="K261" s="19" t="s">
        <v>22</v>
      </c>
      <c r="L261" s="19" t="s">
        <v>32</v>
      </c>
      <c r="M261" s="8" t="s">
        <v>1065</v>
      </c>
      <c r="N261" s="33">
        <f t="shared" si="32"/>
        <v>0.14777597162701345</v>
      </c>
      <c r="O261" s="23">
        <f t="shared" si="33"/>
        <v>1.363381114230826E-2</v>
      </c>
      <c r="P261" s="59">
        <f t="shared" si="34"/>
        <v>8.5001884185403845E-2</v>
      </c>
      <c r="Q261" s="30">
        <f t="shared" si="35"/>
        <v>9.2259999999999995E-2</v>
      </c>
      <c r="R261" s="30">
        <f t="shared" si="36"/>
        <v>1.1663776284413614</v>
      </c>
      <c r="S261" s="12">
        <f t="shared" si="37"/>
        <v>2.1663776284413614</v>
      </c>
      <c r="T261" s="30">
        <f t="shared" si="38"/>
        <v>2.9535983449091176E-2</v>
      </c>
      <c r="U261" s="9" t="str">
        <f t="shared" si="39"/>
        <v>55+</v>
      </c>
    </row>
    <row r="262" spans="1:21">
      <c r="A262" t="s">
        <v>294</v>
      </c>
      <c r="B262" s="8">
        <v>2386</v>
      </c>
      <c r="C262" s="23">
        <v>0.13083</v>
      </c>
      <c r="D262" s="19" t="s">
        <v>32</v>
      </c>
      <c r="E262" s="21">
        <v>96.295000000000002</v>
      </c>
      <c r="F262" s="21">
        <v>0.44600000000000001</v>
      </c>
      <c r="G262" s="23">
        <v>0</v>
      </c>
      <c r="H262" s="26">
        <v>0</v>
      </c>
      <c r="I262" s="19" t="s">
        <v>17</v>
      </c>
      <c r="J262" s="8">
        <v>26</v>
      </c>
      <c r="K262" s="19" t="s">
        <v>37</v>
      </c>
      <c r="L262" s="19" t="s">
        <v>38</v>
      </c>
      <c r="M262" s="8">
        <v>4</v>
      </c>
      <c r="N262" s="33">
        <f t="shared" si="32"/>
        <v>0</v>
      </c>
      <c r="O262" s="23">
        <f t="shared" si="33"/>
        <v>0.29334080717488792</v>
      </c>
      <c r="P262" s="59">
        <f t="shared" si="34"/>
        <v>4.6316008100109043E-3</v>
      </c>
      <c r="Q262" s="30">
        <f t="shared" si="35"/>
        <v>0</v>
      </c>
      <c r="R262" s="30">
        <f t="shared" si="36"/>
        <v>-1</v>
      </c>
      <c r="S262" s="12">
        <f t="shared" si="37"/>
        <v>0</v>
      </c>
      <c r="T262" s="30">
        <f t="shared" si="38"/>
        <v>0</v>
      </c>
      <c r="U262" s="9" t="str">
        <f t="shared" si="39"/>
        <v>25-34</v>
      </c>
    </row>
    <row r="263" spans="1:21">
      <c r="A263" t="s">
        <v>295</v>
      </c>
      <c r="B263" s="8">
        <v>3386</v>
      </c>
      <c r="C263" s="23">
        <v>1.2630000000000001E-2</v>
      </c>
      <c r="D263" s="19" t="s">
        <v>32</v>
      </c>
      <c r="E263" s="21">
        <v>6.88</v>
      </c>
      <c r="F263" s="21">
        <v>3.9449999999999998</v>
      </c>
      <c r="G263" s="23">
        <v>0</v>
      </c>
      <c r="H263" s="26">
        <v>0</v>
      </c>
      <c r="I263" s="19" t="s">
        <v>29</v>
      </c>
      <c r="J263" s="8">
        <v>37</v>
      </c>
      <c r="K263" s="19" t="s">
        <v>37</v>
      </c>
      <c r="L263" s="19" t="s">
        <v>19</v>
      </c>
      <c r="M263" s="8">
        <v>4</v>
      </c>
      <c r="N263" s="33">
        <f t="shared" si="32"/>
        <v>0</v>
      </c>
      <c r="O263" s="23">
        <f t="shared" si="33"/>
        <v>3.2015209125475287E-3</v>
      </c>
      <c r="P263" s="59">
        <f t="shared" si="34"/>
        <v>0.57340116279069764</v>
      </c>
      <c r="Q263" s="30">
        <f t="shared" si="35"/>
        <v>0</v>
      </c>
      <c r="R263" s="30">
        <f t="shared" si="36"/>
        <v>-1</v>
      </c>
      <c r="S263" s="12">
        <f t="shared" si="37"/>
        <v>0</v>
      </c>
      <c r="T263" s="30">
        <f t="shared" si="38"/>
        <v>0</v>
      </c>
      <c r="U263" s="9" t="str">
        <f t="shared" si="39"/>
        <v>35-44</v>
      </c>
    </row>
    <row r="264" spans="1:21">
      <c r="A264" t="s">
        <v>296</v>
      </c>
      <c r="B264" s="8">
        <v>2097</v>
      </c>
      <c r="C264" s="23">
        <v>0.16247</v>
      </c>
      <c r="D264" s="19" t="s">
        <v>15</v>
      </c>
      <c r="E264" s="21">
        <v>6.41</v>
      </c>
      <c r="F264" s="21">
        <v>4.915</v>
      </c>
      <c r="G264" s="23">
        <v>0</v>
      </c>
      <c r="H264" s="26">
        <v>0</v>
      </c>
      <c r="I264" s="19" t="s">
        <v>34</v>
      </c>
      <c r="J264" s="8">
        <v>30</v>
      </c>
      <c r="K264" s="19" t="s">
        <v>18</v>
      </c>
      <c r="L264" s="19" t="s">
        <v>23</v>
      </c>
      <c r="M264" s="8">
        <v>5</v>
      </c>
      <c r="N264" s="33">
        <f t="shared" si="32"/>
        <v>0</v>
      </c>
      <c r="O264" s="23">
        <f t="shared" si="33"/>
        <v>3.3055951169888097E-2</v>
      </c>
      <c r="P264" s="59">
        <f t="shared" si="34"/>
        <v>0.76677067082683303</v>
      </c>
      <c r="Q264" s="30">
        <f t="shared" si="35"/>
        <v>0</v>
      </c>
      <c r="R264" s="30">
        <f t="shared" si="36"/>
        <v>-1</v>
      </c>
      <c r="S264" s="12">
        <f t="shared" si="37"/>
        <v>0</v>
      </c>
      <c r="T264" s="30">
        <f t="shared" si="38"/>
        <v>0</v>
      </c>
      <c r="U264" s="9" t="str">
        <f t="shared" si="39"/>
        <v>25-34</v>
      </c>
    </row>
    <row r="265" spans="1:21">
      <c r="A265" t="s">
        <v>297</v>
      </c>
      <c r="B265" s="8">
        <v>6876</v>
      </c>
      <c r="C265" s="23">
        <v>0</v>
      </c>
      <c r="D265" s="19" t="s">
        <v>45</v>
      </c>
      <c r="E265" s="21">
        <v>96.116</v>
      </c>
      <c r="F265" s="21">
        <v>3.7919999999999998</v>
      </c>
      <c r="G265" s="23">
        <v>0</v>
      </c>
      <c r="H265" s="26">
        <v>0</v>
      </c>
      <c r="I265" s="19" t="s">
        <v>26</v>
      </c>
      <c r="J265" s="8">
        <v>65</v>
      </c>
      <c r="K265" s="19" t="s">
        <v>37</v>
      </c>
      <c r="L265" s="19" t="s">
        <v>38</v>
      </c>
      <c r="M265" s="8">
        <v>5</v>
      </c>
      <c r="N265" s="33">
        <f t="shared" si="32"/>
        <v>0</v>
      </c>
      <c r="O265" s="23">
        <f t="shared" si="33"/>
        <v>0</v>
      </c>
      <c r="P265" s="59">
        <f t="shared" si="34"/>
        <v>3.9452328436472596E-2</v>
      </c>
      <c r="Q265" s="30">
        <f t="shared" si="35"/>
        <v>0</v>
      </c>
      <c r="R265" s="30">
        <f t="shared" si="36"/>
        <v>0</v>
      </c>
      <c r="S265" s="12">
        <f t="shared" si="37"/>
        <v>0</v>
      </c>
      <c r="T265" s="30">
        <f t="shared" si="38"/>
        <v>0</v>
      </c>
      <c r="U265" s="9" t="str">
        <f t="shared" si="39"/>
        <v>55+</v>
      </c>
    </row>
    <row r="266" spans="1:21">
      <c r="A266" t="s">
        <v>298</v>
      </c>
      <c r="B266" s="8">
        <v>5561</v>
      </c>
      <c r="C266" s="23">
        <v>5.3400000000000003E-2</v>
      </c>
      <c r="D266" s="19" t="s">
        <v>28</v>
      </c>
      <c r="E266" s="21">
        <v>7.3280000000000003</v>
      </c>
      <c r="F266" s="21">
        <v>7.2560000000000002</v>
      </c>
      <c r="G266" s="23">
        <v>0</v>
      </c>
      <c r="H266" s="26">
        <v>0</v>
      </c>
      <c r="I266" s="19" t="s">
        <v>29</v>
      </c>
      <c r="J266" s="8">
        <v>41</v>
      </c>
      <c r="K266" s="19" t="s">
        <v>37</v>
      </c>
      <c r="L266" s="19" t="s">
        <v>38</v>
      </c>
      <c r="M266" s="8">
        <v>5</v>
      </c>
      <c r="N266" s="33">
        <f t="shared" si="32"/>
        <v>0</v>
      </c>
      <c r="O266" s="23">
        <f t="shared" si="33"/>
        <v>7.3594266813671446E-3</v>
      </c>
      <c r="P266" s="59">
        <f t="shared" si="34"/>
        <v>0.99017467248908297</v>
      </c>
      <c r="Q266" s="30">
        <f t="shared" si="35"/>
        <v>0</v>
      </c>
      <c r="R266" s="30">
        <f t="shared" si="36"/>
        <v>-1</v>
      </c>
      <c r="S266" s="12">
        <f t="shared" si="37"/>
        <v>0</v>
      </c>
      <c r="T266" s="30">
        <f t="shared" si="38"/>
        <v>0</v>
      </c>
      <c r="U266" s="9" t="str">
        <f t="shared" si="39"/>
        <v>35-44</v>
      </c>
    </row>
    <row r="267" spans="1:21">
      <c r="A267" t="s">
        <v>299</v>
      </c>
      <c r="B267" s="8">
        <v>2852</v>
      </c>
      <c r="C267" s="23">
        <v>0.15372</v>
      </c>
      <c r="D267" s="19" t="s">
        <v>28</v>
      </c>
      <c r="E267" s="21">
        <v>87.837000000000003</v>
      </c>
      <c r="F267" s="21">
        <v>8.6059999999999999</v>
      </c>
      <c r="G267" s="23">
        <v>0</v>
      </c>
      <c r="H267" s="26">
        <v>0</v>
      </c>
      <c r="I267" s="19" t="s">
        <v>26</v>
      </c>
      <c r="J267" s="8">
        <v>44</v>
      </c>
      <c r="K267" s="19" t="s">
        <v>31</v>
      </c>
      <c r="L267" s="19" t="s">
        <v>23</v>
      </c>
      <c r="M267" s="8">
        <v>3</v>
      </c>
      <c r="N267" s="33">
        <f t="shared" si="32"/>
        <v>0</v>
      </c>
      <c r="O267" s="23">
        <f t="shared" si="33"/>
        <v>1.786195677434348E-2</v>
      </c>
      <c r="P267" s="59">
        <f t="shared" si="34"/>
        <v>9.797693454922185E-2</v>
      </c>
      <c r="Q267" s="30">
        <f t="shared" si="35"/>
        <v>0</v>
      </c>
      <c r="R267" s="30">
        <f t="shared" si="36"/>
        <v>-1</v>
      </c>
      <c r="S267" s="12">
        <f t="shared" si="37"/>
        <v>0</v>
      </c>
      <c r="T267" s="30">
        <f t="shared" si="38"/>
        <v>0</v>
      </c>
      <c r="U267" s="9" t="str">
        <f t="shared" si="39"/>
        <v>35-44</v>
      </c>
    </row>
    <row r="268" spans="1:21">
      <c r="A268" t="s">
        <v>300</v>
      </c>
      <c r="B268" s="8">
        <v>2508</v>
      </c>
      <c r="C268" s="23">
        <v>9.6149999999999999E-2</v>
      </c>
      <c r="D268" s="19" t="s">
        <v>40</v>
      </c>
      <c r="E268" s="21">
        <v>47</v>
      </c>
      <c r="F268" s="21">
        <v>1.839</v>
      </c>
      <c r="G268" s="23">
        <v>0.13583000000000001</v>
      </c>
      <c r="H268" s="26">
        <v>1</v>
      </c>
      <c r="I268" s="19" t="s">
        <v>29</v>
      </c>
      <c r="J268" s="8">
        <v>30</v>
      </c>
      <c r="K268" s="19" t="s">
        <v>31</v>
      </c>
      <c r="L268" s="19" t="s">
        <v>38</v>
      </c>
      <c r="M268" s="8">
        <v>2</v>
      </c>
      <c r="N268" s="33">
        <f t="shared" si="32"/>
        <v>0.54377379010331706</v>
      </c>
      <c r="O268" s="23">
        <f t="shared" si="33"/>
        <v>5.2283849918433933E-2</v>
      </c>
      <c r="P268" s="59">
        <f t="shared" si="34"/>
        <v>3.9127659574468086E-2</v>
      </c>
      <c r="Q268" s="30">
        <f t="shared" si="35"/>
        <v>9.6149999999999999E-2</v>
      </c>
      <c r="R268" s="30">
        <f t="shared" si="36"/>
        <v>0.41268850754030167</v>
      </c>
      <c r="S268" s="12">
        <f t="shared" si="37"/>
        <v>1.4126885075403017</v>
      </c>
      <c r="T268" s="30">
        <f t="shared" si="38"/>
        <v>7.386079390973356E-2</v>
      </c>
      <c r="U268" s="9" t="str">
        <f t="shared" si="39"/>
        <v>25-34</v>
      </c>
    </row>
    <row r="269" spans="1:21">
      <c r="A269" t="s">
        <v>301</v>
      </c>
      <c r="B269" s="8">
        <v>2281</v>
      </c>
      <c r="C269" s="23">
        <v>0.17902999999999999</v>
      </c>
      <c r="D269" s="19" t="s">
        <v>25</v>
      </c>
      <c r="E269" s="21">
        <v>10.798</v>
      </c>
      <c r="F269" s="21">
        <v>3.1440000000000001</v>
      </c>
      <c r="G269" s="23">
        <v>0</v>
      </c>
      <c r="H269" s="26">
        <v>0</v>
      </c>
      <c r="I269" s="19" t="s">
        <v>1067</v>
      </c>
      <c r="J269" s="8">
        <v>35</v>
      </c>
      <c r="K269" s="19" t="s">
        <v>18</v>
      </c>
      <c r="L269" s="19" t="s">
        <v>19</v>
      </c>
      <c r="M269" s="8">
        <v>2</v>
      </c>
      <c r="N269" s="33">
        <f t="shared" si="32"/>
        <v>0</v>
      </c>
      <c r="O269" s="23">
        <f t="shared" si="33"/>
        <v>5.6943384223918571E-2</v>
      </c>
      <c r="P269" s="59">
        <f t="shared" si="34"/>
        <v>0.29116503056121507</v>
      </c>
      <c r="Q269" s="30">
        <f t="shared" si="35"/>
        <v>0</v>
      </c>
      <c r="R269" s="30">
        <f t="shared" si="36"/>
        <v>-1</v>
      </c>
      <c r="S269" s="12">
        <f t="shared" si="37"/>
        <v>0</v>
      </c>
      <c r="T269" s="30">
        <f t="shared" si="38"/>
        <v>0</v>
      </c>
      <c r="U269" s="9" t="str">
        <f t="shared" si="39"/>
        <v>35-44</v>
      </c>
    </row>
    <row r="270" spans="1:21">
      <c r="A270" t="s">
        <v>302</v>
      </c>
      <c r="B270" s="8">
        <v>3263</v>
      </c>
      <c r="C270" s="23">
        <v>0.15132999999999999</v>
      </c>
      <c r="D270" s="19" t="s">
        <v>45</v>
      </c>
      <c r="E270" s="21">
        <v>20.952999999999999</v>
      </c>
      <c r="F270" s="21">
        <v>2.3199999999999998</v>
      </c>
      <c r="G270" s="23">
        <v>0</v>
      </c>
      <c r="H270" s="26">
        <v>0</v>
      </c>
      <c r="I270" s="19" t="s">
        <v>29</v>
      </c>
      <c r="J270" s="8">
        <v>19</v>
      </c>
      <c r="K270" s="19" t="s">
        <v>18</v>
      </c>
      <c r="L270" s="19" t="s">
        <v>45</v>
      </c>
      <c r="M270" s="8">
        <v>4</v>
      </c>
      <c r="N270" s="33">
        <f t="shared" si="32"/>
        <v>0</v>
      </c>
      <c r="O270" s="23">
        <f t="shared" si="33"/>
        <v>6.5228448275862064E-2</v>
      </c>
      <c r="P270" s="59">
        <f t="shared" si="34"/>
        <v>0.11072400133632415</v>
      </c>
      <c r="Q270" s="30">
        <f t="shared" si="35"/>
        <v>0</v>
      </c>
      <c r="R270" s="30">
        <f t="shared" si="36"/>
        <v>-1</v>
      </c>
      <c r="S270" s="12">
        <f t="shared" si="37"/>
        <v>0</v>
      </c>
      <c r="T270" s="30">
        <f t="shared" si="38"/>
        <v>0</v>
      </c>
      <c r="U270" s="9" t="str">
        <f t="shared" si="39"/>
        <v>18-24</v>
      </c>
    </row>
    <row r="271" spans="1:21">
      <c r="A271" t="s">
        <v>303</v>
      </c>
      <c r="B271" s="8">
        <v>1486</v>
      </c>
      <c r="C271" s="23">
        <v>0.15089</v>
      </c>
      <c r="D271" s="19" t="s">
        <v>28</v>
      </c>
      <c r="E271" s="21">
        <v>90.314999999999998</v>
      </c>
      <c r="F271" s="21">
        <v>4.5209999999999999</v>
      </c>
      <c r="G271" s="23">
        <v>0.14063000000000001</v>
      </c>
      <c r="H271" s="26">
        <v>1</v>
      </c>
      <c r="I271" s="19" t="s">
        <v>26</v>
      </c>
      <c r="J271" s="8">
        <v>61</v>
      </c>
      <c r="K271" s="19" t="s">
        <v>18</v>
      </c>
      <c r="L271" s="19" t="s">
        <v>45</v>
      </c>
      <c r="M271" s="8">
        <v>3</v>
      </c>
      <c r="N271" s="33">
        <f t="shared" si="32"/>
        <v>0.22119000221190002</v>
      </c>
      <c r="O271" s="23">
        <f t="shared" si="33"/>
        <v>3.3375359433753596E-2</v>
      </c>
      <c r="P271" s="59">
        <f t="shared" si="34"/>
        <v>5.0058129878757684E-2</v>
      </c>
      <c r="Q271" s="30">
        <f t="shared" si="35"/>
        <v>0.15089</v>
      </c>
      <c r="R271" s="30">
        <f t="shared" si="36"/>
        <v>-6.7996553780899943E-2</v>
      </c>
      <c r="S271" s="12">
        <f t="shared" si="37"/>
        <v>0.93200344621910003</v>
      </c>
      <c r="T271" s="30">
        <f t="shared" si="38"/>
        <v>3.1105950011059501E-2</v>
      </c>
      <c r="U271" s="9" t="str">
        <f t="shared" si="39"/>
        <v>55+</v>
      </c>
    </row>
    <row r="272" spans="1:21">
      <c r="A272" t="s">
        <v>304</v>
      </c>
      <c r="B272" s="8">
        <v>9178</v>
      </c>
      <c r="C272" s="23">
        <v>0.15977</v>
      </c>
      <c r="D272" s="19" t="s">
        <v>28</v>
      </c>
      <c r="E272" s="21">
        <v>12.692</v>
      </c>
      <c r="F272" s="21">
        <v>1.9370000000000001</v>
      </c>
      <c r="G272" s="23">
        <v>0</v>
      </c>
      <c r="H272" s="26">
        <v>0</v>
      </c>
      <c r="I272" s="19" t="s">
        <v>34</v>
      </c>
      <c r="J272" s="8">
        <v>41</v>
      </c>
      <c r="K272" s="19" t="s">
        <v>18</v>
      </c>
      <c r="L272" s="19" t="s">
        <v>38</v>
      </c>
      <c r="M272" s="8">
        <v>2</v>
      </c>
      <c r="N272" s="33">
        <f t="shared" si="32"/>
        <v>0</v>
      </c>
      <c r="O272" s="23">
        <f t="shared" si="33"/>
        <v>8.2483221476510063E-2</v>
      </c>
      <c r="P272" s="59">
        <f t="shared" si="34"/>
        <v>0.15261582098959975</v>
      </c>
      <c r="Q272" s="30">
        <f t="shared" si="35"/>
        <v>0</v>
      </c>
      <c r="R272" s="30">
        <f t="shared" si="36"/>
        <v>-1</v>
      </c>
      <c r="S272" s="12">
        <f t="shared" si="37"/>
        <v>0</v>
      </c>
      <c r="T272" s="30">
        <f t="shared" si="38"/>
        <v>0</v>
      </c>
      <c r="U272" s="9" t="str">
        <f t="shared" si="39"/>
        <v>35-44</v>
      </c>
    </row>
    <row r="273" spans="1:21">
      <c r="A273" t="s">
        <v>305</v>
      </c>
      <c r="B273" s="8">
        <v>1992</v>
      </c>
      <c r="C273" s="23">
        <v>4.5749999999999999E-2</v>
      </c>
      <c r="D273" s="19" t="s">
        <v>32</v>
      </c>
      <c r="E273" s="21">
        <v>90.403999999999996</v>
      </c>
      <c r="F273" s="21">
        <v>9.7539999999999996</v>
      </c>
      <c r="G273" s="23">
        <v>0</v>
      </c>
      <c r="H273" s="26">
        <v>0</v>
      </c>
      <c r="I273" s="19" t="s">
        <v>34</v>
      </c>
      <c r="J273" s="8">
        <v>35</v>
      </c>
      <c r="K273" s="19" t="s">
        <v>22</v>
      </c>
      <c r="L273" s="19" t="s">
        <v>38</v>
      </c>
      <c r="M273" s="8">
        <v>4</v>
      </c>
      <c r="N273" s="33">
        <f t="shared" si="32"/>
        <v>0</v>
      </c>
      <c r="O273" s="23">
        <f t="shared" si="33"/>
        <v>4.6903834324379745E-3</v>
      </c>
      <c r="P273" s="59">
        <f t="shared" si="34"/>
        <v>0.10789345604176806</v>
      </c>
      <c r="Q273" s="30">
        <f t="shared" si="35"/>
        <v>0</v>
      </c>
      <c r="R273" s="30">
        <f t="shared" si="36"/>
        <v>-1</v>
      </c>
      <c r="S273" s="12">
        <f t="shared" si="37"/>
        <v>0</v>
      </c>
      <c r="T273" s="30">
        <f t="shared" si="38"/>
        <v>0</v>
      </c>
      <c r="U273" s="9" t="str">
        <f t="shared" si="39"/>
        <v>35-44</v>
      </c>
    </row>
    <row r="274" spans="1:21">
      <c r="A274" t="s">
        <v>306</v>
      </c>
      <c r="B274" s="8">
        <v>9813</v>
      </c>
      <c r="C274" s="23">
        <v>0</v>
      </c>
      <c r="D274" s="19" t="s">
        <v>28</v>
      </c>
      <c r="E274" s="21">
        <v>62.045000000000002</v>
      </c>
      <c r="F274" s="21">
        <v>4.3959999999999999</v>
      </c>
      <c r="G274" s="23">
        <v>0</v>
      </c>
      <c r="H274" s="26">
        <v>0</v>
      </c>
      <c r="I274" s="19" t="s">
        <v>26</v>
      </c>
      <c r="J274" s="8">
        <v>33</v>
      </c>
      <c r="K274" s="19" t="s">
        <v>37</v>
      </c>
      <c r="L274" s="19" t="s">
        <v>19</v>
      </c>
      <c r="M274" s="8">
        <v>3</v>
      </c>
      <c r="N274" s="33">
        <f t="shared" si="32"/>
        <v>0</v>
      </c>
      <c r="O274" s="23">
        <f t="shared" si="33"/>
        <v>0</v>
      </c>
      <c r="P274" s="59">
        <f t="shared" si="34"/>
        <v>7.0851801112096061E-2</v>
      </c>
      <c r="Q274" s="30">
        <f t="shared" si="35"/>
        <v>0</v>
      </c>
      <c r="R274" s="30">
        <f t="shared" si="36"/>
        <v>0</v>
      </c>
      <c r="S274" s="12">
        <f t="shared" si="37"/>
        <v>0</v>
      </c>
      <c r="T274" s="30">
        <f t="shared" si="38"/>
        <v>0</v>
      </c>
      <c r="U274" s="9" t="str">
        <f t="shared" si="39"/>
        <v>25-34</v>
      </c>
    </row>
    <row r="275" spans="1:21">
      <c r="A275" t="s">
        <v>307</v>
      </c>
      <c r="B275" s="8">
        <v>3699</v>
      </c>
      <c r="C275" s="23">
        <v>0.1065</v>
      </c>
      <c r="D275" s="19" t="s">
        <v>28</v>
      </c>
      <c r="E275" s="21">
        <v>90.084999999999994</v>
      </c>
      <c r="F275" s="21">
        <v>9.8640000000000008</v>
      </c>
      <c r="G275" s="23">
        <v>0.48222999999999999</v>
      </c>
      <c r="H275" s="26">
        <v>1</v>
      </c>
      <c r="I275" s="19" t="s">
        <v>17</v>
      </c>
      <c r="J275" s="8">
        <v>42</v>
      </c>
      <c r="K275" s="19" t="s">
        <v>18</v>
      </c>
      <c r="L275" s="19" t="s">
        <v>23</v>
      </c>
      <c r="M275" s="8" t="s">
        <v>1065</v>
      </c>
      <c r="N275" s="33">
        <f t="shared" si="32"/>
        <v>0.1013787510137875</v>
      </c>
      <c r="O275" s="23">
        <f t="shared" si="33"/>
        <v>1.0796836982968369E-2</v>
      </c>
      <c r="P275" s="59">
        <f t="shared" si="34"/>
        <v>0.10949658655714049</v>
      </c>
      <c r="Q275" s="30">
        <f t="shared" si="35"/>
        <v>0.1065</v>
      </c>
      <c r="R275" s="30">
        <f t="shared" si="36"/>
        <v>3.5279812206572774</v>
      </c>
      <c r="S275" s="12">
        <f t="shared" si="37"/>
        <v>4.5279812206572769</v>
      </c>
      <c r="T275" s="30">
        <f t="shared" si="38"/>
        <v>4.8887875101378743E-2</v>
      </c>
      <c r="U275" s="9" t="str">
        <f t="shared" si="39"/>
        <v>35-44</v>
      </c>
    </row>
    <row r="276" spans="1:21">
      <c r="A276" t="s">
        <v>308</v>
      </c>
      <c r="B276" s="8">
        <v>2334</v>
      </c>
      <c r="C276" s="23">
        <v>8.4680000000000005E-2</v>
      </c>
      <c r="D276" s="19" t="s">
        <v>45</v>
      </c>
      <c r="E276" s="21">
        <v>36.371000000000002</v>
      </c>
      <c r="F276" s="21">
        <v>2.2090000000000001</v>
      </c>
      <c r="G276" s="23">
        <v>0</v>
      </c>
      <c r="H276" s="26">
        <v>0</v>
      </c>
      <c r="I276" s="19" t="s">
        <v>29</v>
      </c>
      <c r="J276" s="8">
        <v>38</v>
      </c>
      <c r="K276" s="19" t="s">
        <v>18</v>
      </c>
      <c r="L276" s="19" t="s">
        <v>45</v>
      </c>
      <c r="M276" s="8">
        <v>5</v>
      </c>
      <c r="N276" s="33">
        <f t="shared" si="32"/>
        <v>0</v>
      </c>
      <c r="O276" s="23">
        <f t="shared" si="33"/>
        <v>3.833408782254414E-2</v>
      </c>
      <c r="P276" s="59">
        <f t="shared" si="34"/>
        <v>6.0735201121772837E-2</v>
      </c>
      <c r="Q276" s="30">
        <f t="shared" si="35"/>
        <v>0</v>
      </c>
      <c r="R276" s="30">
        <f t="shared" si="36"/>
        <v>-1</v>
      </c>
      <c r="S276" s="12">
        <f t="shared" si="37"/>
        <v>0</v>
      </c>
      <c r="T276" s="30">
        <f t="shared" si="38"/>
        <v>0</v>
      </c>
      <c r="U276" s="9" t="str">
        <f t="shared" si="39"/>
        <v>35-44</v>
      </c>
    </row>
    <row r="277" spans="1:21">
      <c r="A277" t="s">
        <v>309</v>
      </c>
      <c r="B277" s="8">
        <v>7186</v>
      </c>
      <c r="C277" s="23">
        <v>2.308E-2</v>
      </c>
      <c r="D277" s="19" t="s">
        <v>15</v>
      </c>
      <c r="E277" s="21">
        <v>96.1</v>
      </c>
      <c r="F277" s="21">
        <v>5.9349999999999996</v>
      </c>
      <c r="G277" s="23">
        <v>0.3024</v>
      </c>
      <c r="H277" s="26">
        <v>1</v>
      </c>
      <c r="I277" s="19" t="s">
        <v>26</v>
      </c>
      <c r="J277" s="8">
        <v>18</v>
      </c>
      <c r="K277" s="19" t="s">
        <v>22</v>
      </c>
      <c r="L277" s="19" t="s">
        <v>19</v>
      </c>
      <c r="M277" s="8" t="s">
        <v>1065</v>
      </c>
      <c r="N277" s="33">
        <f t="shared" si="32"/>
        <v>0.16849199663016007</v>
      </c>
      <c r="O277" s="23">
        <f t="shared" si="33"/>
        <v>3.8887952822240944E-3</v>
      </c>
      <c r="P277" s="59">
        <f t="shared" si="34"/>
        <v>6.1758584807492196E-2</v>
      </c>
      <c r="Q277" s="30">
        <f t="shared" si="35"/>
        <v>2.308E-2</v>
      </c>
      <c r="R277" s="30">
        <f t="shared" si="36"/>
        <v>12.102253032928944</v>
      </c>
      <c r="S277" s="12">
        <f t="shared" si="37"/>
        <v>13.102253032928942</v>
      </c>
      <c r="T277" s="30">
        <f t="shared" si="38"/>
        <v>5.0951979780960409E-2</v>
      </c>
      <c r="U277" s="9" t="str">
        <f t="shared" si="39"/>
        <v>18-24</v>
      </c>
    </row>
    <row r="278" spans="1:21">
      <c r="A278" t="s">
        <v>310</v>
      </c>
      <c r="B278" s="8">
        <v>1912</v>
      </c>
      <c r="C278" s="23">
        <v>2.5159999999999998E-2</v>
      </c>
      <c r="D278" s="19" t="s">
        <v>45</v>
      </c>
      <c r="E278" s="21">
        <v>92</v>
      </c>
      <c r="F278" s="21">
        <v>4.4560000000000004</v>
      </c>
      <c r="G278" s="23">
        <v>0.42605999999999999</v>
      </c>
      <c r="H278" s="26">
        <v>1</v>
      </c>
      <c r="I278" s="19" t="s">
        <v>26</v>
      </c>
      <c r="J278" s="8">
        <v>19</v>
      </c>
      <c r="K278" s="19" t="s">
        <v>18</v>
      </c>
      <c r="L278" s="19" t="s">
        <v>19</v>
      </c>
      <c r="M278" s="8">
        <v>5</v>
      </c>
      <c r="N278" s="33">
        <f t="shared" si="32"/>
        <v>0.22441651705565527</v>
      </c>
      <c r="O278" s="23">
        <f t="shared" si="33"/>
        <v>5.646319569120286E-3</v>
      </c>
      <c r="P278" s="59">
        <f t="shared" si="34"/>
        <v>4.8434782608695659E-2</v>
      </c>
      <c r="Q278" s="30">
        <f t="shared" si="35"/>
        <v>2.5159999999999998E-2</v>
      </c>
      <c r="R278" s="30">
        <f t="shared" si="36"/>
        <v>15.934022257551669</v>
      </c>
      <c r="S278" s="12">
        <f t="shared" si="37"/>
        <v>16.934022257551671</v>
      </c>
      <c r="T278" s="30">
        <f t="shared" si="38"/>
        <v>9.5614901256732485E-2</v>
      </c>
      <c r="U278" s="9" t="str">
        <f t="shared" si="39"/>
        <v>18-24</v>
      </c>
    </row>
    <row r="279" spans="1:21">
      <c r="A279" t="s">
        <v>311</v>
      </c>
      <c r="B279" s="8">
        <v>9946</v>
      </c>
      <c r="C279" s="23">
        <v>0.14162</v>
      </c>
      <c r="D279" s="19" t="s">
        <v>32</v>
      </c>
      <c r="E279" s="21">
        <v>26.495000000000001</v>
      </c>
      <c r="F279" s="21">
        <v>5.1550000000000002</v>
      </c>
      <c r="G279" s="23">
        <v>0</v>
      </c>
      <c r="H279" s="26">
        <v>0</v>
      </c>
      <c r="I279" s="19" t="s">
        <v>34</v>
      </c>
      <c r="J279" s="8">
        <v>28</v>
      </c>
      <c r="K279" s="19" t="s">
        <v>37</v>
      </c>
      <c r="L279" s="19" t="s">
        <v>45</v>
      </c>
      <c r="M279" s="8" t="s">
        <v>1065</v>
      </c>
      <c r="N279" s="33">
        <f t="shared" si="32"/>
        <v>0</v>
      </c>
      <c r="O279" s="23">
        <f t="shared" si="33"/>
        <v>2.7472356935014548E-2</v>
      </c>
      <c r="P279" s="59">
        <f t="shared" si="34"/>
        <v>0.19456501226646536</v>
      </c>
      <c r="Q279" s="30">
        <f t="shared" si="35"/>
        <v>0</v>
      </c>
      <c r="R279" s="30">
        <f t="shared" si="36"/>
        <v>-1</v>
      </c>
      <c r="S279" s="12">
        <f t="shared" si="37"/>
        <v>0</v>
      </c>
      <c r="T279" s="30">
        <f t="shared" si="38"/>
        <v>0</v>
      </c>
      <c r="U279" s="9" t="str">
        <f t="shared" si="39"/>
        <v>25-34</v>
      </c>
    </row>
    <row r="280" spans="1:21">
      <c r="A280" t="s">
        <v>312</v>
      </c>
      <c r="B280" s="8">
        <v>8112</v>
      </c>
      <c r="C280" s="23">
        <v>3.5779999999999999E-2</v>
      </c>
      <c r="D280" s="19" t="s">
        <v>15</v>
      </c>
      <c r="E280" s="21">
        <v>10.224</v>
      </c>
      <c r="F280" s="21">
        <v>3.1539999999999999</v>
      </c>
      <c r="G280" s="23">
        <v>0</v>
      </c>
      <c r="H280" s="26">
        <v>0</v>
      </c>
      <c r="I280" s="19" t="s">
        <v>29</v>
      </c>
      <c r="J280" s="8">
        <v>60</v>
      </c>
      <c r="K280" s="19" t="s">
        <v>18</v>
      </c>
      <c r="L280" s="19" t="s">
        <v>38</v>
      </c>
      <c r="M280" s="8">
        <v>5</v>
      </c>
      <c r="N280" s="33">
        <f t="shared" si="32"/>
        <v>0</v>
      </c>
      <c r="O280" s="23">
        <f t="shared" si="33"/>
        <v>1.1344324667089411E-2</v>
      </c>
      <c r="P280" s="59">
        <f t="shared" si="34"/>
        <v>0.30848982785602502</v>
      </c>
      <c r="Q280" s="30">
        <f t="shared" si="35"/>
        <v>0</v>
      </c>
      <c r="R280" s="30">
        <f t="shared" si="36"/>
        <v>-1</v>
      </c>
      <c r="S280" s="12">
        <f t="shared" si="37"/>
        <v>0</v>
      </c>
      <c r="T280" s="30">
        <f t="shared" si="38"/>
        <v>0</v>
      </c>
      <c r="U280" s="9" t="str">
        <f t="shared" si="39"/>
        <v>55+</v>
      </c>
    </row>
    <row r="281" spans="1:21">
      <c r="A281" t="s">
        <v>313</v>
      </c>
      <c r="B281" s="8">
        <v>4840</v>
      </c>
      <c r="C281" s="23">
        <v>0.15218000000000001</v>
      </c>
      <c r="D281" s="19" t="s">
        <v>25</v>
      </c>
      <c r="E281" s="21">
        <v>7.8559999999999999</v>
      </c>
      <c r="F281" s="21">
        <v>9.4610000000000003</v>
      </c>
      <c r="G281" s="23">
        <v>0</v>
      </c>
      <c r="H281" s="26">
        <v>0</v>
      </c>
      <c r="I281" s="19" t="s">
        <v>29</v>
      </c>
      <c r="J281" s="8">
        <v>57</v>
      </c>
      <c r="K281" s="19" t="s">
        <v>18</v>
      </c>
      <c r="L281" s="19" t="s">
        <v>32</v>
      </c>
      <c r="M281" s="8">
        <v>3</v>
      </c>
      <c r="N281" s="33">
        <f t="shared" si="32"/>
        <v>0</v>
      </c>
      <c r="O281" s="23">
        <f t="shared" si="33"/>
        <v>1.6084980446041647E-2</v>
      </c>
      <c r="P281" s="59">
        <f t="shared" si="34"/>
        <v>1.2043024439918535</v>
      </c>
      <c r="Q281" s="30">
        <f t="shared" si="35"/>
        <v>0</v>
      </c>
      <c r="R281" s="30">
        <f t="shared" si="36"/>
        <v>-1</v>
      </c>
      <c r="S281" s="12">
        <f t="shared" si="37"/>
        <v>0</v>
      </c>
      <c r="T281" s="30">
        <f t="shared" si="38"/>
        <v>0</v>
      </c>
      <c r="U281" s="9" t="str">
        <f t="shared" si="39"/>
        <v>55+</v>
      </c>
    </row>
    <row r="282" spans="1:21">
      <c r="A282" t="s">
        <v>314</v>
      </c>
      <c r="B282" s="8">
        <v>3417</v>
      </c>
      <c r="C282" s="23">
        <v>5.5030000000000003E-2</v>
      </c>
      <c r="D282" s="19" t="s">
        <v>32</v>
      </c>
      <c r="E282" s="21">
        <v>79.790000000000006</v>
      </c>
      <c r="F282" s="21">
        <v>0.127</v>
      </c>
      <c r="G282" s="23">
        <v>0</v>
      </c>
      <c r="H282" s="26">
        <v>0</v>
      </c>
      <c r="I282" s="19" t="s">
        <v>34</v>
      </c>
      <c r="J282" s="8">
        <v>26</v>
      </c>
      <c r="K282" s="19" t="s">
        <v>22</v>
      </c>
      <c r="L282" s="19" t="s">
        <v>32</v>
      </c>
      <c r="M282" s="8">
        <v>1</v>
      </c>
      <c r="N282" s="33">
        <f t="shared" si="32"/>
        <v>0</v>
      </c>
      <c r="O282" s="23">
        <f t="shared" si="33"/>
        <v>0.43330708661417322</v>
      </c>
      <c r="P282" s="59">
        <f t="shared" si="34"/>
        <v>1.5916781551572879E-3</v>
      </c>
      <c r="Q282" s="30">
        <f t="shared" si="35"/>
        <v>0</v>
      </c>
      <c r="R282" s="30">
        <f t="shared" si="36"/>
        <v>-1</v>
      </c>
      <c r="S282" s="12">
        <f t="shared" si="37"/>
        <v>0</v>
      </c>
      <c r="T282" s="30">
        <f t="shared" si="38"/>
        <v>0</v>
      </c>
      <c r="U282" s="9" t="str">
        <f t="shared" si="39"/>
        <v>25-34</v>
      </c>
    </row>
    <row r="283" spans="1:21">
      <c r="A283" t="s">
        <v>315</v>
      </c>
      <c r="B283" s="8">
        <v>9770</v>
      </c>
      <c r="C283" s="23">
        <v>0.19688</v>
      </c>
      <c r="D283" s="19" t="s">
        <v>40</v>
      </c>
      <c r="E283" s="21">
        <v>95.384</v>
      </c>
      <c r="F283" s="21">
        <v>7.577</v>
      </c>
      <c r="G283" s="23">
        <v>0</v>
      </c>
      <c r="H283" s="26">
        <v>0</v>
      </c>
      <c r="I283" s="19" t="s">
        <v>29</v>
      </c>
      <c r="J283" s="8">
        <v>47</v>
      </c>
      <c r="K283" s="19" t="s">
        <v>31</v>
      </c>
      <c r="L283" s="19" t="s">
        <v>45</v>
      </c>
      <c r="M283" s="8" t="s">
        <v>1065</v>
      </c>
      <c r="N283" s="33">
        <f t="shared" si="32"/>
        <v>0</v>
      </c>
      <c r="O283" s="23">
        <f t="shared" si="33"/>
        <v>2.5983898640622938E-2</v>
      </c>
      <c r="P283" s="59">
        <f t="shared" si="34"/>
        <v>7.94368028180827E-2</v>
      </c>
      <c r="Q283" s="30">
        <f t="shared" si="35"/>
        <v>0</v>
      </c>
      <c r="R283" s="30">
        <f t="shared" si="36"/>
        <v>-1</v>
      </c>
      <c r="S283" s="12">
        <f t="shared" si="37"/>
        <v>0</v>
      </c>
      <c r="T283" s="30">
        <f t="shared" si="38"/>
        <v>0</v>
      </c>
      <c r="U283" s="9" t="str">
        <f t="shared" si="39"/>
        <v>45-54</v>
      </c>
    </row>
    <row r="284" spans="1:21">
      <c r="A284" t="s">
        <v>316</v>
      </c>
      <c r="B284" s="8">
        <v>1762</v>
      </c>
      <c r="C284" s="23">
        <v>0</v>
      </c>
      <c r="D284" s="19" t="s">
        <v>15</v>
      </c>
      <c r="E284" s="21">
        <v>4.6790000000000003</v>
      </c>
      <c r="F284" s="21">
        <v>4.1829999999999998</v>
      </c>
      <c r="G284" s="23">
        <v>0.40760999999999997</v>
      </c>
      <c r="H284" s="26">
        <v>1</v>
      </c>
      <c r="I284" s="19" t="s">
        <v>26</v>
      </c>
      <c r="J284" s="8">
        <v>41</v>
      </c>
      <c r="K284" s="19" t="s">
        <v>22</v>
      </c>
      <c r="L284" s="19" t="s">
        <v>19</v>
      </c>
      <c r="M284" s="8" t="s">
        <v>1065</v>
      </c>
      <c r="N284" s="33">
        <f t="shared" si="32"/>
        <v>0.23906287353573991</v>
      </c>
      <c r="O284" s="23">
        <f t="shared" si="33"/>
        <v>0</v>
      </c>
      <c r="P284" s="59">
        <f t="shared" si="34"/>
        <v>0.89399444325710609</v>
      </c>
      <c r="Q284" s="30">
        <f t="shared" si="35"/>
        <v>0</v>
      </c>
      <c r="R284" s="30">
        <f t="shared" si="36"/>
        <v>0</v>
      </c>
      <c r="S284" s="12" t="e">
        <f t="shared" si="37"/>
        <v>#DIV/0!</v>
      </c>
      <c r="T284" s="30">
        <f t="shared" si="38"/>
        <v>9.7444417881902931E-2</v>
      </c>
      <c r="U284" s="9" t="str">
        <f t="shared" si="39"/>
        <v>35-44</v>
      </c>
    </row>
    <row r="285" spans="1:21">
      <c r="A285" t="s">
        <v>317</v>
      </c>
      <c r="B285" s="8">
        <v>6745</v>
      </c>
      <c r="C285" s="23">
        <v>5.8889999999999998E-2</v>
      </c>
      <c r="D285" s="19" t="s">
        <v>28</v>
      </c>
      <c r="E285" s="21">
        <v>96.233999999999995</v>
      </c>
      <c r="F285" s="21">
        <v>8.3870000000000005</v>
      </c>
      <c r="G285" s="23">
        <v>0</v>
      </c>
      <c r="H285" s="26">
        <v>0</v>
      </c>
      <c r="I285" s="19" t="s">
        <v>17</v>
      </c>
      <c r="J285" s="8">
        <v>62</v>
      </c>
      <c r="K285" s="19" t="s">
        <v>31</v>
      </c>
      <c r="L285" s="19" t="s">
        <v>45</v>
      </c>
      <c r="M285" s="8" t="s">
        <v>1065</v>
      </c>
      <c r="N285" s="33">
        <f t="shared" si="32"/>
        <v>0</v>
      </c>
      <c r="O285" s="23">
        <f t="shared" si="33"/>
        <v>7.0215810182425176E-3</v>
      </c>
      <c r="P285" s="59">
        <f t="shared" si="34"/>
        <v>8.7152149967786863E-2</v>
      </c>
      <c r="Q285" s="30">
        <f t="shared" si="35"/>
        <v>0</v>
      </c>
      <c r="R285" s="30">
        <f t="shared" si="36"/>
        <v>-1</v>
      </c>
      <c r="S285" s="12">
        <f t="shared" si="37"/>
        <v>0</v>
      </c>
      <c r="T285" s="30">
        <f t="shared" si="38"/>
        <v>0</v>
      </c>
      <c r="U285" s="9" t="str">
        <f t="shared" si="39"/>
        <v>55+</v>
      </c>
    </row>
    <row r="286" spans="1:21">
      <c r="A286" t="s">
        <v>318</v>
      </c>
      <c r="B286" s="8">
        <v>9264</v>
      </c>
      <c r="C286" s="23">
        <v>7.2980000000000003E-2</v>
      </c>
      <c r="D286" s="19" t="s">
        <v>28</v>
      </c>
      <c r="E286" s="21">
        <v>68.113</v>
      </c>
      <c r="F286" s="21">
        <v>5.3570000000000002</v>
      </c>
      <c r="G286" s="23">
        <v>0.40248</v>
      </c>
      <c r="H286" s="26">
        <v>1</v>
      </c>
      <c r="I286" s="19" t="s">
        <v>17</v>
      </c>
      <c r="J286" s="8">
        <v>39</v>
      </c>
      <c r="K286" s="19" t="s">
        <v>37</v>
      </c>
      <c r="L286" s="19" t="s">
        <v>23</v>
      </c>
      <c r="M286" s="8">
        <v>3</v>
      </c>
      <c r="N286" s="33">
        <f t="shared" si="32"/>
        <v>0.18667164457718871</v>
      </c>
      <c r="O286" s="23">
        <f t="shared" si="33"/>
        <v>1.3623296621243234E-2</v>
      </c>
      <c r="P286" s="59">
        <f t="shared" si="34"/>
        <v>7.8648716104121094E-2</v>
      </c>
      <c r="Q286" s="30">
        <f t="shared" si="35"/>
        <v>7.2980000000000003E-2</v>
      </c>
      <c r="R286" s="30">
        <f t="shared" si="36"/>
        <v>4.5149355987941906</v>
      </c>
      <c r="S286" s="12">
        <f t="shared" si="37"/>
        <v>5.5149355987941897</v>
      </c>
      <c r="T286" s="30">
        <f t="shared" si="38"/>
        <v>7.5131603509426922E-2</v>
      </c>
      <c r="U286" s="9" t="str">
        <f t="shared" si="39"/>
        <v>35-44</v>
      </c>
    </row>
    <row r="287" spans="1:21">
      <c r="A287" t="s">
        <v>319</v>
      </c>
      <c r="B287" s="8">
        <v>3154</v>
      </c>
      <c r="C287" s="23">
        <v>0</v>
      </c>
      <c r="D287" s="19" t="s">
        <v>15</v>
      </c>
      <c r="E287" s="21">
        <v>48.917999999999999</v>
      </c>
      <c r="F287" s="21">
        <v>7.7039999999999997</v>
      </c>
      <c r="G287" s="23">
        <v>0</v>
      </c>
      <c r="H287" s="26">
        <v>0</v>
      </c>
      <c r="I287" s="19" t="s">
        <v>34</v>
      </c>
      <c r="J287" s="8">
        <v>47</v>
      </c>
      <c r="K287" s="19" t="s">
        <v>22</v>
      </c>
      <c r="L287" s="19" t="s">
        <v>32</v>
      </c>
      <c r="M287" s="8">
        <v>1</v>
      </c>
      <c r="N287" s="33">
        <f t="shared" si="32"/>
        <v>0</v>
      </c>
      <c r="O287" s="23">
        <f t="shared" si="33"/>
        <v>0</v>
      </c>
      <c r="P287" s="59">
        <f t="shared" si="34"/>
        <v>0.15748804121182386</v>
      </c>
      <c r="Q287" s="30">
        <f t="shared" si="35"/>
        <v>0</v>
      </c>
      <c r="R287" s="30">
        <f t="shared" si="36"/>
        <v>0</v>
      </c>
      <c r="S287" s="12">
        <f t="shared" si="37"/>
        <v>0</v>
      </c>
      <c r="T287" s="30">
        <f t="shared" si="38"/>
        <v>0</v>
      </c>
      <c r="U287" s="9" t="str">
        <f t="shared" si="39"/>
        <v>45-54</v>
      </c>
    </row>
    <row r="288" spans="1:21">
      <c r="A288" t="s">
        <v>320</v>
      </c>
      <c r="B288" s="8">
        <v>6257</v>
      </c>
      <c r="C288" s="23">
        <v>0.15426000000000001</v>
      </c>
      <c r="D288" s="19" t="s">
        <v>28</v>
      </c>
      <c r="E288" s="21">
        <v>16.09</v>
      </c>
      <c r="F288" s="21">
        <v>1.4650000000000001</v>
      </c>
      <c r="G288" s="23">
        <v>0</v>
      </c>
      <c r="H288" s="26">
        <v>0</v>
      </c>
      <c r="I288" s="19" t="s">
        <v>21</v>
      </c>
      <c r="J288" s="8">
        <v>57</v>
      </c>
      <c r="K288" s="19" t="s">
        <v>22</v>
      </c>
      <c r="L288" s="19" t="s">
        <v>32</v>
      </c>
      <c r="M288" s="8">
        <v>1</v>
      </c>
      <c r="N288" s="33">
        <f t="shared" si="32"/>
        <v>0</v>
      </c>
      <c r="O288" s="23">
        <f t="shared" si="33"/>
        <v>0.10529692832764505</v>
      </c>
      <c r="P288" s="59">
        <f t="shared" si="34"/>
        <v>9.1050341827221881E-2</v>
      </c>
      <c r="Q288" s="30">
        <f t="shared" si="35"/>
        <v>0</v>
      </c>
      <c r="R288" s="30">
        <f t="shared" si="36"/>
        <v>-1</v>
      </c>
      <c r="S288" s="12">
        <f t="shared" si="37"/>
        <v>0</v>
      </c>
      <c r="T288" s="30">
        <f t="shared" si="38"/>
        <v>0</v>
      </c>
      <c r="U288" s="9" t="str">
        <f t="shared" si="39"/>
        <v>55+</v>
      </c>
    </row>
    <row r="289" spans="1:21">
      <c r="A289" t="s">
        <v>321</v>
      </c>
      <c r="B289" s="8">
        <v>5494</v>
      </c>
      <c r="C289" s="23">
        <v>6.9320000000000007E-2</v>
      </c>
      <c r="D289" s="19" t="s">
        <v>28</v>
      </c>
      <c r="E289" s="21">
        <v>49.497</v>
      </c>
      <c r="F289" s="21">
        <v>0.36399999999999999</v>
      </c>
      <c r="G289" s="23">
        <v>0.24440000000000001</v>
      </c>
      <c r="H289" s="26">
        <v>1</v>
      </c>
      <c r="I289" s="19" t="s">
        <v>21</v>
      </c>
      <c r="J289" s="8">
        <v>19</v>
      </c>
      <c r="K289" s="19" t="s">
        <v>31</v>
      </c>
      <c r="L289" s="19" t="s">
        <v>19</v>
      </c>
      <c r="M289" s="8">
        <v>5</v>
      </c>
      <c r="N289" s="33">
        <f t="shared" si="32"/>
        <v>2.7472527472527473</v>
      </c>
      <c r="O289" s="23">
        <f t="shared" si="33"/>
        <v>0.19043956043956045</v>
      </c>
      <c r="P289" s="59">
        <f t="shared" si="34"/>
        <v>7.3539810493565266E-3</v>
      </c>
      <c r="Q289" s="30">
        <f t="shared" si="35"/>
        <v>6.9320000000000007E-2</v>
      </c>
      <c r="R289" s="30">
        <f t="shared" si="36"/>
        <v>2.5256780150028852</v>
      </c>
      <c r="S289" s="12">
        <f t="shared" si="37"/>
        <v>3.5256780150028848</v>
      </c>
      <c r="T289" s="30">
        <f t="shared" si="38"/>
        <v>0.67142857142857149</v>
      </c>
      <c r="U289" s="9" t="str">
        <f t="shared" si="39"/>
        <v>18-24</v>
      </c>
    </row>
    <row r="290" spans="1:21">
      <c r="A290" t="s">
        <v>322</v>
      </c>
      <c r="B290" s="8">
        <v>4861</v>
      </c>
      <c r="C290" s="23">
        <v>6.6800000000000002E-3</v>
      </c>
      <c r="D290" s="19" t="s">
        <v>15</v>
      </c>
      <c r="E290" s="21">
        <v>65.933000000000007</v>
      </c>
      <c r="F290" s="21">
        <v>8.5820000000000007</v>
      </c>
      <c r="G290" s="23">
        <v>0</v>
      </c>
      <c r="H290" s="26">
        <v>0</v>
      </c>
      <c r="I290" s="19" t="s">
        <v>34</v>
      </c>
      <c r="J290" s="8">
        <v>36</v>
      </c>
      <c r="K290" s="19" t="s">
        <v>22</v>
      </c>
      <c r="L290" s="19" t="s">
        <v>32</v>
      </c>
      <c r="M290" s="8">
        <v>4</v>
      </c>
      <c r="N290" s="33">
        <f t="shared" si="32"/>
        <v>0</v>
      </c>
      <c r="O290" s="23">
        <f t="shared" si="33"/>
        <v>7.7837333954789084E-4</v>
      </c>
      <c r="P290" s="59">
        <f t="shared" si="34"/>
        <v>0.13016243762607496</v>
      </c>
      <c r="Q290" s="30">
        <f t="shared" si="35"/>
        <v>0</v>
      </c>
      <c r="R290" s="30">
        <f t="shared" si="36"/>
        <v>-1</v>
      </c>
      <c r="S290" s="12">
        <f t="shared" si="37"/>
        <v>0</v>
      </c>
      <c r="T290" s="30">
        <f t="shared" si="38"/>
        <v>0</v>
      </c>
      <c r="U290" s="9" t="str">
        <f t="shared" si="39"/>
        <v>35-44</v>
      </c>
    </row>
    <row r="291" spans="1:21">
      <c r="A291" t="s">
        <v>323</v>
      </c>
      <c r="B291" s="8">
        <v>4822</v>
      </c>
      <c r="C291" s="23">
        <v>0</v>
      </c>
      <c r="D291" s="19" t="s">
        <v>25</v>
      </c>
      <c r="E291" s="21">
        <v>89.352000000000004</v>
      </c>
      <c r="F291" s="21">
        <v>6.3259999999999996</v>
      </c>
      <c r="G291" s="23">
        <v>0</v>
      </c>
      <c r="H291" s="26">
        <v>0</v>
      </c>
      <c r="I291" s="19" t="s">
        <v>29</v>
      </c>
      <c r="J291" s="8">
        <v>46</v>
      </c>
      <c r="K291" s="19" t="s">
        <v>22</v>
      </c>
      <c r="L291" s="19" t="s">
        <v>32</v>
      </c>
      <c r="M291" s="8">
        <v>3</v>
      </c>
      <c r="N291" s="33">
        <f t="shared" si="32"/>
        <v>0</v>
      </c>
      <c r="O291" s="23">
        <f t="shared" si="33"/>
        <v>0</v>
      </c>
      <c r="P291" s="59">
        <f t="shared" si="34"/>
        <v>7.079863909033933E-2</v>
      </c>
      <c r="Q291" s="30">
        <f t="shared" si="35"/>
        <v>0</v>
      </c>
      <c r="R291" s="30">
        <f t="shared" si="36"/>
        <v>0</v>
      </c>
      <c r="S291" s="12">
        <f t="shared" si="37"/>
        <v>0</v>
      </c>
      <c r="T291" s="30">
        <f t="shared" si="38"/>
        <v>0</v>
      </c>
      <c r="U291" s="9" t="str">
        <f t="shared" si="39"/>
        <v>45-54</v>
      </c>
    </row>
    <row r="292" spans="1:21">
      <c r="A292" t="s">
        <v>324</v>
      </c>
      <c r="B292" s="8">
        <v>2952</v>
      </c>
      <c r="C292" s="23">
        <v>4.4519999999999997E-2</v>
      </c>
      <c r="D292" s="19" t="s">
        <v>25</v>
      </c>
      <c r="E292" s="21">
        <v>32.798999999999999</v>
      </c>
      <c r="F292" s="21">
        <v>8.5630000000000006</v>
      </c>
      <c r="G292" s="23">
        <v>0.29820000000000002</v>
      </c>
      <c r="H292" s="26">
        <v>1</v>
      </c>
      <c r="I292" s="19" t="s">
        <v>29</v>
      </c>
      <c r="J292" s="8">
        <v>30</v>
      </c>
      <c r="K292" s="19" t="s">
        <v>31</v>
      </c>
      <c r="L292" s="19" t="s">
        <v>32</v>
      </c>
      <c r="M292" s="8">
        <v>2</v>
      </c>
      <c r="N292" s="33">
        <f t="shared" si="32"/>
        <v>0.11678150181011326</v>
      </c>
      <c r="O292" s="23">
        <f t="shared" si="33"/>
        <v>5.1991124605862424E-3</v>
      </c>
      <c r="P292" s="59">
        <f t="shared" si="34"/>
        <v>0.26107503277538952</v>
      </c>
      <c r="Q292" s="30">
        <f t="shared" si="35"/>
        <v>4.4519999999999997E-2</v>
      </c>
      <c r="R292" s="30">
        <f t="shared" si="36"/>
        <v>5.6981132075471708</v>
      </c>
      <c r="S292" s="12">
        <f t="shared" si="37"/>
        <v>6.6981132075471708</v>
      </c>
      <c r="T292" s="30">
        <f t="shared" si="38"/>
        <v>3.4824243839775781E-2</v>
      </c>
      <c r="U292" s="9" t="str">
        <f t="shared" si="39"/>
        <v>25-34</v>
      </c>
    </row>
    <row r="293" spans="1:21">
      <c r="A293" t="s">
        <v>325</v>
      </c>
      <c r="B293" s="8">
        <v>5219</v>
      </c>
      <c r="C293" s="23">
        <v>7.6100000000000001E-2</v>
      </c>
      <c r="D293" s="19" t="s">
        <v>28</v>
      </c>
      <c r="E293" s="21">
        <v>56.164999999999999</v>
      </c>
      <c r="F293" s="21">
        <v>6.085</v>
      </c>
      <c r="G293" s="23">
        <v>0.30568000000000001</v>
      </c>
      <c r="H293" s="26">
        <v>1</v>
      </c>
      <c r="I293" s="19" t="s">
        <v>34</v>
      </c>
      <c r="J293" s="8">
        <v>31</v>
      </c>
      <c r="K293" s="19" t="s">
        <v>18</v>
      </c>
      <c r="L293" s="19" t="s">
        <v>32</v>
      </c>
      <c r="M293" s="8">
        <v>2</v>
      </c>
      <c r="N293" s="33">
        <f t="shared" si="32"/>
        <v>0.16433853738701726</v>
      </c>
      <c r="O293" s="23">
        <f t="shared" si="33"/>
        <v>1.2506162695152014E-2</v>
      </c>
      <c r="P293" s="59">
        <f t="shared" si="34"/>
        <v>0.10834149381287278</v>
      </c>
      <c r="Q293" s="30">
        <f t="shared" si="35"/>
        <v>7.6100000000000001E-2</v>
      </c>
      <c r="R293" s="30">
        <f t="shared" si="36"/>
        <v>3.0168199737187913</v>
      </c>
      <c r="S293" s="12">
        <f t="shared" si="37"/>
        <v>4.0168199737187908</v>
      </c>
      <c r="T293" s="30">
        <f t="shared" si="38"/>
        <v>5.0235004108463439E-2</v>
      </c>
      <c r="U293" s="9" t="str">
        <f t="shared" si="39"/>
        <v>25-34</v>
      </c>
    </row>
    <row r="294" spans="1:21">
      <c r="A294" t="s">
        <v>326</v>
      </c>
      <c r="B294" s="8">
        <v>3099</v>
      </c>
      <c r="C294" s="23">
        <v>0.19522</v>
      </c>
      <c r="D294" s="19" t="s">
        <v>15</v>
      </c>
      <c r="E294" s="21">
        <v>82.906999999999996</v>
      </c>
      <c r="F294" s="21">
        <v>7.64</v>
      </c>
      <c r="G294" s="23">
        <v>0.30512</v>
      </c>
      <c r="H294" s="26">
        <v>1</v>
      </c>
      <c r="I294" s="19" t="s">
        <v>34</v>
      </c>
      <c r="J294" s="8">
        <v>29</v>
      </c>
      <c r="K294" s="19" t="s">
        <v>37</v>
      </c>
      <c r="L294" s="19" t="s">
        <v>19</v>
      </c>
      <c r="M294" s="8">
        <v>2</v>
      </c>
      <c r="N294" s="33">
        <f t="shared" si="32"/>
        <v>0.13089005235602094</v>
      </c>
      <c r="O294" s="23">
        <f t="shared" si="33"/>
        <v>2.5552356020942409E-2</v>
      </c>
      <c r="P294" s="59">
        <f t="shared" si="34"/>
        <v>9.2151446801838205E-2</v>
      </c>
      <c r="Q294" s="30">
        <f t="shared" si="35"/>
        <v>0.19522</v>
      </c>
      <c r="R294" s="30">
        <f t="shared" si="36"/>
        <v>0.56295461530580881</v>
      </c>
      <c r="S294" s="12">
        <f t="shared" si="37"/>
        <v>1.5629546153058087</v>
      </c>
      <c r="T294" s="30">
        <f t="shared" si="38"/>
        <v>3.9937172774869113E-2</v>
      </c>
      <c r="U294" s="9" t="str">
        <f t="shared" si="39"/>
        <v>25-34</v>
      </c>
    </row>
    <row r="295" spans="1:21">
      <c r="A295" t="s">
        <v>327</v>
      </c>
      <c r="B295" s="8">
        <v>2012</v>
      </c>
      <c r="C295" s="23">
        <v>5.9520000000000003E-2</v>
      </c>
      <c r="D295" s="19" t="s">
        <v>15</v>
      </c>
      <c r="E295" s="21">
        <v>50.557000000000002</v>
      </c>
      <c r="F295" s="21">
        <v>2.5</v>
      </c>
      <c r="G295" s="23">
        <v>0</v>
      </c>
      <c r="H295" s="26">
        <v>0</v>
      </c>
      <c r="I295" s="19" t="s">
        <v>34</v>
      </c>
      <c r="J295" s="8">
        <v>45</v>
      </c>
      <c r="K295" s="19" t="s">
        <v>22</v>
      </c>
      <c r="L295" s="19" t="s">
        <v>19</v>
      </c>
      <c r="M295" s="8">
        <v>1</v>
      </c>
      <c r="N295" s="33">
        <f t="shared" si="32"/>
        <v>0</v>
      </c>
      <c r="O295" s="23">
        <f t="shared" si="33"/>
        <v>2.3808000000000003E-2</v>
      </c>
      <c r="P295" s="59">
        <f t="shared" si="34"/>
        <v>4.9449136618074645E-2</v>
      </c>
      <c r="Q295" s="30">
        <f t="shared" si="35"/>
        <v>0</v>
      </c>
      <c r="R295" s="30">
        <f t="shared" si="36"/>
        <v>-1</v>
      </c>
      <c r="S295" s="12">
        <f t="shared" si="37"/>
        <v>0</v>
      </c>
      <c r="T295" s="30">
        <f t="shared" si="38"/>
        <v>0</v>
      </c>
      <c r="U295" s="9" t="str">
        <f t="shared" si="39"/>
        <v>45-54</v>
      </c>
    </row>
    <row r="296" spans="1:21">
      <c r="A296" t="s">
        <v>328</v>
      </c>
      <c r="B296" s="8">
        <v>1330</v>
      </c>
      <c r="C296" s="23">
        <v>9.0560000000000002E-2</v>
      </c>
      <c r="D296" s="19" t="s">
        <v>15</v>
      </c>
      <c r="E296" s="21">
        <v>71.524000000000001</v>
      </c>
      <c r="F296" s="21">
        <v>9.8659999999999997</v>
      </c>
      <c r="G296" s="23">
        <v>0</v>
      </c>
      <c r="H296" s="26">
        <v>0</v>
      </c>
      <c r="I296" s="19" t="s">
        <v>17</v>
      </c>
      <c r="J296" s="8">
        <v>22</v>
      </c>
      <c r="K296" s="19" t="s">
        <v>18</v>
      </c>
      <c r="L296" s="19" t="s">
        <v>45</v>
      </c>
      <c r="M296" s="8" t="s">
        <v>1065</v>
      </c>
      <c r="N296" s="33">
        <f t="shared" si="32"/>
        <v>0</v>
      </c>
      <c r="O296" s="23">
        <f t="shared" si="33"/>
        <v>9.1789985809852016E-3</v>
      </c>
      <c r="P296" s="59">
        <f t="shared" si="34"/>
        <v>0.13793971254404117</v>
      </c>
      <c r="Q296" s="30">
        <f t="shared" si="35"/>
        <v>0</v>
      </c>
      <c r="R296" s="30">
        <f t="shared" si="36"/>
        <v>-1</v>
      </c>
      <c r="S296" s="12">
        <f t="shared" si="37"/>
        <v>0</v>
      </c>
      <c r="T296" s="30">
        <f t="shared" si="38"/>
        <v>0</v>
      </c>
      <c r="U296" s="9" t="str">
        <f t="shared" si="39"/>
        <v>18-24</v>
      </c>
    </row>
    <row r="297" spans="1:21">
      <c r="A297" t="s">
        <v>329</v>
      </c>
      <c r="B297" s="8">
        <v>8263</v>
      </c>
      <c r="C297" s="23">
        <v>0.11817999999999999</v>
      </c>
      <c r="D297" s="19" t="s">
        <v>32</v>
      </c>
      <c r="E297" s="21">
        <v>18.288</v>
      </c>
      <c r="F297" s="21">
        <v>8.6240000000000006</v>
      </c>
      <c r="G297" s="23">
        <v>0</v>
      </c>
      <c r="H297" s="26">
        <v>0</v>
      </c>
      <c r="I297" s="19" t="s">
        <v>1067</v>
      </c>
      <c r="J297" s="8">
        <v>25</v>
      </c>
      <c r="K297" s="19" t="s">
        <v>22</v>
      </c>
      <c r="L297" s="19" t="s">
        <v>23</v>
      </c>
      <c r="M297" s="8">
        <v>1</v>
      </c>
      <c r="N297" s="33">
        <f t="shared" si="32"/>
        <v>0</v>
      </c>
      <c r="O297" s="23">
        <f t="shared" si="33"/>
        <v>1.3703617810760666E-2</v>
      </c>
      <c r="P297" s="59">
        <f t="shared" si="34"/>
        <v>0.47156605424321962</v>
      </c>
      <c r="Q297" s="30">
        <f t="shared" si="35"/>
        <v>0</v>
      </c>
      <c r="R297" s="30">
        <f t="shared" si="36"/>
        <v>-1</v>
      </c>
      <c r="S297" s="12">
        <f t="shared" si="37"/>
        <v>0</v>
      </c>
      <c r="T297" s="30">
        <f t="shared" si="38"/>
        <v>0</v>
      </c>
      <c r="U297" s="9" t="str">
        <f t="shared" si="39"/>
        <v>25-34</v>
      </c>
    </row>
    <row r="298" spans="1:21">
      <c r="A298" t="s">
        <v>330</v>
      </c>
      <c r="B298" s="8">
        <v>9970</v>
      </c>
      <c r="C298" s="23">
        <v>0.16353999999999999</v>
      </c>
      <c r="D298" s="19" t="s">
        <v>28</v>
      </c>
      <c r="E298" s="21">
        <v>51.932000000000002</v>
      </c>
      <c r="F298" s="21">
        <v>2.8460000000000001</v>
      </c>
      <c r="G298" s="23">
        <v>0.26185999999999998</v>
      </c>
      <c r="H298" s="26">
        <v>1</v>
      </c>
      <c r="I298" s="19" t="s">
        <v>1067</v>
      </c>
      <c r="J298" s="8">
        <v>44</v>
      </c>
      <c r="K298" s="19" t="s">
        <v>18</v>
      </c>
      <c r="L298" s="19" t="s">
        <v>45</v>
      </c>
      <c r="M298" s="8">
        <v>5</v>
      </c>
      <c r="N298" s="33">
        <f t="shared" si="32"/>
        <v>0.35137034434293746</v>
      </c>
      <c r="O298" s="23">
        <f t="shared" si="33"/>
        <v>5.746310611384399E-2</v>
      </c>
      <c r="P298" s="59">
        <f t="shared" si="34"/>
        <v>5.4802433952091195E-2</v>
      </c>
      <c r="Q298" s="30">
        <f t="shared" si="35"/>
        <v>0.16353999999999999</v>
      </c>
      <c r="R298" s="30">
        <f t="shared" si="36"/>
        <v>0.60119848355142469</v>
      </c>
      <c r="S298" s="12">
        <f t="shared" si="37"/>
        <v>1.6011984835514248</v>
      </c>
      <c r="T298" s="30">
        <f t="shared" si="38"/>
        <v>9.2009838369641592E-2</v>
      </c>
      <c r="U298" s="9" t="str">
        <f t="shared" si="39"/>
        <v>35-44</v>
      </c>
    </row>
    <row r="299" spans="1:21">
      <c r="A299" t="s">
        <v>331</v>
      </c>
      <c r="B299" s="8">
        <v>2176</v>
      </c>
      <c r="C299" s="23">
        <v>0</v>
      </c>
      <c r="D299" s="19" t="s">
        <v>40</v>
      </c>
      <c r="E299" s="21">
        <v>65.549000000000007</v>
      </c>
      <c r="F299" s="21">
        <v>4.4340000000000002</v>
      </c>
      <c r="G299" s="23">
        <v>8.7959999999999997E-2</v>
      </c>
      <c r="H299" s="26">
        <v>1</v>
      </c>
      <c r="I299" s="19" t="s">
        <v>29</v>
      </c>
      <c r="J299" s="8">
        <v>64</v>
      </c>
      <c r="K299" s="19" t="s">
        <v>37</v>
      </c>
      <c r="L299" s="19" t="s">
        <v>32</v>
      </c>
      <c r="M299" s="8">
        <v>5</v>
      </c>
      <c r="N299" s="33">
        <f t="shared" si="32"/>
        <v>0.22552999548940009</v>
      </c>
      <c r="O299" s="23">
        <f t="shared" si="33"/>
        <v>0</v>
      </c>
      <c r="P299" s="59">
        <f t="shared" si="34"/>
        <v>6.7644052540847308E-2</v>
      </c>
      <c r="Q299" s="30">
        <f t="shared" si="35"/>
        <v>0</v>
      </c>
      <c r="R299" s="30">
        <f t="shared" si="36"/>
        <v>0</v>
      </c>
      <c r="S299" s="12" t="e">
        <f t="shared" si="37"/>
        <v>#DIV/0!</v>
      </c>
      <c r="T299" s="30">
        <f t="shared" si="38"/>
        <v>1.9837618403247631E-2</v>
      </c>
      <c r="U299" s="9" t="str">
        <f t="shared" si="39"/>
        <v>55+</v>
      </c>
    </row>
    <row r="300" spans="1:21">
      <c r="A300" t="s">
        <v>332</v>
      </c>
      <c r="B300" s="8">
        <v>7765</v>
      </c>
      <c r="C300" s="23">
        <v>0.10253</v>
      </c>
      <c r="D300" s="19" t="s">
        <v>32</v>
      </c>
      <c r="E300" s="21">
        <v>84.667000000000002</v>
      </c>
      <c r="F300" s="21">
        <v>5.79</v>
      </c>
      <c r="G300" s="23">
        <v>0</v>
      </c>
      <c r="H300" s="26">
        <v>0</v>
      </c>
      <c r="I300" s="19" t="s">
        <v>21</v>
      </c>
      <c r="J300" s="8">
        <v>32</v>
      </c>
      <c r="K300" s="19" t="s">
        <v>37</v>
      </c>
      <c r="L300" s="19" t="s">
        <v>19</v>
      </c>
      <c r="M300" s="8">
        <v>2</v>
      </c>
      <c r="N300" s="33">
        <f t="shared" si="32"/>
        <v>0</v>
      </c>
      <c r="O300" s="23">
        <f t="shared" si="33"/>
        <v>1.7708117443868739E-2</v>
      </c>
      <c r="P300" s="59">
        <f t="shared" si="34"/>
        <v>6.8385557537175054E-2</v>
      </c>
      <c r="Q300" s="30">
        <f t="shared" si="35"/>
        <v>0</v>
      </c>
      <c r="R300" s="30">
        <f t="shared" si="36"/>
        <v>-1</v>
      </c>
      <c r="S300" s="12">
        <f t="shared" si="37"/>
        <v>0</v>
      </c>
      <c r="T300" s="30">
        <f t="shared" si="38"/>
        <v>0</v>
      </c>
      <c r="U300" s="9" t="str">
        <f t="shared" si="39"/>
        <v>25-34</v>
      </c>
    </row>
    <row r="301" spans="1:21">
      <c r="A301" t="s">
        <v>333</v>
      </c>
      <c r="B301" s="8">
        <v>7532</v>
      </c>
      <c r="C301" s="23">
        <v>0.11174000000000001</v>
      </c>
      <c r="D301" s="19" t="s">
        <v>45</v>
      </c>
      <c r="E301" s="21">
        <v>84.415000000000006</v>
      </c>
      <c r="F301" s="21">
        <v>3.1110000000000002</v>
      </c>
      <c r="G301" s="23">
        <v>0.29696</v>
      </c>
      <c r="H301" s="26">
        <v>1</v>
      </c>
      <c r="I301" s="19" t="s">
        <v>17</v>
      </c>
      <c r="J301" s="8">
        <v>41</v>
      </c>
      <c r="K301" s="19" t="s">
        <v>18</v>
      </c>
      <c r="L301" s="19" t="s">
        <v>23</v>
      </c>
      <c r="M301" s="8">
        <v>5</v>
      </c>
      <c r="N301" s="33">
        <f t="shared" si="32"/>
        <v>0.32144005143040821</v>
      </c>
      <c r="O301" s="23">
        <f t="shared" si="33"/>
        <v>3.5917711346833817E-2</v>
      </c>
      <c r="P301" s="59">
        <f t="shared" si="34"/>
        <v>3.6853639755967539E-2</v>
      </c>
      <c r="Q301" s="30">
        <f t="shared" si="35"/>
        <v>0.11174000000000001</v>
      </c>
      <c r="R301" s="30">
        <f t="shared" si="36"/>
        <v>1.6575979953463396</v>
      </c>
      <c r="S301" s="12">
        <f t="shared" si="37"/>
        <v>2.6575979953463396</v>
      </c>
      <c r="T301" s="30">
        <f t="shared" si="38"/>
        <v>9.5454837672774018E-2</v>
      </c>
      <c r="U301" s="9" t="str">
        <f t="shared" si="39"/>
        <v>35-44</v>
      </c>
    </row>
    <row r="302" spans="1:21">
      <c r="A302" t="s">
        <v>334</v>
      </c>
      <c r="B302" s="8">
        <v>7534</v>
      </c>
      <c r="C302" s="23">
        <v>3.7960000000000001E-2</v>
      </c>
      <c r="D302" s="19" t="s">
        <v>25</v>
      </c>
      <c r="E302" s="21">
        <v>12.436999999999999</v>
      </c>
      <c r="F302" s="21">
        <v>4.6319999999999997</v>
      </c>
      <c r="G302" s="23">
        <v>0</v>
      </c>
      <c r="H302" s="26">
        <v>0</v>
      </c>
      <c r="I302" s="19" t="s">
        <v>26</v>
      </c>
      <c r="J302" s="8">
        <v>54</v>
      </c>
      <c r="K302" s="19" t="s">
        <v>31</v>
      </c>
      <c r="L302" s="19" t="s">
        <v>45</v>
      </c>
      <c r="M302" s="8">
        <v>3</v>
      </c>
      <c r="N302" s="33">
        <f t="shared" si="32"/>
        <v>0</v>
      </c>
      <c r="O302" s="23">
        <f t="shared" si="33"/>
        <v>8.1951640759930916E-3</v>
      </c>
      <c r="P302" s="59">
        <f t="shared" si="34"/>
        <v>0.37243708289780492</v>
      </c>
      <c r="Q302" s="30">
        <f t="shared" si="35"/>
        <v>0</v>
      </c>
      <c r="R302" s="30">
        <f t="shared" si="36"/>
        <v>-1</v>
      </c>
      <c r="S302" s="12">
        <f t="shared" si="37"/>
        <v>0</v>
      </c>
      <c r="T302" s="30">
        <f t="shared" si="38"/>
        <v>0</v>
      </c>
      <c r="U302" s="9" t="str">
        <f t="shared" si="39"/>
        <v>45-54</v>
      </c>
    </row>
    <row r="303" spans="1:21">
      <c r="A303" t="s">
        <v>335</v>
      </c>
      <c r="B303" s="8">
        <v>1605</v>
      </c>
      <c r="C303" s="23">
        <v>8.2549999999999998E-2</v>
      </c>
      <c r="D303" s="19" t="s">
        <v>40</v>
      </c>
      <c r="E303" s="21">
        <v>76.146000000000001</v>
      </c>
      <c r="F303" s="21">
        <v>0.70399999999999996</v>
      </c>
      <c r="G303" s="23">
        <v>0</v>
      </c>
      <c r="H303" s="26">
        <v>0</v>
      </c>
      <c r="I303" s="19" t="s">
        <v>17</v>
      </c>
      <c r="J303" s="8">
        <v>27</v>
      </c>
      <c r="K303" s="19" t="s">
        <v>31</v>
      </c>
      <c r="L303" s="19" t="s">
        <v>23</v>
      </c>
      <c r="M303" s="8">
        <v>5</v>
      </c>
      <c r="N303" s="33">
        <f t="shared" si="32"/>
        <v>0</v>
      </c>
      <c r="O303" s="23">
        <f t="shared" si="33"/>
        <v>0.11725852272727273</v>
      </c>
      <c r="P303" s="59">
        <f t="shared" si="34"/>
        <v>9.2453970004990407E-3</v>
      </c>
      <c r="Q303" s="30">
        <f t="shared" si="35"/>
        <v>0</v>
      </c>
      <c r="R303" s="30">
        <f t="shared" si="36"/>
        <v>-1</v>
      </c>
      <c r="S303" s="12">
        <f t="shared" si="37"/>
        <v>0</v>
      </c>
      <c r="T303" s="30">
        <f t="shared" si="38"/>
        <v>0</v>
      </c>
      <c r="U303" s="9" t="str">
        <f t="shared" si="39"/>
        <v>25-34</v>
      </c>
    </row>
    <row r="304" spans="1:21">
      <c r="A304" t="s">
        <v>336</v>
      </c>
      <c r="B304" s="8">
        <v>2878</v>
      </c>
      <c r="C304" s="23">
        <v>0.18271999999999999</v>
      </c>
      <c r="D304" s="19" t="s">
        <v>32</v>
      </c>
      <c r="E304" s="21">
        <v>12.561999999999999</v>
      </c>
      <c r="F304" s="21">
        <v>7.9669999999999996</v>
      </c>
      <c r="G304" s="23">
        <v>0</v>
      </c>
      <c r="H304" s="26">
        <v>1</v>
      </c>
      <c r="I304" s="19" t="s">
        <v>21</v>
      </c>
      <c r="J304" s="8">
        <v>57</v>
      </c>
      <c r="K304" s="19" t="s">
        <v>22</v>
      </c>
      <c r="L304" s="19" t="s">
        <v>45</v>
      </c>
      <c r="M304" s="8">
        <v>4</v>
      </c>
      <c r="N304" s="33">
        <f t="shared" si="32"/>
        <v>0.125517760763148</v>
      </c>
      <c r="O304" s="23">
        <f t="shared" si="33"/>
        <v>2.2934605246642401E-2</v>
      </c>
      <c r="P304" s="59">
        <f t="shared" si="34"/>
        <v>0.63421429708645116</v>
      </c>
      <c r="Q304" s="30">
        <f t="shared" si="35"/>
        <v>0.18271999999999999</v>
      </c>
      <c r="R304" s="30">
        <f t="shared" si="36"/>
        <v>-1</v>
      </c>
      <c r="S304" s="12">
        <f t="shared" si="37"/>
        <v>0</v>
      </c>
      <c r="T304" s="30">
        <f t="shared" si="38"/>
        <v>0</v>
      </c>
      <c r="U304" s="9" t="str">
        <f t="shared" si="39"/>
        <v>55+</v>
      </c>
    </row>
    <row r="305" spans="1:21">
      <c r="A305" t="s">
        <v>337</v>
      </c>
      <c r="B305" s="8">
        <v>7238</v>
      </c>
      <c r="C305" s="23">
        <v>0</v>
      </c>
      <c r="D305" s="19" t="s">
        <v>25</v>
      </c>
      <c r="E305" s="21">
        <v>35.161000000000001</v>
      </c>
      <c r="F305" s="21">
        <v>3.0939999999999999</v>
      </c>
      <c r="G305" s="23">
        <v>0.37744</v>
      </c>
      <c r="H305" s="26">
        <v>1</v>
      </c>
      <c r="I305" s="19" t="s">
        <v>17</v>
      </c>
      <c r="J305" s="8">
        <v>24</v>
      </c>
      <c r="K305" s="19" t="s">
        <v>31</v>
      </c>
      <c r="L305" s="19" t="s">
        <v>32</v>
      </c>
      <c r="M305" s="8">
        <v>3</v>
      </c>
      <c r="N305" s="33">
        <f t="shared" si="32"/>
        <v>0.32320620555914675</v>
      </c>
      <c r="O305" s="23">
        <f t="shared" si="33"/>
        <v>0</v>
      </c>
      <c r="P305" s="59">
        <f t="shared" si="34"/>
        <v>8.7995221978897073E-2</v>
      </c>
      <c r="Q305" s="30">
        <f t="shared" si="35"/>
        <v>0</v>
      </c>
      <c r="R305" s="30">
        <f t="shared" si="36"/>
        <v>0</v>
      </c>
      <c r="S305" s="12" t="e">
        <f t="shared" si="37"/>
        <v>#DIV/0!</v>
      </c>
      <c r="T305" s="30">
        <f t="shared" si="38"/>
        <v>0.12199095022624434</v>
      </c>
      <c r="U305" s="9" t="str">
        <f t="shared" si="39"/>
        <v>18-24</v>
      </c>
    </row>
    <row r="306" spans="1:21">
      <c r="A306" t="s">
        <v>338</v>
      </c>
      <c r="B306" s="8">
        <v>5300</v>
      </c>
      <c r="C306" s="23">
        <v>0.12736</v>
      </c>
      <c r="D306" s="19" t="s">
        <v>40</v>
      </c>
      <c r="E306" s="21">
        <v>12.039</v>
      </c>
      <c r="F306" s="21">
        <v>3.621</v>
      </c>
      <c r="G306" s="23">
        <v>0</v>
      </c>
      <c r="H306" s="26">
        <v>0</v>
      </c>
      <c r="I306" s="19" t="s">
        <v>34</v>
      </c>
      <c r="J306" s="8">
        <v>20</v>
      </c>
      <c r="K306" s="19" t="s">
        <v>31</v>
      </c>
      <c r="L306" s="19" t="s">
        <v>19</v>
      </c>
      <c r="M306" s="8">
        <v>3</v>
      </c>
      <c r="N306" s="33">
        <f t="shared" si="32"/>
        <v>0</v>
      </c>
      <c r="O306" s="23">
        <f t="shared" si="33"/>
        <v>3.5172604252968795E-2</v>
      </c>
      <c r="P306" s="59">
        <f t="shared" si="34"/>
        <v>0.30077248940941942</v>
      </c>
      <c r="Q306" s="30">
        <f t="shared" si="35"/>
        <v>0</v>
      </c>
      <c r="R306" s="30">
        <f t="shared" si="36"/>
        <v>-1</v>
      </c>
      <c r="S306" s="12">
        <f t="shared" si="37"/>
        <v>0</v>
      </c>
      <c r="T306" s="30">
        <f t="shared" si="38"/>
        <v>0</v>
      </c>
      <c r="U306" s="9" t="str">
        <f t="shared" si="39"/>
        <v>18-24</v>
      </c>
    </row>
    <row r="307" spans="1:21">
      <c r="A307" t="s">
        <v>339</v>
      </c>
      <c r="B307" s="8">
        <v>7424</v>
      </c>
      <c r="C307" s="23">
        <v>3.5389999999999998E-2</v>
      </c>
      <c r="D307" s="19" t="s">
        <v>15</v>
      </c>
      <c r="E307" s="21">
        <v>87.917000000000002</v>
      </c>
      <c r="F307" s="21">
        <v>2.1960000000000002</v>
      </c>
      <c r="G307" s="23">
        <v>0</v>
      </c>
      <c r="H307" s="26">
        <v>0</v>
      </c>
      <c r="I307" s="19" t="s">
        <v>1067</v>
      </c>
      <c r="J307" s="8">
        <v>37</v>
      </c>
      <c r="K307" s="19" t="s">
        <v>37</v>
      </c>
      <c r="L307" s="19" t="s">
        <v>45</v>
      </c>
      <c r="M307" s="8">
        <v>1</v>
      </c>
      <c r="N307" s="33">
        <f t="shared" si="32"/>
        <v>0</v>
      </c>
      <c r="O307" s="23">
        <f t="shared" si="33"/>
        <v>1.6115664845173041E-2</v>
      </c>
      <c r="P307" s="59">
        <f t="shared" si="34"/>
        <v>2.4978104348419534E-2</v>
      </c>
      <c r="Q307" s="30">
        <f t="shared" si="35"/>
        <v>0</v>
      </c>
      <c r="R307" s="30">
        <f t="shared" si="36"/>
        <v>-1</v>
      </c>
      <c r="S307" s="12">
        <f t="shared" si="37"/>
        <v>0</v>
      </c>
      <c r="T307" s="30">
        <f t="shared" si="38"/>
        <v>0</v>
      </c>
      <c r="U307" s="9" t="str">
        <f t="shared" si="39"/>
        <v>35-44</v>
      </c>
    </row>
    <row r="308" spans="1:21">
      <c r="A308" t="s">
        <v>340</v>
      </c>
      <c r="B308" s="8">
        <v>2418</v>
      </c>
      <c r="C308" s="23">
        <v>0.19986000000000001</v>
      </c>
      <c r="D308" s="19" t="s">
        <v>28</v>
      </c>
      <c r="E308" s="21">
        <v>85.515000000000001</v>
      </c>
      <c r="F308" s="21">
        <v>1.4770000000000001</v>
      </c>
      <c r="G308" s="23">
        <v>0</v>
      </c>
      <c r="H308" s="26">
        <v>0</v>
      </c>
      <c r="I308" s="19" t="s">
        <v>29</v>
      </c>
      <c r="J308" s="8">
        <v>18</v>
      </c>
      <c r="K308" s="19" t="s">
        <v>37</v>
      </c>
      <c r="L308" s="19" t="s">
        <v>38</v>
      </c>
      <c r="M308" s="8">
        <v>3</v>
      </c>
      <c r="N308" s="33">
        <f t="shared" si="32"/>
        <v>0</v>
      </c>
      <c r="O308" s="23">
        <f t="shared" si="33"/>
        <v>0.13531482735274206</v>
      </c>
      <c r="P308" s="59">
        <f t="shared" si="34"/>
        <v>1.7271823656668423E-2</v>
      </c>
      <c r="Q308" s="30">
        <f t="shared" si="35"/>
        <v>0</v>
      </c>
      <c r="R308" s="30">
        <f t="shared" si="36"/>
        <v>-1</v>
      </c>
      <c r="S308" s="12">
        <f t="shared" si="37"/>
        <v>0</v>
      </c>
      <c r="T308" s="30">
        <f t="shared" si="38"/>
        <v>0</v>
      </c>
      <c r="U308" s="9" t="str">
        <f t="shared" si="39"/>
        <v>18-24</v>
      </c>
    </row>
    <row r="309" spans="1:21">
      <c r="A309" t="s">
        <v>341</v>
      </c>
      <c r="B309" s="8">
        <v>8849</v>
      </c>
      <c r="C309" s="23">
        <v>0.17599000000000001</v>
      </c>
      <c r="D309" s="19" t="s">
        <v>28</v>
      </c>
      <c r="E309" s="21">
        <v>90.164000000000001</v>
      </c>
      <c r="F309" s="21">
        <v>5.7240000000000002</v>
      </c>
      <c r="G309" s="23">
        <v>0</v>
      </c>
      <c r="H309" s="26">
        <v>1</v>
      </c>
      <c r="I309" s="19" t="s">
        <v>29</v>
      </c>
      <c r="J309" s="8">
        <v>33</v>
      </c>
      <c r="K309" s="19" t="s">
        <v>37</v>
      </c>
      <c r="L309" s="19" t="s">
        <v>38</v>
      </c>
      <c r="M309" s="8">
        <v>2</v>
      </c>
      <c r="N309" s="33">
        <f t="shared" si="32"/>
        <v>0.17470300489168414</v>
      </c>
      <c r="O309" s="23">
        <f t="shared" si="33"/>
        <v>3.0745981830887493E-2</v>
      </c>
      <c r="P309" s="59">
        <f t="shared" si="34"/>
        <v>6.3484317465950929E-2</v>
      </c>
      <c r="Q309" s="30">
        <f t="shared" si="35"/>
        <v>0.17599000000000001</v>
      </c>
      <c r="R309" s="30">
        <f t="shared" si="36"/>
        <v>-1</v>
      </c>
      <c r="S309" s="12">
        <f t="shared" si="37"/>
        <v>0</v>
      </c>
      <c r="T309" s="30">
        <f t="shared" si="38"/>
        <v>0</v>
      </c>
      <c r="U309" s="9" t="str">
        <f t="shared" si="39"/>
        <v>25-34</v>
      </c>
    </row>
    <row r="310" spans="1:21">
      <c r="A310" t="s">
        <v>342</v>
      </c>
      <c r="B310" s="8">
        <v>4202</v>
      </c>
      <c r="C310" s="23">
        <v>0</v>
      </c>
      <c r="D310" s="19" t="s">
        <v>25</v>
      </c>
      <c r="E310" s="21">
        <v>80.117000000000004</v>
      </c>
      <c r="F310" s="21">
        <v>4.032</v>
      </c>
      <c r="G310" s="23">
        <v>0</v>
      </c>
      <c r="H310" s="26">
        <v>0</v>
      </c>
      <c r="I310" s="19" t="s">
        <v>1067</v>
      </c>
      <c r="J310" s="8">
        <v>44</v>
      </c>
      <c r="K310" s="19" t="s">
        <v>31</v>
      </c>
      <c r="L310" s="19" t="s">
        <v>45</v>
      </c>
      <c r="M310" s="8">
        <v>4</v>
      </c>
      <c r="N310" s="33">
        <f t="shared" si="32"/>
        <v>0</v>
      </c>
      <c r="O310" s="23">
        <f t="shared" si="33"/>
        <v>0</v>
      </c>
      <c r="P310" s="59">
        <f t="shared" si="34"/>
        <v>5.0326397643446458E-2</v>
      </c>
      <c r="Q310" s="30">
        <f t="shared" si="35"/>
        <v>0</v>
      </c>
      <c r="R310" s="30">
        <f t="shared" si="36"/>
        <v>0</v>
      </c>
      <c r="S310" s="12">
        <f t="shared" si="37"/>
        <v>0</v>
      </c>
      <c r="T310" s="30">
        <f t="shared" si="38"/>
        <v>0</v>
      </c>
      <c r="U310" s="9" t="str">
        <f t="shared" si="39"/>
        <v>35-44</v>
      </c>
    </row>
    <row r="311" spans="1:21">
      <c r="A311" t="s">
        <v>343</v>
      </c>
      <c r="B311" s="8">
        <v>9324</v>
      </c>
      <c r="C311" s="23">
        <v>0.17039000000000001</v>
      </c>
      <c r="D311" s="19" t="s">
        <v>32</v>
      </c>
      <c r="E311" s="21">
        <v>62.573999999999998</v>
      </c>
      <c r="F311" s="21">
        <v>8.4610000000000003</v>
      </c>
      <c r="G311" s="23">
        <v>0.20200000000000001</v>
      </c>
      <c r="H311" s="26">
        <v>1</v>
      </c>
      <c r="I311" s="19" t="s">
        <v>26</v>
      </c>
      <c r="J311" s="8">
        <v>38</v>
      </c>
      <c r="K311" s="19" t="s">
        <v>18</v>
      </c>
      <c r="L311" s="19" t="s">
        <v>32</v>
      </c>
      <c r="M311" s="8">
        <v>2</v>
      </c>
      <c r="N311" s="33">
        <f t="shared" si="32"/>
        <v>0.11818933932159319</v>
      </c>
      <c r="O311" s="23">
        <f t="shared" si="33"/>
        <v>2.0138281527006266E-2</v>
      </c>
      <c r="P311" s="59">
        <f t="shared" si="34"/>
        <v>0.13521590436922684</v>
      </c>
      <c r="Q311" s="30">
        <f t="shared" si="35"/>
        <v>0.17039000000000001</v>
      </c>
      <c r="R311" s="30">
        <f t="shared" si="36"/>
        <v>0.18551558190034625</v>
      </c>
      <c r="S311" s="12">
        <f t="shared" si="37"/>
        <v>1.1855155819003462</v>
      </c>
      <c r="T311" s="30">
        <f t="shared" si="38"/>
        <v>2.3874246542961827E-2</v>
      </c>
      <c r="U311" s="9" t="str">
        <f t="shared" si="39"/>
        <v>35-44</v>
      </c>
    </row>
    <row r="312" spans="1:21">
      <c r="A312" t="s">
        <v>344</v>
      </c>
      <c r="B312" s="8">
        <v>6159</v>
      </c>
      <c r="C312" s="23">
        <v>0.18698999999999999</v>
      </c>
      <c r="D312" s="19" t="s">
        <v>15</v>
      </c>
      <c r="E312" s="21">
        <v>16.018000000000001</v>
      </c>
      <c r="F312" s="21">
        <v>0.876</v>
      </c>
      <c r="G312" s="23">
        <v>0</v>
      </c>
      <c r="H312" s="26">
        <v>0</v>
      </c>
      <c r="I312" s="19" t="s">
        <v>34</v>
      </c>
      <c r="J312" s="8">
        <v>25</v>
      </c>
      <c r="K312" s="19" t="s">
        <v>31</v>
      </c>
      <c r="L312" s="19" t="s">
        <v>19</v>
      </c>
      <c r="M312" s="8">
        <v>4</v>
      </c>
      <c r="N312" s="33">
        <f t="shared" si="32"/>
        <v>0</v>
      </c>
      <c r="O312" s="23">
        <f t="shared" si="33"/>
        <v>0.21345890410958904</v>
      </c>
      <c r="P312" s="59">
        <f t="shared" si="34"/>
        <v>5.4688475465101756E-2</v>
      </c>
      <c r="Q312" s="30">
        <f t="shared" si="35"/>
        <v>0</v>
      </c>
      <c r="R312" s="30">
        <f t="shared" si="36"/>
        <v>-1</v>
      </c>
      <c r="S312" s="12">
        <f t="shared" si="37"/>
        <v>0</v>
      </c>
      <c r="T312" s="30">
        <f t="shared" si="38"/>
        <v>0</v>
      </c>
      <c r="U312" s="9" t="str">
        <f t="shared" si="39"/>
        <v>25-34</v>
      </c>
    </row>
    <row r="313" spans="1:21">
      <c r="A313" t="s">
        <v>345</v>
      </c>
      <c r="B313" s="8">
        <v>8678</v>
      </c>
      <c r="C313" s="23">
        <v>6.3800000000000003E-3</v>
      </c>
      <c r="D313" s="19" t="s">
        <v>32</v>
      </c>
      <c r="E313" s="21">
        <v>13.686999999999999</v>
      </c>
      <c r="F313" s="21">
        <v>0.99</v>
      </c>
      <c r="G313" s="23">
        <v>0</v>
      </c>
      <c r="H313" s="26">
        <v>1</v>
      </c>
      <c r="I313" s="19" t="s">
        <v>34</v>
      </c>
      <c r="J313" s="8">
        <v>39</v>
      </c>
      <c r="K313" s="19" t="s">
        <v>37</v>
      </c>
      <c r="L313" s="19" t="s">
        <v>45</v>
      </c>
      <c r="M313" s="8">
        <v>3</v>
      </c>
      <c r="N313" s="33">
        <f t="shared" si="32"/>
        <v>1.0101010101010102</v>
      </c>
      <c r="O313" s="23">
        <f t="shared" si="33"/>
        <v>6.4444444444444445E-3</v>
      </c>
      <c r="P313" s="59">
        <f t="shared" si="34"/>
        <v>7.2331409366552205E-2</v>
      </c>
      <c r="Q313" s="30">
        <f t="shared" si="35"/>
        <v>6.3800000000000003E-3</v>
      </c>
      <c r="R313" s="30">
        <f t="shared" si="36"/>
        <v>-1</v>
      </c>
      <c r="S313" s="12">
        <f t="shared" si="37"/>
        <v>0</v>
      </c>
      <c r="T313" s="30">
        <f t="shared" si="38"/>
        <v>0</v>
      </c>
      <c r="U313" s="9" t="str">
        <f t="shared" si="39"/>
        <v>35-44</v>
      </c>
    </row>
    <row r="314" spans="1:21">
      <c r="A314" t="s">
        <v>346</v>
      </c>
      <c r="B314" s="8">
        <v>1179</v>
      </c>
      <c r="C314" s="23">
        <v>0.16006000000000001</v>
      </c>
      <c r="D314" s="19" t="s">
        <v>45</v>
      </c>
      <c r="E314" s="21">
        <v>16.550999999999998</v>
      </c>
      <c r="F314" s="21">
        <v>5.516</v>
      </c>
      <c r="G314" s="23">
        <v>0</v>
      </c>
      <c r="H314" s="26">
        <v>0</v>
      </c>
      <c r="I314" s="19" t="s">
        <v>21</v>
      </c>
      <c r="J314" s="8">
        <v>45</v>
      </c>
      <c r="K314" s="19" t="s">
        <v>31</v>
      </c>
      <c r="L314" s="19" t="s">
        <v>19</v>
      </c>
      <c r="M314" s="8">
        <v>1</v>
      </c>
      <c r="N314" s="33">
        <f t="shared" si="32"/>
        <v>0</v>
      </c>
      <c r="O314" s="23">
        <f t="shared" si="33"/>
        <v>2.9017403915881073E-2</v>
      </c>
      <c r="P314" s="59">
        <f t="shared" si="34"/>
        <v>0.33327291402332188</v>
      </c>
      <c r="Q314" s="30">
        <f t="shared" si="35"/>
        <v>0</v>
      </c>
      <c r="R314" s="30">
        <f t="shared" si="36"/>
        <v>-1</v>
      </c>
      <c r="S314" s="12">
        <f t="shared" si="37"/>
        <v>0</v>
      </c>
      <c r="T314" s="30">
        <f t="shared" si="38"/>
        <v>0</v>
      </c>
      <c r="U314" s="9" t="str">
        <f t="shared" si="39"/>
        <v>45-54</v>
      </c>
    </row>
    <row r="315" spans="1:21">
      <c r="A315" t="s">
        <v>347</v>
      </c>
      <c r="B315" s="8">
        <v>8302</v>
      </c>
      <c r="C315" s="23">
        <v>0.13189000000000001</v>
      </c>
      <c r="D315" s="19" t="s">
        <v>40</v>
      </c>
      <c r="E315" s="21">
        <v>38.454000000000001</v>
      </c>
      <c r="F315" s="21">
        <v>5.8179999999999996</v>
      </c>
      <c r="G315" s="23">
        <v>0</v>
      </c>
      <c r="H315" s="26">
        <v>0</v>
      </c>
      <c r="I315" s="19" t="s">
        <v>17</v>
      </c>
      <c r="J315" s="8">
        <v>57</v>
      </c>
      <c r="K315" s="19" t="s">
        <v>18</v>
      </c>
      <c r="L315" s="19" t="s">
        <v>32</v>
      </c>
      <c r="M315" s="8">
        <v>1</v>
      </c>
      <c r="N315" s="33">
        <f t="shared" si="32"/>
        <v>0</v>
      </c>
      <c r="O315" s="23">
        <f t="shared" si="33"/>
        <v>2.2669302165692681E-2</v>
      </c>
      <c r="P315" s="59">
        <f t="shared" si="34"/>
        <v>0.15129765434025066</v>
      </c>
      <c r="Q315" s="30">
        <f t="shared" si="35"/>
        <v>0</v>
      </c>
      <c r="R315" s="30">
        <f t="shared" si="36"/>
        <v>-1</v>
      </c>
      <c r="S315" s="12">
        <f t="shared" si="37"/>
        <v>0</v>
      </c>
      <c r="T315" s="30">
        <f t="shared" si="38"/>
        <v>0</v>
      </c>
      <c r="U315" s="9" t="str">
        <f t="shared" si="39"/>
        <v>55+</v>
      </c>
    </row>
    <row r="316" spans="1:21">
      <c r="A316" t="s">
        <v>348</v>
      </c>
      <c r="B316" s="8">
        <v>8400</v>
      </c>
      <c r="C316" s="23">
        <v>4.7210000000000002E-2</v>
      </c>
      <c r="D316" s="19" t="s">
        <v>45</v>
      </c>
      <c r="E316" s="21">
        <v>82.790999999999997</v>
      </c>
      <c r="F316" s="21">
        <v>6.21</v>
      </c>
      <c r="G316" s="23">
        <v>0</v>
      </c>
      <c r="H316" s="26">
        <v>0</v>
      </c>
      <c r="I316" s="19" t="s">
        <v>29</v>
      </c>
      <c r="J316" s="8">
        <v>60</v>
      </c>
      <c r="K316" s="19" t="s">
        <v>37</v>
      </c>
      <c r="L316" s="19" t="s">
        <v>32</v>
      </c>
      <c r="M316" s="8">
        <v>3</v>
      </c>
      <c r="N316" s="33">
        <f t="shared" si="32"/>
        <v>0</v>
      </c>
      <c r="O316" s="23">
        <f t="shared" si="33"/>
        <v>7.6022544283413851E-3</v>
      </c>
      <c r="P316" s="59">
        <f t="shared" si="34"/>
        <v>7.5008153060115226E-2</v>
      </c>
      <c r="Q316" s="30">
        <f t="shared" si="35"/>
        <v>0</v>
      </c>
      <c r="R316" s="30">
        <f t="shared" si="36"/>
        <v>-1</v>
      </c>
      <c r="S316" s="12">
        <f t="shared" si="37"/>
        <v>0</v>
      </c>
      <c r="T316" s="30">
        <f t="shared" si="38"/>
        <v>0</v>
      </c>
      <c r="U316" s="9" t="str">
        <f t="shared" si="39"/>
        <v>55+</v>
      </c>
    </row>
    <row r="317" spans="1:21">
      <c r="A317" t="s">
        <v>349</v>
      </c>
      <c r="B317" s="8">
        <v>6688</v>
      </c>
      <c r="C317" s="23">
        <v>0</v>
      </c>
      <c r="D317" s="19" t="s">
        <v>28</v>
      </c>
      <c r="E317" s="21">
        <v>3.3730000000000002</v>
      </c>
      <c r="F317" s="21">
        <v>3.3620000000000001</v>
      </c>
      <c r="G317" s="23">
        <v>0</v>
      </c>
      <c r="H317" s="26">
        <v>0</v>
      </c>
      <c r="I317" s="19" t="s">
        <v>17</v>
      </c>
      <c r="J317" s="8">
        <v>21</v>
      </c>
      <c r="K317" s="19" t="s">
        <v>18</v>
      </c>
      <c r="L317" s="19" t="s">
        <v>45</v>
      </c>
      <c r="M317" s="8">
        <v>2</v>
      </c>
      <c r="N317" s="33">
        <f t="shared" si="32"/>
        <v>0</v>
      </c>
      <c r="O317" s="23">
        <f t="shared" si="33"/>
        <v>0</v>
      </c>
      <c r="P317" s="59">
        <f t="shared" si="34"/>
        <v>0.99673880818262672</v>
      </c>
      <c r="Q317" s="30">
        <f t="shared" si="35"/>
        <v>0</v>
      </c>
      <c r="R317" s="30">
        <f t="shared" si="36"/>
        <v>0</v>
      </c>
      <c r="S317" s="12">
        <f t="shared" si="37"/>
        <v>0</v>
      </c>
      <c r="T317" s="30">
        <f t="shared" si="38"/>
        <v>0</v>
      </c>
      <c r="U317" s="9" t="str">
        <f t="shared" si="39"/>
        <v>18-24</v>
      </c>
    </row>
    <row r="318" spans="1:21">
      <c r="A318" t="s">
        <v>350</v>
      </c>
      <c r="B318" s="8">
        <v>7770</v>
      </c>
      <c r="C318" s="23">
        <v>0</v>
      </c>
      <c r="D318" s="19" t="s">
        <v>25</v>
      </c>
      <c r="E318" s="21">
        <v>15.051</v>
      </c>
      <c r="F318" s="21">
        <v>2.0409999999999999</v>
      </c>
      <c r="G318" s="23">
        <v>0.49397999999999997</v>
      </c>
      <c r="H318" s="26">
        <v>1</v>
      </c>
      <c r="I318" s="19" t="s">
        <v>29</v>
      </c>
      <c r="J318" s="8">
        <v>53</v>
      </c>
      <c r="K318" s="19" t="s">
        <v>18</v>
      </c>
      <c r="L318" s="19" t="s">
        <v>45</v>
      </c>
      <c r="M318" s="8">
        <v>4</v>
      </c>
      <c r="N318" s="33">
        <f t="shared" si="32"/>
        <v>0.48995590396864286</v>
      </c>
      <c r="O318" s="23">
        <f t="shared" si="33"/>
        <v>0</v>
      </c>
      <c r="P318" s="59">
        <f t="shared" si="34"/>
        <v>0.13560560760082385</v>
      </c>
      <c r="Q318" s="30">
        <f t="shared" si="35"/>
        <v>0</v>
      </c>
      <c r="R318" s="30">
        <f t="shared" si="36"/>
        <v>0</v>
      </c>
      <c r="S318" s="12" t="e">
        <f t="shared" si="37"/>
        <v>#DIV/0!</v>
      </c>
      <c r="T318" s="30">
        <f t="shared" si="38"/>
        <v>0.24202841744243017</v>
      </c>
      <c r="U318" s="9" t="str">
        <f t="shared" si="39"/>
        <v>45-54</v>
      </c>
    </row>
    <row r="319" spans="1:21">
      <c r="A319" t="s">
        <v>351</v>
      </c>
      <c r="B319" s="8">
        <v>7037</v>
      </c>
      <c r="C319" s="23">
        <v>1.7590000000000001E-2</v>
      </c>
      <c r="D319" s="19" t="s">
        <v>15</v>
      </c>
      <c r="E319" s="21">
        <v>17.901</v>
      </c>
      <c r="F319" s="21">
        <v>0.79300000000000004</v>
      </c>
      <c r="G319" s="23">
        <v>0</v>
      </c>
      <c r="H319" s="26">
        <v>0</v>
      </c>
      <c r="I319" s="19" t="s">
        <v>1067</v>
      </c>
      <c r="J319" s="8">
        <v>35</v>
      </c>
      <c r="K319" s="19" t="s">
        <v>37</v>
      </c>
      <c r="L319" s="19" t="s">
        <v>23</v>
      </c>
      <c r="M319" s="8" t="s">
        <v>1065</v>
      </c>
      <c r="N319" s="33">
        <f t="shared" si="32"/>
        <v>0</v>
      </c>
      <c r="O319" s="23">
        <f t="shared" si="33"/>
        <v>2.2181588902900378E-2</v>
      </c>
      <c r="P319" s="59">
        <f t="shared" si="34"/>
        <v>4.4299201161946265E-2</v>
      </c>
      <c r="Q319" s="30">
        <f t="shared" si="35"/>
        <v>0</v>
      </c>
      <c r="R319" s="30">
        <f t="shared" si="36"/>
        <v>-1</v>
      </c>
      <c r="S319" s="12">
        <f t="shared" si="37"/>
        <v>0</v>
      </c>
      <c r="T319" s="30">
        <f t="shared" si="38"/>
        <v>0</v>
      </c>
      <c r="U319" s="9" t="str">
        <f t="shared" si="39"/>
        <v>35-44</v>
      </c>
    </row>
    <row r="320" spans="1:21">
      <c r="A320" t="s">
        <v>352</v>
      </c>
      <c r="B320" s="8">
        <v>6462</v>
      </c>
      <c r="C320" s="23">
        <v>0</v>
      </c>
      <c r="D320" s="19" t="s">
        <v>32</v>
      </c>
      <c r="E320" s="21">
        <v>18.204000000000001</v>
      </c>
      <c r="F320" s="21">
        <v>1.038</v>
      </c>
      <c r="G320" s="23">
        <v>0</v>
      </c>
      <c r="H320" s="26">
        <v>0</v>
      </c>
      <c r="I320" s="19" t="s">
        <v>21</v>
      </c>
      <c r="J320" s="8">
        <v>57</v>
      </c>
      <c r="K320" s="19" t="s">
        <v>37</v>
      </c>
      <c r="L320" s="19" t="s">
        <v>45</v>
      </c>
      <c r="M320" s="8">
        <v>3</v>
      </c>
      <c r="N320" s="33">
        <f t="shared" si="32"/>
        <v>0</v>
      </c>
      <c r="O320" s="23">
        <f t="shared" si="33"/>
        <v>0</v>
      </c>
      <c r="P320" s="59">
        <f t="shared" si="34"/>
        <v>5.7020435069215558E-2</v>
      </c>
      <c r="Q320" s="30">
        <f t="shared" si="35"/>
        <v>0</v>
      </c>
      <c r="R320" s="30">
        <f t="shared" si="36"/>
        <v>0</v>
      </c>
      <c r="S320" s="12">
        <f t="shared" si="37"/>
        <v>0</v>
      </c>
      <c r="T320" s="30">
        <f t="shared" si="38"/>
        <v>0</v>
      </c>
      <c r="U320" s="9" t="str">
        <f t="shared" si="39"/>
        <v>55+</v>
      </c>
    </row>
    <row r="321" spans="1:21">
      <c r="A321" t="s">
        <v>353</v>
      </c>
      <c r="B321" s="8">
        <v>9508</v>
      </c>
      <c r="C321" s="23">
        <v>0.15465000000000001</v>
      </c>
      <c r="D321" s="19" t="s">
        <v>28</v>
      </c>
      <c r="E321" s="21">
        <v>68.882999999999996</v>
      </c>
      <c r="F321" s="21">
        <v>9.7989999999999995</v>
      </c>
      <c r="G321" s="23">
        <v>0</v>
      </c>
      <c r="H321" s="26">
        <v>0</v>
      </c>
      <c r="I321" s="19" t="s">
        <v>29</v>
      </c>
      <c r="J321" s="8">
        <v>52</v>
      </c>
      <c r="K321" s="19" t="s">
        <v>37</v>
      </c>
      <c r="L321" s="19" t="s">
        <v>32</v>
      </c>
      <c r="M321" s="8">
        <v>2</v>
      </c>
      <c r="N321" s="33">
        <f t="shared" si="32"/>
        <v>0</v>
      </c>
      <c r="O321" s="23">
        <f t="shared" si="33"/>
        <v>1.5782222675783244E-2</v>
      </c>
      <c r="P321" s="59">
        <f t="shared" si="34"/>
        <v>0.14225570895576559</v>
      </c>
      <c r="Q321" s="30">
        <f t="shared" si="35"/>
        <v>0</v>
      </c>
      <c r="R321" s="30">
        <f t="shared" si="36"/>
        <v>-1</v>
      </c>
      <c r="S321" s="12">
        <f t="shared" si="37"/>
        <v>0</v>
      </c>
      <c r="T321" s="30">
        <f t="shared" si="38"/>
        <v>0</v>
      </c>
      <c r="U321" s="9" t="str">
        <f t="shared" si="39"/>
        <v>45-54</v>
      </c>
    </row>
    <row r="322" spans="1:21">
      <c r="A322" t="s">
        <v>354</v>
      </c>
      <c r="B322" s="8">
        <v>3578</v>
      </c>
      <c r="C322" s="23">
        <v>0.16495000000000001</v>
      </c>
      <c r="D322" s="19" t="s">
        <v>15</v>
      </c>
      <c r="E322" s="21">
        <v>51.55</v>
      </c>
      <c r="F322" s="21">
        <v>3.26</v>
      </c>
      <c r="G322" s="23">
        <v>0</v>
      </c>
      <c r="H322" s="26">
        <v>0</v>
      </c>
      <c r="I322" s="19" t="s">
        <v>34</v>
      </c>
      <c r="J322" s="8">
        <v>42</v>
      </c>
      <c r="K322" s="19" t="s">
        <v>18</v>
      </c>
      <c r="L322" s="19" t="s">
        <v>38</v>
      </c>
      <c r="M322" s="8">
        <v>4</v>
      </c>
      <c r="N322" s="33">
        <f t="shared" ref="N322:N385" si="40">IF(F322=0,0,H322/F322)</f>
        <v>0</v>
      </c>
      <c r="O322" s="23">
        <f t="shared" ref="O322:O385" si="41">IF(F322=0,0,C322/F322)</f>
        <v>5.0598159509202462E-2</v>
      </c>
      <c r="P322" s="59">
        <f t="shared" ref="P322:P385" si="42">IF(E322=0,0,F322/E322)</f>
        <v>6.3239573229873905E-2</v>
      </c>
      <c r="Q322" s="30">
        <f t="shared" ref="Q322:Q385" si="43">IF(H322=0,0,C322/H322)</f>
        <v>0</v>
      </c>
      <c r="R322" s="30">
        <f t="shared" ref="R322:R385" si="44">IF(C322=0,0,(G322-C322)/C322)</f>
        <v>-1</v>
      </c>
      <c r="S322" s="12">
        <f t="shared" ref="S322:S385" si="45">IF(G322=0,0,G322/C322)</f>
        <v>0</v>
      </c>
      <c r="T322" s="30">
        <f t="shared" ref="T322:T385" si="46">IF(F322=0,0,G322/F322)</f>
        <v>0</v>
      </c>
      <c r="U322" s="9" t="str">
        <f t="shared" si="39"/>
        <v>35-44</v>
      </c>
    </row>
    <row r="323" spans="1:21">
      <c r="A323" t="s">
        <v>355</v>
      </c>
      <c r="B323" s="8">
        <v>1956</v>
      </c>
      <c r="C323" s="23">
        <v>5.6500000000000002E-2</v>
      </c>
      <c r="D323" s="19" t="s">
        <v>25</v>
      </c>
      <c r="E323" s="21">
        <v>44.82</v>
      </c>
      <c r="F323" s="21">
        <v>5.827</v>
      </c>
      <c r="G323" s="23">
        <v>0.23202</v>
      </c>
      <c r="H323" s="26">
        <v>1</v>
      </c>
      <c r="I323" s="19" t="s">
        <v>26</v>
      </c>
      <c r="J323" s="8">
        <v>43</v>
      </c>
      <c r="K323" s="19" t="s">
        <v>22</v>
      </c>
      <c r="L323" s="19" t="s">
        <v>45</v>
      </c>
      <c r="M323" s="8">
        <v>4</v>
      </c>
      <c r="N323" s="33">
        <f t="shared" si="40"/>
        <v>0.17161489617298781</v>
      </c>
      <c r="O323" s="23">
        <f t="shared" si="41"/>
        <v>9.6962416337738125E-3</v>
      </c>
      <c r="P323" s="59">
        <f t="shared" si="42"/>
        <v>0.13000892458723784</v>
      </c>
      <c r="Q323" s="30">
        <f t="shared" si="43"/>
        <v>5.6500000000000002E-2</v>
      </c>
      <c r="R323" s="30">
        <f t="shared" si="44"/>
        <v>3.1065486725663716</v>
      </c>
      <c r="S323" s="12">
        <f t="shared" si="45"/>
        <v>4.1065486725663716</v>
      </c>
      <c r="T323" s="30">
        <f t="shared" si="46"/>
        <v>3.9818088210056633E-2</v>
      </c>
      <c r="U323" s="9" t="str">
        <f t="shared" ref="U323:U386" si="47">IF(J323&lt;25,"18-24",IF(J323&lt;35,"25-34",IF(J323&lt;45,"35-44",IF(J323&lt;55,"45-54","55+"))))</f>
        <v>35-44</v>
      </c>
    </row>
    <row r="324" spans="1:21">
      <c r="A324" t="s">
        <v>356</v>
      </c>
      <c r="B324" s="8">
        <v>7093</v>
      </c>
      <c r="C324" s="23">
        <v>6.3829999999999998E-2</v>
      </c>
      <c r="D324" s="19" t="s">
        <v>40</v>
      </c>
      <c r="E324" s="21">
        <v>67.81</v>
      </c>
      <c r="F324" s="21">
        <v>8.1769999999999996</v>
      </c>
      <c r="G324" s="23">
        <v>0</v>
      </c>
      <c r="H324" s="26">
        <v>0</v>
      </c>
      <c r="I324" s="19" t="s">
        <v>26</v>
      </c>
      <c r="J324" s="8">
        <v>41</v>
      </c>
      <c r="K324" s="19" t="s">
        <v>18</v>
      </c>
      <c r="L324" s="19" t="s">
        <v>32</v>
      </c>
      <c r="M324" s="8" t="s">
        <v>1065</v>
      </c>
      <c r="N324" s="33">
        <f t="shared" si="40"/>
        <v>0</v>
      </c>
      <c r="O324" s="23">
        <f t="shared" si="41"/>
        <v>7.8060413354530999E-3</v>
      </c>
      <c r="P324" s="59">
        <f t="shared" si="42"/>
        <v>0.12058693408051908</v>
      </c>
      <c r="Q324" s="30">
        <f t="shared" si="43"/>
        <v>0</v>
      </c>
      <c r="R324" s="30">
        <f t="shared" si="44"/>
        <v>-1</v>
      </c>
      <c r="S324" s="12">
        <f t="shared" si="45"/>
        <v>0</v>
      </c>
      <c r="T324" s="30">
        <f t="shared" si="46"/>
        <v>0</v>
      </c>
      <c r="U324" s="9" t="str">
        <f t="shared" si="47"/>
        <v>35-44</v>
      </c>
    </row>
    <row r="325" spans="1:21">
      <c r="A325" t="s">
        <v>357</v>
      </c>
      <c r="B325" s="8">
        <v>6719</v>
      </c>
      <c r="C325" s="23">
        <v>8.8150000000000006E-2</v>
      </c>
      <c r="D325" s="19" t="s">
        <v>28</v>
      </c>
      <c r="E325" s="21">
        <v>9.6809999999999992</v>
      </c>
      <c r="F325" s="21">
        <v>5.3739999999999997</v>
      </c>
      <c r="G325" s="23">
        <v>0</v>
      </c>
      <c r="H325" s="26">
        <v>0</v>
      </c>
      <c r="I325" s="19" t="s">
        <v>21</v>
      </c>
      <c r="J325" s="8">
        <v>40</v>
      </c>
      <c r="K325" s="19" t="s">
        <v>22</v>
      </c>
      <c r="L325" s="19" t="s">
        <v>45</v>
      </c>
      <c r="M325" s="8">
        <v>5</v>
      </c>
      <c r="N325" s="33">
        <f t="shared" si="40"/>
        <v>0</v>
      </c>
      <c r="O325" s="23">
        <f t="shared" si="41"/>
        <v>1.6403051730554525E-2</v>
      </c>
      <c r="P325" s="59">
        <f t="shared" si="42"/>
        <v>0.55510794339427749</v>
      </c>
      <c r="Q325" s="30">
        <f t="shared" si="43"/>
        <v>0</v>
      </c>
      <c r="R325" s="30">
        <f t="shared" si="44"/>
        <v>-1</v>
      </c>
      <c r="S325" s="12">
        <f t="shared" si="45"/>
        <v>0</v>
      </c>
      <c r="T325" s="30">
        <f t="shared" si="46"/>
        <v>0</v>
      </c>
      <c r="U325" s="9" t="str">
        <f t="shared" si="47"/>
        <v>35-44</v>
      </c>
    </row>
    <row r="326" spans="1:21">
      <c r="A326" t="s">
        <v>358</v>
      </c>
      <c r="B326" s="8">
        <v>7452</v>
      </c>
      <c r="C326" s="23">
        <v>3.916E-2</v>
      </c>
      <c r="D326" s="19" t="s">
        <v>32</v>
      </c>
      <c r="E326" s="21">
        <v>17.565000000000001</v>
      </c>
      <c r="F326" s="21">
        <v>2.6629999999999998</v>
      </c>
      <c r="G326" s="23">
        <v>0</v>
      </c>
      <c r="H326" s="26">
        <v>0</v>
      </c>
      <c r="I326" s="19" t="s">
        <v>29</v>
      </c>
      <c r="J326" s="8">
        <v>26</v>
      </c>
      <c r="K326" s="19" t="s">
        <v>18</v>
      </c>
      <c r="L326" s="19" t="s">
        <v>23</v>
      </c>
      <c r="M326" s="8">
        <v>4</v>
      </c>
      <c r="N326" s="33">
        <f t="shared" si="40"/>
        <v>0</v>
      </c>
      <c r="O326" s="23">
        <f t="shared" si="41"/>
        <v>1.4705219677055953E-2</v>
      </c>
      <c r="P326" s="59">
        <f t="shared" si="42"/>
        <v>0.15160831198405919</v>
      </c>
      <c r="Q326" s="30">
        <f t="shared" si="43"/>
        <v>0</v>
      </c>
      <c r="R326" s="30">
        <f t="shared" si="44"/>
        <v>-1</v>
      </c>
      <c r="S326" s="12">
        <f t="shared" si="45"/>
        <v>0</v>
      </c>
      <c r="T326" s="30">
        <f t="shared" si="46"/>
        <v>0</v>
      </c>
      <c r="U326" s="9" t="str">
        <f t="shared" si="47"/>
        <v>25-34</v>
      </c>
    </row>
    <row r="327" spans="1:21">
      <c r="A327" t="s">
        <v>359</v>
      </c>
      <c r="B327" s="8">
        <v>9578</v>
      </c>
      <c r="C327" s="23">
        <v>8.3140000000000006E-2</v>
      </c>
      <c r="D327" s="19" t="s">
        <v>32</v>
      </c>
      <c r="E327" s="21">
        <v>81.158000000000001</v>
      </c>
      <c r="F327" s="21">
        <v>4.0129999999999999</v>
      </c>
      <c r="G327" s="23">
        <v>0</v>
      </c>
      <c r="H327" s="26">
        <v>0</v>
      </c>
      <c r="I327" s="19" t="s">
        <v>29</v>
      </c>
      <c r="J327" s="8">
        <v>41</v>
      </c>
      <c r="K327" s="19" t="s">
        <v>31</v>
      </c>
      <c r="L327" s="19" t="s">
        <v>23</v>
      </c>
      <c r="M327" s="8">
        <v>3</v>
      </c>
      <c r="N327" s="33">
        <f t="shared" si="40"/>
        <v>0</v>
      </c>
      <c r="O327" s="23">
        <f t="shared" si="41"/>
        <v>2.0717667580363818E-2</v>
      </c>
      <c r="P327" s="59">
        <f t="shared" si="42"/>
        <v>4.9446758175410922E-2</v>
      </c>
      <c r="Q327" s="30">
        <f t="shared" si="43"/>
        <v>0</v>
      </c>
      <c r="R327" s="30">
        <f t="shared" si="44"/>
        <v>-1</v>
      </c>
      <c r="S327" s="12">
        <f t="shared" si="45"/>
        <v>0</v>
      </c>
      <c r="T327" s="30">
        <f t="shared" si="46"/>
        <v>0</v>
      </c>
      <c r="U327" s="9" t="str">
        <f t="shared" si="47"/>
        <v>35-44</v>
      </c>
    </row>
    <row r="328" spans="1:21">
      <c r="A328" t="s">
        <v>360</v>
      </c>
      <c r="B328" s="8">
        <v>7582</v>
      </c>
      <c r="C328" s="23">
        <v>5.1249999999999997E-2</v>
      </c>
      <c r="D328" s="19" t="s">
        <v>25</v>
      </c>
      <c r="E328" s="21">
        <v>94.141999999999996</v>
      </c>
      <c r="F328" s="21">
        <v>2.2240000000000002</v>
      </c>
      <c r="G328" s="23">
        <v>0.10879</v>
      </c>
      <c r="H328" s="26">
        <v>1</v>
      </c>
      <c r="I328" s="19" t="s">
        <v>17</v>
      </c>
      <c r="J328" s="8">
        <v>41</v>
      </c>
      <c r="K328" s="19" t="s">
        <v>22</v>
      </c>
      <c r="L328" s="19" t="s">
        <v>32</v>
      </c>
      <c r="M328" s="8">
        <v>1</v>
      </c>
      <c r="N328" s="33">
        <f t="shared" si="40"/>
        <v>0.44964028776978415</v>
      </c>
      <c r="O328" s="23">
        <f t="shared" si="41"/>
        <v>2.3044064748201434E-2</v>
      </c>
      <c r="P328" s="59">
        <f t="shared" si="42"/>
        <v>2.362388731915617E-2</v>
      </c>
      <c r="Q328" s="30">
        <f t="shared" si="43"/>
        <v>5.1249999999999997E-2</v>
      </c>
      <c r="R328" s="30">
        <f t="shared" si="44"/>
        <v>1.1227317073170733</v>
      </c>
      <c r="S328" s="12">
        <f t="shared" si="45"/>
        <v>2.1227317073170733</v>
      </c>
      <c r="T328" s="30">
        <f t="shared" si="46"/>
        <v>4.8916366906474815E-2</v>
      </c>
      <c r="U328" s="9" t="str">
        <f t="shared" si="47"/>
        <v>35-44</v>
      </c>
    </row>
    <row r="329" spans="1:21">
      <c r="A329" t="s">
        <v>361</v>
      </c>
      <c r="B329" s="8">
        <v>2832</v>
      </c>
      <c r="C329" s="23">
        <v>7.4520000000000003E-2</v>
      </c>
      <c r="D329" s="19" t="s">
        <v>40</v>
      </c>
      <c r="E329" s="21">
        <v>81.406000000000006</v>
      </c>
      <c r="F329" s="21">
        <v>9.2789999999999999</v>
      </c>
      <c r="G329" s="23">
        <v>0</v>
      </c>
      <c r="H329" s="26">
        <v>0</v>
      </c>
      <c r="I329" s="19" t="s">
        <v>26</v>
      </c>
      <c r="J329" s="8">
        <v>44</v>
      </c>
      <c r="K329" s="19" t="s">
        <v>18</v>
      </c>
      <c r="L329" s="19" t="s">
        <v>23</v>
      </c>
      <c r="M329" s="8">
        <v>2</v>
      </c>
      <c r="N329" s="33">
        <f t="shared" si="40"/>
        <v>0</v>
      </c>
      <c r="O329" s="23">
        <f t="shared" si="41"/>
        <v>8.0310378273520857E-3</v>
      </c>
      <c r="P329" s="59">
        <f t="shared" si="42"/>
        <v>0.11398422720683977</v>
      </c>
      <c r="Q329" s="30">
        <f t="shared" si="43"/>
        <v>0</v>
      </c>
      <c r="R329" s="30">
        <f t="shared" si="44"/>
        <v>-1</v>
      </c>
      <c r="S329" s="12">
        <f t="shared" si="45"/>
        <v>0</v>
      </c>
      <c r="T329" s="30">
        <f t="shared" si="46"/>
        <v>0</v>
      </c>
      <c r="U329" s="9" t="str">
        <f t="shared" si="47"/>
        <v>35-44</v>
      </c>
    </row>
    <row r="330" spans="1:21">
      <c r="A330" t="s">
        <v>362</v>
      </c>
      <c r="B330" s="8">
        <v>7614</v>
      </c>
      <c r="C330" s="23">
        <v>0.15115999999999999</v>
      </c>
      <c r="D330" s="19" t="s">
        <v>45</v>
      </c>
      <c r="E330" s="21">
        <v>32.686999999999998</v>
      </c>
      <c r="F330" s="21">
        <v>7.968</v>
      </c>
      <c r="G330" s="23">
        <v>0</v>
      </c>
      <c r="H330" s="26">
        <v>0</v>
      </c>
      <c r="I330" s="19" t="s">
        <v>29</v>
      </c>
      <c r="J330" s="8">
        <v>43</v>
      </c>
      <c r="K330" s="19" t="s">
        <v>18</v>
      </c>
      <c r="L330" s="19" t="s">
        <v>19</v>
      </c>
      <c r="M330" s="8">
        <v>4</v>
      </c>
      <c r="N330" s="33">
        <f t="shared" si="40"/>
        <v>0</v>
      </c>
      <c r="O330" s="23">
        <f t="shared" si="41"/>
        <v>1.8970883534136545E-2</v>
      </c>
      <c r="P330" s="59">
        <f t="shared" si="42"/>
        <v>0.24376663505369109</v>
      </c>
      <c r="Q330" s="30">
        <f t="shared" si="43"/>
        <v>0</v>
      </c>
      <c r="R330" s="30">
        <f t="shared" si="44"/>
        <v>-1</v>
      </c>
      <c r="S330" s="12">
        <f t="shared" si="45"/>
        <v>0</v>
      </c>
      <c r="T330" s="30">
        <f t="shared" si="46"/>
        <v>0</v>
      </c>
      <c r="U330" s="9" t="str">
        <f t="shared" si="47"/>
        <v>35-44</v>
      </c>
    </row>
    <row r="331" spans="1:21">
      <c r="A331" t="s">
        <v>363</v>
      </c>
      <c r="B331" s="8">
        <v>4157</v>
      </c>
      <c r="C331" s="23">
        <v>9.554E-2</v>
      </c>
      <c r="D331" s="19" t="s">
        <v>40</v>
      </c>
      <c r="E331" s="21">
        <v>72.216999999999999</v>
      </c>
      <c r="F331" s="21">
        <v>7.5979999999999999</v>
      </c>
      <c r="G331" s="23">
        <v>0</v>
      </c>
      <c r="H331" s="26">
        <v>0</v>
      </c>
      <c r="I331" s="19" t="s">
        <v>17</v>
      </c>
      <c r="J331" s="8">
        <v>39</v>
      </c>
      <c r="K331" s="19" t="s">
        <v>18</v>
      </c>
      <c r="L331" s="19" t="s">
        <v>23</v>
      </c>
      <c r="M331" s="8">
        <v>4</v>
      </c>
      <c r="N331" s="33">
        <f t="shared" si="40"/>
        <v>0</v>
      </c>
      <c r="O331" s="23">
        <f t="shared" si="41"/>
        <v>1.2574361674124769E-2</v>
      </c>
      <c r="P331" s="59">
        <f t="shared" si="42"/>
        <v>0.10521068446487669</v>
      </c>
      <c r="Q331" s="30">
        <f t="shared" si="43"/>
        <v>0</v>
      </c>
      <c r="R331" s="30">
        <f t="shared" si="44"/>
        <v>-1</v>
      </c>
      <c r="S331" s="12">
        <f t="shared" si="45"/>
        <v>0</v>
      </c>
      <c r="T331" s="30">
        <f t="shared" si="46"/>
        <v>0</v>
      </c>
      <c r="U331" s="9" t="str">
        <f t="shared" si="47"/>
        <v>35-44</v>
      </c>
    </row>
    <row r="332" spans="1:21">
      <c r="A332" t="s">
        <v>364</v>
      </c>
      <c r="B332" s="8">
        <v>5292</v>
      </c>
      <c r="C332" s="23">
        <v>0.18228</v>
      </c>
      <c r="D332" s="19" t="s">
        <v>40</v>
      </c>
      <c r="E332" s="21">
        <v>27.234999999999999</v>
      </c>
      <c r="F332" s="21">
        <v>3.9689999999999999</v>
      </c>
      <c r="G332" s="23">
        <v>0</v>
      </c>
      <c r="H332" s="26">
        <v>0</v>
      </c>
      <c r="I332" s="19" t="s">
        <v>29</v>
      </c>
      <c r="J332" s="8">
        <v>43</v>
      </c>
      <c r="K332" s="19" t="s">
        <v>18</v>
      </c>
      <c r="L332" s="19" t="s">
        <v>19</v>
      </c>
      <c r="M332" s="8">
        <v>2</v>
      </c>
      <c r="N332" s="33">
        <f t="shared" si="40"/>
        <v>0</v>
      </c>
      <c r="O332" s="23">
        <f t="shared" si="41"/>
        <v>4.5925925925925926E-2</v>
      </c>
      <c r="P332" s="59">
        <f t="shared" si="42"/>
        <v>0.14573159537360014</v>
      </c>
      <c r="Q332" s="30">
        <f t="shared" si="43"/>
        <v>0</v>
      </c>
      <c r="R332" s="30">
        <f t="shared" si="44"/>
        <v>-1</v>
      </c>
      <c r="S332" s="12">
        <f t="shared" si="45"/>
        <v>0</v>
      </c>
      <c r="T332" s="30">
        <f t="shared" si="46"/>
        <v>0</v>
      </c>
      <c r="U332" s="9" t="str">
        <f t="shared" si="47"/>
        <v>35-44</v>
      </c>
    </row>
    <row r="333" spans="1:21">
      <c r="A333" t="s">
        <v>365</v>
      </c>
      <c r="B333" s="8">
        <v>5666</v>
      </c>
      <c r="C333" s="23">
        <v>7.8649999999999998E-2</v>
      </c>
      <c r="D333" s="19" t="s">
        <v>25</v>
      </c>
      <c r="E333" s="21">
        <v>71.835999999999999</v>
      </c>
      <c r="F333" s="21">
        <v>8.9760000000000009</v>
      </c>
      <c r="G333" s="23">
        <v>0</v>
      </c>
      <c r="H333" s="26">
        <v>1</v>
      </c>
      <c r="I333" s="19" t="s">
        <v>34</v>
      </c>
      <c r="J333" s="8">
        <v>54</v>
      </c>
      <c r="K333" s="19" t="s">
        <v>22</v>
      </c>
      <c r="L333" s="19" t="s">
        <v>38</v>
      </c>
      <c r="M333" s="8">
        <v>3</v>
      </c>
      <c r="N333" s="33">
        <f t="shared" si="40"/>
        <v>0.11140819964349374</v>
      </c>
      <c r="O333" s="23">
        <f t="shared" si="41"/>
        <v>8.7622549019607827E-3</v>
      </c>
      <c r="P333" s="59">
        <f t="shared" si="42"/>
        <v>0.12495127791079683</v>
      </c>
      <c r="Q333" s="30">
        <f t="shared" si="43"/>
        <v>7.8649999999999998E-2</v>
      </c>
      <c r="R333" s="30">
        <f t="shared" si="44"/>
        <v>-1</v>
      </c>
      <c r="S333" s="12">
        <f t="shared" si="45"/>
        <v>0</v>
      </c>
      <c r="T333" s="30">
        <f t="shared" si="46"/>
        <v>0</v>
      </c>
      <c r="U333" s="9" t="str">
        <f t="shared" si="47"/>
        <v>45-54</v>
      </c>
    </row>
    <row r="334" spans="1:21">
      <c r="A334" t="s">
        <v>366</v>
      </c>
      <c r="B334" s="8">
        <v>5962</v>
      </c>
      <c r="C334" s="23">
        <v>6.6869999999999999E-2</v>
      </c>
      <c r="D334" s="19" t="s">
        <v>28</v>
      </c>
      <c r="E334" s="21">
        <v>9.6059999999999999</v>
      </c>
      <c r="F334" s="21">
        <v>6.2640000000000002</v>
      </c>
      <c r="G334" s="23">
        <v>0</v>
      </c>
      <c r="H334" s="26">
        <v>1</v>
      </c>
      <c r="I334" s="19" t="s">
        <v>21</v>
      </c>
      <c r="J334" s="8">
        <v>47</v>
      </c>
      <c r="K334" s="19" t="s">
        <v>22</v>
      </c>
      <c r="L334" s="19" t="s">
        <v>38</v>
      </c>
      <c r="M334" s="8">
        <v>4</v>
      </c>
      <c r="N334" s="33">
        <f t="shared" si="40"/>
        <v>0.15964240102171137</v>
      </c>
      <c r="O334" s="23">
        <f t="shared" si="41"/>
        <v>1.0675287356321839E-2</v>
      </c>
      <c r="P334" s="59">
        <f t="shared" si="42"/>
        <v>0.65209244222361029</v>
      </c>
      <c r="Q334" s="30">
        <f t="shared" si="43"/>
        <v>6.6869999999999999E-2</v>
      </c>
      <c r="R334" s="30">
        <f t="shared" si="44"/>
        <v>-1</v>
      </c>
      <c r="S334" s="12">
        <f t="shared" si="45"/>
        <v>0</v>
      </c>
      <c r="T334" s="30">
        <f t="shared" si="46"/>
        <v>0</v>
      </c>
      <c r="U334" s="9" t="str">
        <f t="shared" si="47"/>
        <v>45-54</v>
      </c>
    </row>
    <row r="335" spans="1:21">
      <c r="A335" t="s">
        <v>367</v>
      </c>
      <c r="B335" s="8">
        <v>3821</v>
      </c>
      <c r="C335" s="23">
        <v>0.14743000000000001</v>
      </c>
      <c r="D335" s="19" t="s">
        <v>25</v>
      </c>
      <c r="E335" s="21">
        <v>68.069999999999993</v>
      </c>
      <c r="F335" s="21">
        <v>4.7649999999999997</v>
      </c>
      <c r="G335" s="23">
        <v>0</v>
      </c>
      <c r="H335" s="26">
        <v>0</v>
      </c>
      <c r="I335" s="19" t="s">
        <v>34</v>
      </c>
      <c r="J335" s="8">
        <v>61</v>
      </c>
      <c r="K335" s="19" t="s">
        <v>22</v>
      </c>
      <c r="L335" s="19" t="s">
        <v>45</v>
      </c>
      <c r="M335" s="8">
        <v>1</v>
      </c>
      <c r="N335" s="33">
        <f t="shared" si="40"/>
        <v>0</v>
      </c>
      <c r="O335" s="23">
        <f t="shared" si="41"/>
        <v>3.0940188877229803E-2</v>
      </c>
      <c r="P335" s="59">
        <f t="shared" si="42"/>
        <v>7.0001469075951228E-2</v>
      </c>
      <c r="Q335" s="30">
        <f t="shared" si="43"/>
        <v>0</v>
      </c>
      <c r="R335" s="30">
        <f t="shared" si="44"/>
        <v>-1</v>
      </c>
      <c r="S335" s="12">
        <f t="shared" si="45"/>
        <v>0</v>
      </c>
      <c r="T335" s="30">
        <f t="shared" si="46"/>
        <v>0</v>
      </c>
      <c r="U335" s="9" t="str">
        <f t="shared" si="47"/>
        <v>55+</v>
      </c>
    </row>
    <row r="336" spans="1:21">
      <c r="A336" t="s">
        <v>368</v>
      </c>
      <c r="B336" s="8">
        <v>7219</v>
      </c>
      <c r="C336" s="23">
        <v>1.371E-2</v>
      </c>
      <c r="D336" s="19" t="s">
        <v>40</v>
      </c>
      <c r="E336" s="21">
        <v>87.894000000000005</v>
      </c>
      <c r="F336" s="21">
        <v>3.5960000000000001</v>
      </c>
      <c r="G336" s="23">
        <v>0.47943999999999998</v>
      </c>
      <c r="H336" s="26">
        <v>1</v>
      </c>
      <c r="I336" s="19" t="s">
        <v>26</v>
      </c>
      <c r="J336" s="8">
        <v>42</v>
      </c>
      <c r="K336" s="19" t="s">
        <v>37</v>
      </c>
      <c r="L336" s="19" t="s">
        <v>19</v>
      </c>
      <c r="M336" s="8">
        <v>1</v>
      </c>
      <c r="N336" s="33">
        <f t="shared" si="40"/>
        <v>0.27808676307007785</v>
      </c>
      <c r="O336" s="23">
        <f t="shared" si="41"/>
        <v>3.8125695216907674E-3</v>
      </c>
      <c r="P336" s="59">
        <f t="shared" si="42"/>
        <v>4.0912917832844106E-2</v>
      </c>
      <c r="Q336" s="30">
        <f t="shared" si="43"/>
        <v>1.371E-2</v>
      </c>
      <c r="R336" s="30">
        <f t="shared" si="44"/>
        <v>33.970094821298318</v>
      </c>
      <c r="S336" s="12">
        <f t="shared" si="45"/>
        <v>34.970094821298318</v>
      </c>
      <c r="T336" s="30">
        <f t="shared" si="46"/>
        <v>0.13332591768631813</v>
      </c>
      <c r="U336" s="9" t="str">
        <f t="shared" si="47"/>
        <v>35-44</v>
      </c>
    </row>
    <row r="337" spans="1:21">
      <c r="A337" t="s">
        <v>369</v>
      </c>
      <c r="B337" s="8">
        <v>3448</v>
      </c>
      <c r="C337" s="23">
        <v>7.2650000000000006E-2</v>
      </c>
      <c r="D337" s="19" t="s">
        <v>40</v>
      </c>
      <c r="E337" s="21">
        <v>44.027000000000001</v>
      </c>
      <c r="F337" s="21">
        <v>6.101</v>
      </c>
      <c r="G337" s="23">
        <v>0</v>
      </c>
      <c r="H337" s="26">
        <v>0</v>
      </c>
      <c r="I337" s="19" t="s">
        <v>26</v>
      </c>
      <c r="J337" s="8">
        <v>50</v>
      </c>
      <c r="K337" s="19" t="s">
        <v>22</v>
      </c>
      <c r="L337" s="19" t="s">
        <v>45</v>
      </c>
      <c r="M337" s="8">
        <v>5</v>
      </c>
      <c r="N337" s="33">
        <f t="shared" si="40"/>
        <v>0</v>
      </c>
      <c r="O337" s="23">
        <f t="shared" si="41"/>
        <v>1.1907883953450256E-2</v>
      </c>
      <c r="P337" s="59">
        <f t="shared" si="42"/>
        <v>0.13857405682876417</v>
      </c>
      <c r="Q337" s="30">
        <f t="shared" si="43"/>
        <v>0</v>
      </c>
      <c r="R337" s="30">
        <f t="shared" si="44"/>
        <v>-1</v>
      </c>
      <c r="S337" s="12">
        <f t="shared" si="45"/>
        <v>0</v>
      </c>
      <c r="T337" s="30">
        <f t="shared" si="46"/>
        <v>0</v>
      </c>
      <c r="U337" s="9" t="str">
        <f t="shared" si="47"/>
        <v>45-54</v>
      </c>
    </row>
    <row r="338" spans="1:21">
      <c r="A338" t="s">
        <v>370</v>
      </c>
      <c r="B338" s="8">
        <v>8831</v>
      </c>
      <c r="C338" s="23">
        <v>0.14530999999999999</v>
      </c>
      <c r="D338" s="19" t="s">
        <v>15</v>
      </c>
      <c r="E338" s="21">
        <v>28.783999999999999</v>
      </c>
      <c r="F338" s="21">
        <v>3.2679999999999998</v>
      </c>
      <c r="G338" s="23">
        <v>0</v>
      </c>
      <c r="H338" s="26">
        <v>0</v>
      </c>
      <c r="I338" s="19" t="s">
        <v>1067</v>
      </c>
      <c r="J338" s="8">
        <v>38</v>
      </c>
      <c r="K338" s="19" t="s">
        <v>18</v>
      </c>
      <c r="L338" s="19" t="s">
        <v>23</v>
      </c>
      <c r="M338" s="8">
        <v>2</v>
      </c>
      <c r="N338" s="33">
        <f t="shared" si="40"/>
        <v>0</v>
      </c>
      <c r="O338" s="23">
        <f t="shared" si="41"/>
        <v>4.4464504283965728E-2</v>
      </c>
      <c r="P338" s="59">
        <f t="shared" si="42"/>
        <v>0.11353529738743746</v>
      </c>
      <c r="Q338" s="30">
        <f t="shared" si="43"/>
        <v>0</v>
      </c>
      <c r="R338" s="30">
        <f t="shared" si="44"/>
        <v>-1</v>
      </c>
      <c r="S338" s="12">
        <f t="shared" si="45"/>
        <v>0</v>
      </c>
      <c r="T338" s="30">
        <f t="shared" si="46"/>
        <v>0</v>
      </c>
      <c r="U338" s="9" t="str">
        <f t="shared" si="47"/>
        <v>35-44</v>
      </c>
    </row>
    <row r="339" spans="1:21">
      <c r="A339" t="s">
        <v>371</v>
      </c>
      <c r="B339" s="8">
        <v>7792</v>
      </c>
      <c r="C339" s="23">
        <v>0</v>
      </c>
      <c r="D339" s="19" t="s">
        <v>40</v>
      </c>
      <c r="E339" s="21">
        <v>98.483000000000004</v>
      </c>
      <c r="F339" s="21">
        <v>3.4260000000000002</v>
      </c>
      <c r="G339" s="23">
        <v>0</v>
      </c>
      <c r="H339" s="26">
        <v>0</v>
      </c>
      <c r="I339" s="19" t="s">
        <v>29</v>
      </c>
      <c r="J339" s="8">
        <v>21</v>
      </c>
      <c r="K339" s="19" t="s">
        <v>18</v>
      </c>
      <c r="L339" s="19" t="s">
        <v>19</v>
      </c>
      <c r="M339" s="8">
        <v>1</v>
      </c>
      <c r="N339" s="33">
        <f t="shared" si="40"/>
        <v>0</v>
      </c>
      <c r="O339" s="23">
        <f t="shared" si="41"/>
        <v>0</v>
      </c>
      <c r="P339" s="59">
        <f t="shared" si="42"/>
        <v>3.4787729862006643E-2</v>
      </c>
      <c r="Q339" s="30">
        <f t="shared" si="43"/>
        <v>0</v>
      </c>
      <c r="R339" s="30">
        <f t="shared" si="44"/>
        <v>0</v>
      </c>
      <c r="S339" s="12">
        <f t="shared" si="45"/>
        <v>0</v>
      </c>
      <c r="T339" s="30">
        <f t="shared" si="46"/>
        <v>0</v>
      </c>
      <c r="U339" s="9" t="str">
        <f t="shared" si="47"/>
        <v>18-24</v>
      </c>
    </row>
    <row r="340" spans="1:21">
      <c r="A340" t="s">
        <v>372</v>
      </c>
      <c r="B340" s="8">
        <v>6077</v>
      </c>
      <c r="C340" s="23">
        <v>0.18404000000000001</v>
      </c>
      <c r="D340" s="19" t="s">
        <v>40</v>
      </c>
      <c r="E340" s="21">
        <v>41.957000000000001</v>
      </c>
      <c r="F340" s="21">
        <v>5.0449999999999999</v>
      </c>
      <c r="G340" s="23">
        <v>0</v>
      </c>
      <c r="H340" s="26">
        <v>0</v>
      </c>
      <c r="I340" s="19" t="s">
        <v>34</v>
      </c>
      <c r="J340" s="8">
        <v>48</v>
      </c>
      <c r="K340" s="19" t="s">
        <v>18</v>
      </c>
      <c r="L340" s="19" t="s">
        <v>45</v>
      </c>
      <c r="M340" s="8">
        <v>2</v>
      </c>
      <c r="N340" s="33">
        <f t="shared" si="40"/>
        <v>0</v>
      </c>
      <c r="O340" s="23">
        <f t="shared" si="41"/>
        <v>3.6479682854311204E-2</v>
      </c>
      <c r="P340" s="59">
        <f t="shared" si="42"/>
        <v>0.12024215268012489</v>
      </c>
      <c r="Q340" s="30">
        <f t="shared" si="43"/>
        <v>0</v>
      </c>
      <c r="R340" s="30">
        <f t="shared" si="44"/>
        <v>-1</v>
      </c>
      <c r="S340" s="12">
        <f t="shared" si="45"/>
        <v>0</v>
      </c>
      <c r="T340" s="30">
        <f t="shared" si="46"/>
        <v>0</v>
      </c>
      <c r="U340" s="9" t="str">
        <f t="shared" si="47"/>
        <v>45-54</v>
      </c>
    </row>
    <row r="341" spans="1:21">
      <c r="A341" t="s">
        <v>373</v>
      </c>
      <c r="B341" s="8">
        <v>4265</v>
      </c>
      <c r="C341" s="23">
        <v>0.19933999999999999</v>
      </c>
      <c r="D341" s="19" t="s">
        <v>28</v>
      </c>
      <c r="E341" s="21">
        <v>94.649000000000001</v>
      </c>
      <c r="F341" s="21">
        <v>9.8089999999999993</v>
      </c>
      <c r="G341" s="23">
        <v>0</v>
      </c>
      <c r="H341" s="26">
        <v>0</v>
      </c>
      <c r="I341" s="19" t="s">
        <v>17</v>
      </c>
      <c r="J341" s="8">
        <v>38</v>
      </c>
      <c r="K341" s="19" t="s">
        <v>22</v>
      </c>
      <c r="L341" s="19" t="s">
        <v>38</v>
      </c>
      <c r="M341" s="8">
        <v>3</v>
      </c>
      <c r="N341" s="33">
        <f t="shared" si="40"/>
        <v>0</v>
      </c>
      <c r="O341" s="23">
        <f t="shared" si="41"/>
        <v>2.0322153124681417E-2</v>
      </c>
      <c r="P341" s="59">
        <f t="shared" si="42"/>
        <v>0.10363553761793573</v>
      </c>
      <c r="Q341" s="30">
        <f t="shared" si="43"/>
        <v>0</v>
      </c>
      <c r="R341" s="30">
        <f t="shared" si="44"/>
        <v>-1</v>
      </c>
      <c r="S341" s="12">
        <f t="shared" si="45"/>
        <v>0</v>
      </c>
      <c r="T341" s="30">
        <f t="shared" si="46"/>
        <v>0</v>
      </c>
      <c r="U341" s="9" t="str">
        <f t="shared" si="47"/>
        <v>35-44</v>
      </c>
    </row>
    <row r="342" spans="1:21">
      <c r="A342" t="s">
        <v>374</v>
      </c>
      <c r="B342" s="8">
        <v>5905</v>
      </c>
      <c r="C342" s="23">
        <v>0.11001</v>
      </c>
      <c r="D342" s="19" t="s">
        <v>45</v>
      </c>
      <c r="E342" s="21">
        <v>62.927999999999997</v>
      </c>
      <c r="F342" s="21">
        <v>5.4630000000000001</v>
      </c>
      <c r="G342" s="23">
        <v>0</v>
      </c>
      <c r="H342" s="26">
        <v>0</v>
      </c>
      <c r="I342" s="19" t="s">
        <v>34</v>
      </c>
      <c r="J342" s="8">
        <v>41</v>
      </c>
      <c r="K342" s="19" t="s">
        <v>22</v>
      </c>
      <c r="L342" s="19" t="s">
        <v>38</v>
      </c>
      <c r="M342" s="8">
        <v>5</v>
      </c>
      <c r="N342" s="33">
        <f t="shared" si="40"/>
        <v>0</v>
      </c>
      <c r="O342" s="23">
        <f t="shared" si="41"/>
        <v>2.0137287204832509E-2</v>
      </c>
      <c r="P342" s="59">
        <f t="shared" si="42"/>
        <v>8.6813501144164765E-2</v>
      </c>
      <c r="Q342" s="30">
        <f t="shared" si="43"/>
        <v>0</v>
      </c>
      <c r="R342" s="30">
        <f t="shared" si="44"/>
        <v>-1</v>
      </c>
      <c r="S342" s="12">
        <f t="shared" si="45"/>
        <v>0</v>
      </c>
      <c r="T342" s="30">
        <f t="shared" si="46"/>
        <v>0</v>
      </c>
      <c r="U342" s="9" t="str">
        <f t="shared" si="47"/>
        <v>35-44</v>
      </c>
    </row>
    <row r="343" spans="1:21">
      <c r="A343" t="s">
        <v>375</v>
      </c>
      <c r="B343" s="8">
        <v>7546</v>
      </c>
      <c r="C343" s="23">
        <v>0.12894</v>
      </c>
      <c r="D343" s="19" t="s">
        <v>32</v>
      </c>
      <c r="E343" s="21">
        <v>25.550999999999998</v>
      </c>
      <c r="F343" s="21">
        <v>4.9320000000000004</v>
      </c>
      <c r="G343" s="23">
        <v>0.24918999999999999</v>
      </c>
      <c r="H343" s="26">
        <v>1</v>
      </c>
      <c r="I343" s="19" t="s">
        <v>34</v>
      </c>
      <c r="J343" s="8">
        <v>41</v>
      </c>
      <c r="K343" s="19" t="s">
        <v>18</v>
      </c>
      <c r="L343" s="19" t="s">
        <v>32</v>
      </c>
      <c r="M343" s="8" t="s">
        <v>1065</v>
      </c>
      <c r="N343" s="33">
        <f t="shared" si="40"/>
        <v>0.202757502027575</v>
      </c>
      <c r="O343" s="23">
        <f t="shared" si="41"/>
        <v>2.614355231143552E-2</v>
      </c>
      <c r="P343" s="59">
        <f t="shared" si="42"/>
        <v>0.19302571327932375</v>
      </c>
      <c r="Q343" s="30">
        <f t="shared" si="43"/>
        <v>0.12894</v>
      </c>
      <c r="R343" s="30">
        <f t="shared" si="44"/>
        <v>0.93260431208313943</v>
      </c>
      <c r="S343" s="12">
        <f t="shared" si="45"/>
        <v>1.9326043120831393</v>
      </c>
      <c r="T343" s="30">
        <f t="shared" si="46"/>
        <v>5.0525141930251413E-2</v>
      </c>
      <c r="U343" s="9" t="str">
        <f t="shared" si="47"/>
        <v>35-44</v>
      </c>
    </row>
    <row r="344" spans="1:21">
      <c r="A344" t="s">
        <v>376</v>
      </c>
      <c r="B344" s="8">
        <v>1231</v>
      </c>
      <c r="C344" s="23">
        <v>0</v>
      </c>
      <c r="D344" s="19" t="s">
        <v>28</v>
      </c>
      <c r="E344" s="21">
        <v>51.13</v>
      </c>
      <c r="F344" s="21">
        <v>6.79</v>
      </c>
      <c r="G344" s="23">
        <v>0</v>
      </c>
      <c r="H344" s="26">
        <v>0</v>
      </c>
      <c r="I344" s="19" t="s">
        <v>34</v>
      </c>
      <c r="J344" s="8">
        <v>53</v>
      </c>
      <c r="K344" s="19" t="s">
        <v>18</v>
      </c>
      <c r="L344" s="19" t="s">
        <v>45</v>
      </c>
      <c r="M344" s="8">
        <v>2</v>
      </c>
      <c r="N344" s="33">
        <f t="shared" si="40"/>
        <v>0</v>
      </c>
      <c r="O344" s="23">
        <f t="shared" si="41"/>
        <v>0</v>
      </c>
      <c r="P344" s="59">
        <f t="shared" si="42"/>
        <v>0.13279874828867591</v>
      </c>
      <c r="Q344" s="30">
        <f t="shared" si="43"/>
        <v>0</v>
      </c>
      <c r="R344" s="30">
        <f t="shared" si="44"/>
        <v>0</v>
      </c>
      <c r="S344" s="12">
        <f t="shared" si="45"/>
        <v>0</v>
      </c>
      <c r="T344" s="30">
        <f t="shared" si="46"/>
        <v>0</v>
      </c>
      <c r="U344" s="9" t="str">
        <f t="shared" si="47"/>
        <v>45-54</v>
      </c>
    </row>
    <row r="345" spans="1:21">
      <c r="A345" t="s">
        <v>377</v>
      </c>
      <c r="B345" s="8">
        <v>9974</v>
      </c>
      <c r="C345" s="23">
        <v>0</v>
      </c>
      <c r="D345" s="19" t="s">
        <v>45</v>
      </c>
      <c r="E345" s="21">
        <v>96.209000000000003</v>
      </c>
      <c r="F345" s="21">
        <v>5.1820000000000004</v>
      </c>
      <c r="G345" s="23">
        <v>0</v>
      </c>
      <c r="H345" s="26">
        <v>0</v>
      </c>
      <c r="I345" s="19" t="s">
        <v>26</v>
      </c>
      <c r="J345" s="8">
        <v>61</v>
      </c>
      <c r="K345" s="19" t="s">
        <v>22</v>
      </c>
      <c r="L345" s="19" t="s">
        <v>32</v>
      </c>
      <c r="M345" s="8">
        <v>1</v>
      </c>
      <c r="N345" s="33">
        <f t="shared" si="40"/>
        <v>0</v>
      </c>
      <c r="O345" s="23">
        <f t="shared" si="41"/>
        <v>0</v>
      </c>
      <c r="P345" s="59">
        <f t="shared" si="42"/>
        <v>5.3861904811400185E-2</v>
      </c>
      <c r="Q345" s="30">
        <f t="shared" si="43"/>
        <v>0</v>
      </c>
      <c r="R345" s="30">
        <f t="shared" si="44"/>
        <v>0</v>
      </c>
      <c r="S345" s="12">
        <f t="shared" si="45"/>
        <v>0</v>
      </c>
      <c r="T345" s="30">
        <f t="shared" si="46"/>
        <v>0</v>
      </c>
      <c r="U345" s="9" t="str">
        <f t="shared" si="47"/>
        <v>55+</v>
      </c>
    </row>
    <row r="346" spans="1:21">
      <c r="A346" t="s">
        <v>378</v>
      </c>
      <c r="B346" s="8">
        <v>7186</v>
      </c>
      <c r="C346" s="23">
        <v>1.8499999999999999E-2</v>
      </c>
      <c r="D346" s="19" t="s">
        <v>45</v>
      </c>
      <c r="E346" s="21">
        <v>73.039000000000001</v>
      </c>
      <c r="F346" s="21">
        <v>9.343</v>
      </c>
      <c r="G346" s="23">
        <v>0</v>
      </c>
      <c r="H346" s="26">
        <v>0</v>
      </c>
      <c r="I346" s="19" t="s">
        <v>21</v>
      </c>
      <c r="J346" s="8">
        <v>48</v>
      </c>
      <c r="K346" s="19" t="s">
        <v>31</v>
      </c>
      <c r="L346" s="19" t="s">
        <v>19</v>
      </c>
      <c r="M346" s="8">
        <v>1</v>
      </c>
      <c r="N346" s="33">
        <f t="shared" si="40"/>
        <v>0</v>
      </c>
      <c r="O346" s="23">
        <f t="shared" si="41"/>
        <v>1.980092047522209E-3</v>
      </c>
      <c r="P346" s="59">
        <f t="shared" si="42"/>
        <v>0.1279179616369337</v>
      </c>
      <c r="Q346" s="30">
        <f t="shared" si="43"/>
        <v>0</v>
      </c>
      <c r="R346" s="30">
        <f t="shared" si="44"/>
        <v>-1</v>
      </c>
      <c r="S346" s="12">
        <f t="shared" si="45"/>
        <v>0</v>
      </c>
      <c r="T346" s="30">
        <f t="shared" si="46"/>
        <v>0</v>
      </c>
      <c r="U346" s="9" t="str">
        <f t="shared" si="47"/>
        <v>45-54</v>
      </c>
    </row>
    <row r="347" spans="1:21">
      <c r="A347" t="s">
        <v>379</v>
      </c>
      <c r="B347" s="8">
        <v>9905</v>
      </c>
      <c r="C347" s="23">
        <v>3.134E-2</v>
      </c>
      <c r="D347" s="19" t="s">
        <v>28</v>
      </c>
      <c r="E347" s="21">
        <v>40.613</v>
      </c>
      <c r="F347" s="21">
        <v>7.0659999999999998</v>
      </c>
      <c r="G347" s="23">
        <v>0</v>
      </c>
      <c r="H347" s="26">
        <v>1</v>
      </c>
      <c r="I347" s="19" t="s">
        <v>21</v>
      </c>
      <c r="J347" s="8">
        <v>29</v>
      </c>
      <c r="K347" s="19" t="s">
        <v>31</v>
      </c>
      <c r="L347" s="19" t="s">
        <v>38</v>
      </c>
      <c r="M347" s="8">
        <v>5</v>
      </c>
      <c r="N347" s="33">
        <f t="shared" si="40"/>
        <v>0.14152278516841213</v>
      </c>
      <c r="O347" s="23">
        <f t="shared" si="41"/>
        <v>4.4353240871780357E-3</v>
      </c>
      <c r="P347" s="59">
        <f t="shared" si="42"/>
        <v>0.17398369980055647</v>
      </c>
      <c r="Q347" s="30">
        <f t="shared" si="43"/>
        <v>3.134E-2</v>
      </c>
      <c r="R347" s="30">
        <f t="shared" si="44"/>
        <v>-1</v>
      </c>
      <c r="S347" s="12">
        <f t="shared" si="45"/>
        <v>0</v>
      </c>
      <c r="T347" s="30">
        <f t="shared" si="46"/>
        <v>0</v>
      </c>
      <c r="U347" s="9" t="str">
        <f t="shared" si="47"/>
        <v>25-34</v>
      </c>
    </row>
    <row r="348" spans="1:21">
      <c r="A348" t="s">
        <v>380</v>
      </c>
      <c r="B348" s="8">
        <v>5731</v>
      </c>
      <c r="C348" s="23">
        <v>7.7710000000000001E-2</v>
      </c>
      <c r="D348" s="19" t="s">
        <v>25</v>
      </c>
      <c r="E348" s="21">
        <v>46.79</v>
      </c>
      <c r="F348" s="21">
        <v>1.921</v>
      </c>
      <c r="G348" s="23">
        <v>0</v>
      </c>
      <c r="H348" s="26">
        <v>0</v>
      </c>
      <c r="I348" s="19" t="s">
        <v>17</v>
      </c>
      <c r="J348" s="8">
        <v>60</v>
      </c>
      <c r="K348" s="19" t="s">
        <v>37</v>
      </c>
      <c r="L348" s="19" t="s">
        <v>45</v>
      </c>
      <c r="M348" s="8">
        <v>5</v>
      </c>
      <c r="N348" s="33">
        <f t="shared" si="40"/>
        <v>0</v>
      </c>
      <c r="O348" s="23">
        <f t="shared" si="41"/>
        <v>4.0452889120249871E-2</v>
      </c>
      <c r="P348" s="59">
        <f t="shared" si="42"/>
        <v>4.1055781149818338E-2</v>
      </c>
      <c r="Q348" s="30">
        <f t="shared" si="43"/>
        <v>0</v>
      </c>
      <c r="R348" s="30">
        <f t="shared" si="44"/>
        <v>-1</v>
      </c>
      <c r="S348" s="12">
        <f t="shared" si="45"/>
        <v>0</v>
      </c>
      <c r="T348" s="30">
        <f t="shared" si="46"/>
        <v>0</v>
      </c>
      <c r="U348" s="9" t="str">
        <f t="shared" si="47"/>
        <v>55+</v>
      </c>
    </row>
    <row r="349" spans="1:21">
      <c r="A349" t="s">
        <v>381</v>
      </c>
      <c r="B349" s="8">
        <v>9029</v>
      </c>
      <c r="C349" s="23">
        <v>3.2590000000000001E-2</v>
      </c>
      <c r="D349" s="19" t="s">
        <v>28</v>
      </c>
      <c r="E349" s="21">
        <v>73.405000000000001</v>
      </c>
      <c r="F349" s="21">
        <v>9.7379999999999995</v>
      </c>
      <c r="G349" s="23">
        <v>0</v>
      </c>
      <c r="H349" s="26">
        <v>0</v>
      </c>
      <c r="I349" s="19" t="s">
        <v>21</v>
      </c>
      <c r="J349" s="8">
        <v>55</v>
      </c>
      <c r="K349" s="19" t="s">
        <v>31</v>
      </c>
      <c r="L349" s="19" t="s">
        <v>45</v>
      </c>
      <c r="M349" s="8" t="s">
        <v>1065</v>
      </c>
      <c r="N349" s="33">
        <f t="shared" si="40"/>
        <v>0</v>
      </c>
      <c r="O349" s="23">
        <f t="shared" si="41"/>
        <v>3.3466830971452047E-3</v>
      </c>
      <c r="P349" s="59">
        <f t="shared" si="42"/>
        <v>0.13266126285675361</v>
      </c>
      <c r="Q349" s="30">
        <f t="shared" si="43"/>
        <v>0</v>
      </c>
      <c r="R349" s="30">
        <f t="shared" si="44"/>
        <v>-1</v>
      </c>
      <c r="S349" s="12">
        <f t="shared" si="45"/>
        <v>0</v>
      </c>
      <c r="T349" s="30">
        <f t="shared" si="46"/>
        <v>0</v>
      </c>
      <c r="U349" s="9" t="str">
        <f t="shared" si="47"/>
        <v>55+</v>
      </c>
    </row>
    <row r="350" spans="1:21">
      <c r="A350" t="s">
        <v>382</v>
      </c>
      <c r="B350" s="8">
        <v>2240</v>
      </c>
      <c r="C350" s="23">
        <v>0.13464000000000001</v>
      </c>
      <c r="D350" s="19" t="s">
        <v>45</v>
      </c>
      <c r="E350" s="21">
        <v>48.877000000000002</v>
      </c>
      <c r="F350" s="21">
        <v>9.2070000000000007</v>
      </c>
      <c r="G350" s="23">
        <v>0</v>
      </c>
      <c r="H350" s="26">
        <v>0</v>
      </c>
      <c r="I350" s="19" t="s">
        <v>17</v>
      </c>
      <c r="J350" s="8">
        <v>24</v>
      </c>
      <c r="K350" s="19" t="s">
        <v>31</v>
      </c>
      <c r="L350" s="19" t="s">
        <v>45</v>
      </c>
      <c r="M350" s="8">
        <v>4</v>
      </c>
      <c r="N350" s="33">
        <f t="shared" si="40"/>
        <v>0</v>
      </c>
      <c r="O350" s="23">
        <f t="shared" si="41"/>
        <v>1.4623655913978495E-2</v>
      </c>
      <c r="P350" s="59">
        <f t="shared" si="42"/>
        <v>0.18837080835566833</v>
      </c>
      <c r="Q350" s="30">
        <f t="shared" si="43"/>
        <v>0</v>
      </c>
      <c r="R350" s="30">
        <f t="shared" si="44"/>
        <v>-1</v>
      </c>
      <c r="S350" s="12">
        <f t="shared" si="45"/>
        <v>0</v>
      </c>
      <c r="T350" s="30">
        <f t="shared" si="46"/>
        <v>0</v>
      </c>
      <c r="U350" s="9" t="str">
        <f t="shared" si="47"/>
        <v>18-24</v>
      </c>
    </row>
    <row r="351" spans="1:21">
      <c r="A351" t="s">
        <v>383</v>
      </c>
      <c r="B351" s="8">
        <v>2520</v>
      </c>
      <c r="C351" s="23">
        <v>1.528E-2</v>
      </c>
      <c r="D351" s="19" t="s">
        <v>40</v>
      </c>
      <c r="E351" s="21">
        <v>69.111000000000004</v>
      </c>
      <c r="F351" s="21">
        <v>3.2869999999999999</v>
      </c>
      <c r="G351" s="23">
        <v>0.29293000000000002</v>
      </c>
      <c r="H351" s="26">
        <v>1</v>
      </c>
      <c r="I351" s="19" t="s">
        <v>21</v>
      </c>
      <c r="J351" s="8">
        <v>49</v>
      </c>
      <c r="K351" s="19" t="s">
        <v>18</v>
      </c>
      <c r="L351" s="19" t="s">
        <v>19</v>
      </c>
      <c r="M351" s="8">
        <v>2</v>
      </c>
      <c r="N351" s="33">
        <f t="shared" si="40"/>
        <v>0.30422878004259202</v>
      </c>
      <c r="O351" s="23">
        <f t="shared" si="41"/>
        <v>4.6486157590508066E-3</v>
      </c>
      <c r="P351" s="59">
        <f t="shared" si="42"/>
        <v>4.7561169712491497E-2</v>
      </c>
      <c r="Q351" s="30">
        <f t="shared" si="43"/>
        <v>1.528E-2</v>
      </c>
      <c r="R351" s="30">
        <f t="shared" si="44"/>
        <v>18.170811518324609</v>
      </c>
      <c r="S351" s="12">
        <f t="shared" si="45"/>
        <v>19.170811518324609</v>
      </c>
      <c r="T351" s="30">
        <f t="shared" si="46"/>
        <v>8.9117736537876496E-2</v>
      </c>
      <c r="U351" s="9" t="str">
        <f t="shared" si="47"/>
        <v>45-54</v>
      </c>
    </row>
    <row r="352" spans="1:21">
      <c r="A352" t="s">
        <v>384</v>
      </c>
      <c r="B352" s="8">
        <v>1577</v>
      </c>
      <c r="C352" s="23">
        <v>0.15051999999999999</v>
      </c>
      <c r="D352" s="19" t="s">
        <v>45</v>
      </c>
      <c r="E352" s="21">
        <v>17.536999999999999</v>
      </c>
      <c r="F352" s="21">
        <v>6.5339999999999998</v>
      </c>
      <c r="G352" s="23">
        <v>0.10777</v>
      </c>
      <c r="H352" s="26">
        <v>1</v>
      </c>
      <c r="I352" s="19" t="s">
        <v>34</v>
      </c>
      <c r="J352" s="8">
        <v>18</v>
      </c>
      <c r="K352" s="19" t="s">
        <v>37</v>
      </c>
      <c r="L352" s="19" t="s">
        <v>45</v>
      </c>
      <c r="M352" s="8" t="s">
        <v>1065</v>
      </c>
      <c r="N352" s="33">
        <f t="shared" si="40"/>
        <v>0.15304560759106214</v>
      </c>
      <c r="O352" s="23">
        <f t="shared" si="41"/>
        <v>2.303642485460667E-2</v>
      </c>
      <c r="P352" s="59">
        <f t="shared" si="42"/>
        <v>0.37258368021896565</v>
      </c>
      <c r="Q352" s="30">
        <f t="shared" si="43"/>
        <v>0.15051999999999999</v>
      </c>
      <c r="R352" s="30">
        <f t="shared" si="44"/>
        <v>-0.28401541323412161</v>
      </c>
      <c r="S352" s="12">
        <f t="shared" si="45"/>
        <v>0.71598458676587839</v>
      </c>
      <c r="T352" s="30">
        <f t="shared" si="46"/>
        <v>1.6493725130088767E-2</v>
      </c>
      <c r="U352" s="9" t="str">
        <f t="shared" si="47"/>
        <v>18-24</v>
      </c>
    </row>
    <row r="353" spans="1:21">
      <c r="A353" t="s">
        <v>385</v>
      </c>
      <c r="B353" s="8">
        <v>9721</v>
      </c>
      <c r="C353" s="23">
        <v>0.12822</v>
      </c>
      <c r="D353" s="19" t="s">
        <v>28</v>
      </c>
      <c r="E353" s="21">
        <v>13.446</v>
      </c>
      <c r="F353" s="21">
        <v>4.9109999999999996</v>
      </c>
      <c r="G353" s="23">
        <v>0</v>
      </c>
      <c r="H353" s="26">
        <v>0</v>
      </c>
      <c r="I353" s="19" t="s">
        <v>29</v>
      </c>
      <c r="J353" s="8">
        <v>43</v>
      </c>
      <c r="K353" s="19" t="s">
        <v>31</v>
      </c>
      <c r="L353" s="19" t="s">
        <v>32</v>
      </c>
      <c r="M353" s="8">
        <v>4</v>
      </c>
      <c r="N353" s="33">
        <f t="shared" si="40"/>
        <v>0</v>
      </c>
      <c r="O353" s="23">
        <f t="shared" si="41"/>
        <v>2.6108735491753209E-2</v>
      </c>
      <c r="P353" s="59">
        <f t="shared" si="42"/>
        <v>0.36523873270861218</v>
      </c>
      <c r="Q353" s="30">
        <f t="shared" si="43"/>
        <v>0</v>
      </c>
      <c r="R353" s="30">
        <f t="shared" si="44"/>
        <v>-1</v>
      </c>
      <c r="S353" s="12">
        <f t="shared" si="45"/>
        <v>0</v>
      </c>
      <c r="T353" s="30">
        <f t="shared" si="46"/>
        <v>0</v>
      </c>
      <c r="U353" s="9" t="str">
        <f t="shared" si="47"/>
        <v>35-44</v>
      </c>
    </row>
    <row r="354" spans="1:21">
      <c r="A354" t="s">
        <v>386</v>
      </c>
      <c r="B354" s="8">
        <v>5291</v>
      </c>
      <c r="C354" s="23">
        <v>0.17068</v>
      </c>
      <c r="D354" s="19" t="s">
        <v>28</v>
      </c>
      <c r="E354" s="21">
        <v>34.67</v>
      </c>
      <c r="F354" s="21">
        <v>1.583</v>
      </c>
      <c r="G354" s="23">
        <v>0</v>
      </c>
      <c r="H354" s="26">
        <v>0</v>
      </c>
      <c r="I354" s="19" t="s">
        <v>29</v>
      </c>
      <c r="J354" s="8">
        <v>30</v>
      </c>
      <c r="K354" s="19" t="s">
        <v>31</v>
      </c>
      <c r="L354" s="19" t="s">
        <v>38</v>
      </c>
      <c r="M354" s="8">
        <v>4</v>
      </c>
      <c r="N354" s="33">
        <f t="shared" si="40"/>
        <v>0</v>
      </c>
      <c r="O354" s="23">
        <f t="shared" si="41"/>
        <v>0.107820593809223</v>
      </c>
      <c r="P354" s="59">
        <f t="shared" si="42"/>
        <v>4.5659071243149697E-2</v>
      </c>
      <c r="Q354" s="30">
        <f t="shared" si="43"/>
        <v>0</v>
      </c>
      <c r="R354" s="30">
        <f t="shared" si="44"/>
        <v>-1</v>
      </c>
      <c r="S354" s="12">
        <f t="shared" si="45"/>
        <v>0</v>
      </c>
      <c r="T354" s="30">
        <f t="shared" si="46"/>
        <v>0</v>
      </c>
      <c r="U354" s="9" t="str">
        <f t="shared" si="47"/>
        <v>25-34</v>
      </c>
    </row>
    <row r="355" spans="1:21">
      <c r="A355" t="s">
        <v>387</v>
      </c>
      <c r="B355" s="8">
        <v>3471</v>
      </c>
      <c r="C355" s="23">
        <v>9.9930000000000005E-2</v>
      </c>
      <c r="D355" s="19" t="s">
        <v>28</v>
      </c>
      <c r="E355" s="21">
        <v>69.441999999999993</v>
      </c>
      <c r="F355" s="21">
        <v>8.548</v>
      </c>
      <c r="G355" s="23">
        <v>0.12292</v>
      </c>
      <c r="H355" s="26">
        <v>1</v>
      </c>
      <c r="I355" s="19" t="s">
        <v>17</v>
      </c>
      <c r="J355" s="8">
        <v>56</v>
      </c>
      <c r="K355" s="19" t="s">
        <v>18</v>
      </c>
      <c r="L355" s="19" t="s">
        <v>32</v>
      </c>
      <c r="M355" s="8">
        <v>4</v>
      </c>
      <c r="N355" s="33">
        <f t="shared" si="40"/>
        <v>0.1169864295741694</v>
      </c>
      <c r="O355" s="23">
        <f t="shared" si="41"/>
        <v>1.1690453907346748E-2</v>
      </c>
      <c r="P355" s="59">
        <f t="shared" si="42"/>
        <v>0.1230955329627603</v>
      </c>
      <c r="Q355" s="30">
        <f t="shared" si="43"/>
        <v>9.9930000000000005E-2</v>
      </c>
      <c r="R355" s="30">
        <f t="shared" si="44"/>
        <v>0.2300610427299109</v>
      </c>
      <c r="S355" s="12">
        <f t="shared" si="45"/>
        <v>1.2300610427299108</v>
      </c>
      <c r="T355" s="30">
        <f t="shared" si="46"/>
        <v>1.4379971923256902E-2</v>
      </c>
      <c r="U355" s="9" t="str">
        <f t="shared" si="47"/>
        <v>55+</v>
      </c>
    </row>
    <row r="356" spans="1:21">
      <c r="A356" t="s">
        <v>388</v>
      </c>
      <c r="B356" s="8">
        <v>4000</v>
      </c>
      <c r="C356" s="23">
        <v>0.16813</v>
      </c>
      <c r="D356" s="19" t="s">
        <v>40</v>
      </c>
      <c r="E356" s="21">
        <v>56.433999999999997</v>
      </c>
      <c r="F356" s="21">
        <v>4.7439999999999998</v>
      </c>
      <c r="G356" s="23">
        <v>0</v>
      </c>
      <c r="H356" s="26">
        <v>0</v>
      </c>
      <c r="I356" s="19" t="s">
        <v>17</v>
      </c>
      <c r="J356" s="8">
        <v>24</v>
      </c>
      <c r="K356" s="19" t="s">
        <v>37</v>
      </c>
      <c r="L356" s="19" t="s">
        <v>45</v>
      </c>
      <c r="M356" s="8" t="s">
        <v>1065</v>
      </c>
      <c r="N356" s="33">
        <f t="shared" si="40"/>
        <v>0</v>
      </c>
      <c r="O356" s="23">
        <f t="shared" si="41"/>
        <v>3.5440556492411471E-2</v>
      </c>
      <c r="P356" s="59">
        <f t="shared" si="42"/>
        <v>8.4062799021866252E-2</v>
      </c>
      <c r="Q356" s="30">
        <f t="shared" si="43"/>
        <v>0</v>
      </c>
      <c r="R356" s="30">
        <f t="shared" si="44"/>
        <v>-1</v>
      </c>
      <c r="S356" s="12">
        <f t="shared" si="45"/>
        <v>0</v>
      </c>
      <c r="T356" s="30">
        <f t="shared" si="46"/>
        <v>0</v>
      </c>
      <c r="U356" s="9" t="str">
        <f t="shared" si="47"/>
        <v>18-24</v>
      </c>
    </row>
    <row r="357" spans="1:21">
      <c r="A357" t="s">
        <v>389</v>
      </c>
      <c r="B357" s="8">
        <v>6266</v>
      </c>
      <c r="C357" s="23">
        <v>1.6570000000000001E-2</v>
      </c>
      <c r="D357" s="19" t="s">
        <v>40</v>
      </c>
      <c r="E357" s="21">
        <v>14.911</v>
      </c>
      <c r="F357" s="21">
        <v>6.4260000000000002</v>
      </c>
      <c r="G357" s="23">
        <v>0</v>
      </c>
      <c r="H357" s="26">
        <v>0</v>
      </c>
      <c r="I357" s="19" t="s">
        <v>34</v>
      </c>
      <c r="J357" s="8">
        <v>21</v>
      </c>
      <c r="K357" s="19" t="s">
        <v>18</v>
      </c>
      <c r="L357" s="19" t="s">
        <v>23</v>
      </c>
      <c r="M357" s="8">
        <v>3</v>
      </c>
      <c r="N357" s="33">
        <f t="shared" si="40"/>
        <v>0</v>
      </c>
      <c r="O357" s="23">
        <f t="shared" si="41"/>
        <v>2.5785869903516964E-3</v>
      </c>
      <c r="P357" s="59">
        <f t="shared" si="42"/>
        <v>0.43095701160217292</v>
      </c>
      <c r="Q357" s="30">
        <f t="shared" si="43"/>
        <v>0</v>
      </c>
      <c r="R357" s="30">
        <f t="shared" si="44"/>
        <v>-1</v>
      </c>
      <c r="S357" s="12">
        <f t="shared" si="45"/>
        <v>0</v>
      </c>
      <c r="T357" s="30">
        <f t="shared" si="46"/>
        <v>0</v>
      </c>
      <c r="U357" s="9" t="str">
        <f t="shared" si="47"/>
        <v>18-24</v>
      </c>
    </row>
    <row r="358" spans="1:21">
      <c r="A358" t="s">
        <v>390</v>
      </c>
      <c r="B358" s="8">
        <v>9368</v>
      </c>
      <c r="C358" s="23">
        <v>0</v>
      </c>
      <c r="D358" s="19" t="s">
        <v>28</v>
      </c>
      <c r="E358" s="21">
        <v>87.200999999999993</v>
      </c>
      <c r="F358" s="21">
        <v>0.19600000000000001</v>
      </c>
      <c r="G358" s="23">
        <v>1.7430000000000001E-2</v>
      </c>
      <c r="H358" s="26">
        <v>1</v>
      </c>
      <c r="I358" s="19" t="s">
        <v>26</v>
      </c>
      <c r="J358" s="8">
        <v>49</v>
      </c>
      <c r="K358" s="19" t="s">
        <v>31</v>
      </c>
      <c r="L358" s="19" t="s">
        <v>45</v>
      </c>
      <c r="M358" s="8">
        <v>3</v>
      </c>
      <c r="N358" s="33">
        <f t="shared" si="40"/>
        <v>5.1020408163265305</v>
      </c>
      <c r="O358" s="23">
        <f t="shared" si="41"/>
        <v>0</v>
      </c>
      <c r="P358" s="59">
        <f t="shared" si="42"/>
        <v>2.2476806458641531E-3</v>
      </c>
      <c r="Q358" s="30">
        <f t="shared" si="43"/>
        <v>0</v>
      </c>
      <c r="R358" s="30">
        <f t="shared" si="44"/>
        <v>0</v>
      </c>
      <c r="S358" s="12" t="e">
        <f t="shared" si="45"/>
        <v>#DIV/0!</v>
      </c>
      <c r="T358" s="30">
        <f t="shared" si="46"/>
        <v>8.8928571428571426E-2</v>
      </c>
      <c r="U358" s="9" t="str">
        <f t="shared" si="47"/>
        <v>45-54</v>
      </c>
    </row>
    <row r="359" spans="1:21">
      <c r="A359" t="s">
        <v>391</v>
      </c>
      <c r="B359" s="8">
        <v>1425</v>
      </c>
      <c r="C359" s="23">
        <v>4.292E-2</v>
      </c>
      <c r="D359" s="19" t="s">
        <v>25</v>
      </c>
      <c r="E359" s="21">
        <v>51.521999999999998</v>
      </c>
      <c r="F359" s="21">
        <v>7.0380000000000003</v>
      </c>
      <c r="G359" s="23">
        <v>0.41535</v>
      </c>
      <c r="H359" s="26">
        <v>1</v>
      </c>
      <c r="I359" s="19" t="s">
        <v>26</v>
      </c>
      <c r="J359" s="8">
        <v>46</v>
      </c>
      <c r="K359" s="19" t="s">
        <v>22</v>
      </c>
      <c r="L359" s="19" t="s">
        <v>38</v>
      </c>
      <c r="M359" s="8">
        <v>1</v>
      </c>
      <c r="N359" s="33">
        <f t="shared" si="40"/>
        <v>0.14208581983518045</v>
      </c>
      <c r="O359" s="23">
        <f t="shared" si="41"/>
        <v>6.0983233873259449E-3</v>
      </c>
      <c r="P359" s="59">
        <f t="shared" si="42"/>
        <v>0.13660183999068359</v>
      </c>
      <c r="Q359" s="30">
        <f t="shared" si="43"/>
        <v>4.292E-2</v>
      </c>
      <c r="R359" s="30">
        <f t="shared" si="44"/>
        <v>8.6773066169617898</v>
      </c>
      <c r="S359" s="12">
        <f t="shared" si="45"/>
        <v>9.6773066169617898</v>
      </c>
      <c r="T359" s="30">
        <f t="shared" si="46"/>
        <v>5.9015345268542199E-2</v>
      </c>
      <c r="U359" s="9" t="str">
        <f t="shared" si="47"/>
        <v>45-54</v>
      </c>
    </row>
    <row r="360" spans="1:21">
      <c r="A360" t="s">
        <v>392</v>
      </c>
      <c r="B360" s="8">
        <v>6448</v>
      </c>
      <c r="C360" s="23">
        <v>0.13375999999999999</v>
      </c>
      <c r="D360" s="19" t="s">
        <v>25</v>
      </c>
      <c r="E360" s="21">
        <v>43.942</v>
      </c>
      <c r="F360" s="21">
        <v>5.9420000000000002</v>
      </c>
      <c r="G360" s="23">
        <v>0</v>
      </c>
      <c r="H360" s="26">
        <v>0</v>
      </c>
      <c r="I360" s="19" t="s">
        <v>21</v>
      </c>
      <c r="J360" s="8">
        <v>40</v>
      </c>
      <c r="K360" s="19" t="s">
        <v>37</v>
      </c>
      <c r="L360" s="19" t="s">
        <v>23</v>
      </c>
      <c r="M360" s="8">
        <v>2</v>
      </c>
      <c r="N360" s="33">
        <f t="shared" si="40"/>
        <v>0</v>
      </c>
      <c r="O360" s="23">
        <f t="shared" si="41"/>
        <v>2.2510939077751597E-2</v>
      </c>
      <c r="P360" s="59">
        <f t="shared" si="42"/>
        <v>0.13522370397341951</v>
      </c>
      <c r="Q360" s="30">
        <f t="shared" si="43"/>
        <v>0</v>
      </c>
      <c r="R360" s="30">
        <f t="shared" si="44"/>
        <v>-1</v>
      </c>
      <c r="S360" s="12">
        <f t="shared" si="45"/>
        <v>0</v>
      </c>
      <c r="T360" s="30">
        <f t="shared" si="46"/>
        <v>0</v>
      </c>
      <c r="U360" s="9" t="str">
        <f t="shared" si="47"/>
        <v>35-44</v>
      </c>
    </row>
    <row r="361" spans="1:21">
      <c r="A361" t="s">
        <v>393</v>
      </c>
      <c r="B361" s="8">
        <v>2057</v>
      </c>
      <c r="C361" s="23">
        <v>0.11203</v>
      </c>
      <c r="D361" s="19" t="s">
        <v>40</v>
      </c>
      <c r="E361" s="21">
        <v>28.774999999999999</v>
      </c>
      <c r="F361" s="21">
        <v>7.9870000000000001</v>
      </c>
      <c r="G361" s="23">
        <v>0</v>
      </c>
      <c r="H361" s="26">
        <v>0</v>
      </c>
      <c r="I361" s="19" t="s">
        <v>26</v>
      </c>
      <c r="J361" s="8">
        <v>36</v>
      </c>
      <c r="K361" s="19" t="s">
        <v>37</v>
      </c>
      <c r="L361" s="19" t="s">
        <v>23</v>
      </c>
      <c r="M361" s="8">
        <v>3</v>
      </c>
      <c r="N361" s="33">
        <f t="shared" si="40"/>
        <v>0</v>
      </c>
      <c r="O361" s="23">
        <f t="shared" si="41"/>
        <v>1.402654313259046E-2</v>
      </c>
      <c r="P361" s="59">
        <f t="shared" si="42"/>
        <v>0.27756733275412687</v>
      </c>
      <c r="Q361" s="30">
        <f t="shared" si="43"/>
        <v>0</v>
      </c>
      <c r="R361" s="30">
        <f t="shared" si="44"/>
        <v>-1</v>
      </c>
      <c r="S361" s="12">
        <f t="shared" si="45"/>
        <v>0</v>
      </c>
      <c r="T361" s="30">
        <f t="shared" si="46"/>
        <v>0</v>
      </c>
      <c r="U361" s="9" t="str">
        <f t="shared" si="47"/>
        <v>35-44</v>
      </c>
    </row>
    <row r="362" spans="1:21">
      <c r="A362" t="s">
        <v>394</v>
      </c>
      <c r="B362" s="8">
        <v>1056</v>
      </c>
      <c r="C362" s="23">
        <v>5.4789999999999998E-2</v>
      </c>
      <c r="D362" s="19" t="s">
        <v>45</v>
      </c>
      <c r="E362" s="21">
        <v>5.2489999999999997</v>
      </c>
      <c r="F362" s="21">
        <v>4.2350000000000003</v>
      </c>
      <c r="G362" s="23">
        <v>0.39254</v>
      </c>
      <c r="H362" s="26">
        <v>1</v>
      </c>
      <c r="I362" s="19" t="s">
        <v>17</v>
      </c>
      <c r="J362" s="8">
        <v>33</v>
      </c>
      <c r="K362" s="19" t="s">
        <v>22</v>
      </c>
      <c r="L362" s="19" t="s">
        <v>38</v>
      </c>
      <c r="M362" s="8">
        <v>5</v>
      </c>
      <c r="N362" s="33">
        <f t="shared" si="40"/>
        <v>0.23612750885478156</v>
      </c>
      <c r="O362" s="23">
        <f t="shared" si="41"/>
        <v>1.2937426210153482E-2</v>
      </c>
      <c r="P362" s="59">
        <f t="shared" si="42"/>
        <v>0.80682034673271108</v>
      </c>
      <c r="Q362" s="30">
        <f t="shared" si="43"/>
        <v>5.4789999999999998E-2</v>
      </c>
      <c r="R362" s="30">
        <f t="shared" si="44"/>
        <v>6.1644460668005108</v>
      </c>
      <c r="S362" s="12">
        <f t="shared" si="45"/>
        <v>7.1644460668005117</v>
      </c>
      <c r="T362" s="30">
        <f t="shared" si="46"/>
        <v>9.2689492325855952E-2</v>
      </c>
      <c r="U362" s="9" t="str">
        <f t="shared" si="47"/>
        <v>25-34</v>
      </c>
    </row>
    <row r="363" spans="1:21">
      <c r="A363" t="s">
        <v>395</v>
      </c>
      <c r="B363" s="8">
        <v>2101</v>
      </c>
      <c r="C363" s="23">
        <v>0.17355000000000001</v>
      </c>
      <c r="D363" s="19" t="s">
        <v>32</v>
      </c>
      <c r="E363" s="21">
        <v>48.42</v>
      </c>
      <c r="F363" s="21">
        <v>1.4710000000000001</v>
      </c>
      <c r="G363" s="23">
        <v>0</v>
      </c>
      <c r="H363" s="26">
        <v>0</v>
      </c>
      <c r="I363" s="19" t="s">
        <v>34</v>
      </c>
      <c r="J363" s="8">
        <v>58</v>
      </c>
      <c r="K363" s="19" t="s">
        <v>37</v>
      </c>
      <c r="L363" s="19" t="s">
        <v>19</v>
      </c>
      <c r="M363" s="8" t="s">
        <v>1065</v>
      </c>
      <c r="N363" s="33">
        <f t="shared" si="40"/>
        <v>0</v>
      </c>
      <c r="O363" s="23">
        <f t="shared" si="41"/>
        <v>0.11798096532970768</v>
      </c>
      <c r="P363" s="59">
        <f t="shared" si="42"/>
        <v>3.0380008261049155E-2</v>
      </c>
      <c r="Q363" s="30">
        <f t="shared" si="43"/>
        <v>0</v>
      </c>
      <c r="R363" s="30">
        <f t="shared" si="44"/>
        <v>-1</v>
      </c>
      <c r="S363" s="12">
        <f t="shared" si="45"/>
        <v>0</v>
      </c>
      <c r="T363" s="30">
        <f t="shared" si="46"/>
        <v>0</v>
      </c>
      <c r="U363" s="9" t="str">
        <f t="shared" si="47"/>
        <v>55+</v>
      </c>
    </row>
    <row r="364" spans="1:21">
      <c r="A364" t="s">
        <v>396</v>
      </c>
      <c r="B364" s="8">
        <v>8254</v>
      </c>
      <c r="C364" s="23">
        <v>4.1739999999999999E-2</v>
      </c>
      <c r="D364" s="19" t="s">
        <v>45</v>
      </c>
      <c r="E364" s="21">
        <v>22.956</v>
      </c>
      <c r="F364" s="21">
        <v>9.6370000000000005</v>
      </c>
      <c r="G364" s="23">
        <v>0.13680999999999999</v>
      </c>
      <c r="H364" s="26">
        <v>1</v>
      </c>
      <c r="I364" s="19" t="s">
        <v>29</v>
      </c>
      <c r="J364" s="8">
        <v>64</v>
      </c>
      <c r="K364" s="19" t="s">
        <v>31</v>
      </c>
      <c r="L364" s="19" t="s">
        <v>23</v>
      </c>
      <c r="M364" s="8">
        <v>3</v>
      </c>
      <c r="N364" s="33">
        <f t="shared" si="40"/>
        <v>0.10376673238559717</v>
      </c>
      <c r="O364" s="23">
        <f t="shared" si="41"/>
        <v>4.3312234097748255E-3</v>
      </c>
      <c r="P364" s="59">
        <f t="shared" si="42"/>
        <v>0.4198031015856421</v>
      </c>
      <c r="Q364" s="30">
        <f t="shared" si="43"/>
        <v>4.1739999999999999E-2</v>
      </c>
      <c r="R364" s="30">
        <f t="shared" si="44"/>
        <v>2.2776712985146141</v>
      </c>
      <c r="S364" s="12">
        <f t="shared" si="45"/>
        <v>3.2776712985146141</v>
      </c>
      <c r="T364" s="30">
        <f t="shared" si="46"/>
        <v>1.4196326657673548E-2</v>
      </c>
      <c r="U364" s="9" t="str">
        <f t="shared" si="47"/>
        <v>55+</v>
      </c>
    </row>
    <row r="365" spans="1:21">
      <c r="A365" t="s">
        <v>397</v>
      </c>
      <c r="B365" s="8">
        <v>3539</v>
      </c>
      <c r="C365" s="23">
        <v>1.7659999999999999E-2</v>
      </c>
      <c r="D365" s="19" t="s">
        <v>15</v>
      </c>
      <c r="E365" s="21">
        <v>70.644999999999996</v>
      </c>
      <c r="F365" s="21">
        <v>3.375</v>
      </c>
      <c r="G365" s="23">
        <v>0</v>
      </c>
      <c r="H365" s="26">
        <v>0</v>
      </c>
      <c r="I365" s="19" t="s">
        <v>1067</v>
      </c>
      <c r="J365" s="8">
        <v>43</v>
      </c>
      <c r="K365" s="19" t="s">
        <v>37</v>
      </c>
      <c r="L365" s="19" t="s">
        <v>32</v>
      </c>
      <c r="M365" s="8" t="s">
        <v>1065</v>
      </c>
      <c r="N365" s="33">
        <f t="shared" si="40"/>
        <v>0</v>
      </c>
      <c r="O365" s="23">
        <f t="shared" si="41"/>
        <v>5.2325925925925925E-3</v>
      </c>
      <c r="P365" s="59">
        <f t="shared" si="42"/>
        <v>4.7774081675985562E-2</v>
      </c>
      <c r="Q365" s="30">
        <f t="shared" si="43"/>
        <v>0</v>
      </c>
      <c r="R365" s="30">
        <f t="shared" si="44"/>
        <v>-1</v>
      </c>
      <c r="S365" s="12">
        <f t="shared" si="45"/>
        <v>0</v>
      </c>
      <c r="T365" s="30">
        <f t="shared" si="46"/>
        <v>0</v>
      </c>
      <c r="U365" s="9" t="str">
        <f t="shared" si="47"/>
        <v>35-44</v>
      </c>
    </row>
    <row r="366" spans="1:21">
      <c r="A366" t="s">
        <v>398</v>
      </c>
      <c r="B366" s="8">
        <v>7857</v>
      </c>
      <c r="C366" s="23">
        <v>0.1021</v>
      </c>
      <c r="D366" s="19" t="s">
        <v>25</v>
      </c>
      <c r="E366" s="21">
        <v>65.884</v>
      </c>
      <c r="F366" s="21">
        <v>8.5109999999999992</v>
      </c>
      <c r="G366" s="23">
        <v>0.11178</v>
      </c>
      <c r="H366" s="26">
        <v>1</v>
      </c>
      <c r="I366" s="19" t="s">
        <v>1067</v>
      </c>
      <c r="J366" s="8">
        <v>36</v>
      </c>
      <c r="K366" s="19" t="s">
        <v>22</v>
      </c>
      <c r="L366" s="19" t="s">
        <v>38</v>
      </c>
      <c r="M366" s="8">
        <v>3</v>
      </c>
      <c r="N366" s="33">
        <f t="shared" si="40"/>
        <v>0.11749500646222537</v>
      </c>
      <c r="O366" s="23">
        <f t="shared" si="41"/>
        <v>1.199624015979321E-2</v>
      </c>
      <c r="P366" s="59">
        <f t="shared" si="42"/>
        <v>0.12918159188877421</v>
      </c>
      <c r="Q366" s="30">
        <f t="shared" si="43"/>
        <v>0.1021</v>
      </c>
      <c r="R366" s="30">
        <f t="shared" si="44"/>
        <v>9.4809010773751312E-2</v>
      </c>
      <c r="S366" s="12">
        <f t="shared" si="45"/>
        <v>1.0948090107737514</v>
      </c>
      <c r="T366" s="30">
        <f t="shared" si="46"/>
        <v>1.3133591822347551E-2</v>
      </c>
      <c r="U366" s="9" t="str">
        <f t="shared" si="47"/>
        <v>35-44</v>
      </c>
    </row>
    <row r="367" spans="1:21">
      <c r="A367" t="s">
        <v>399</v>
      </c>
      <c r="B367" s="8">
        <v>2152</v>
      </c>
      <c r="C367" s="23">
        <v>1.8589999999999999E-2</v>
      </c>
      <c r="D367" s="19" t="s">
        <v>25</v>
      </c>
      <c r="E367" s="21">
        <v>21.747</v>
      </c>
      <c r="F367" s="21">
        <v>5.484</v>
      </c>
      <c r="G367" s="23">
        <v>0</v>
      </c>
      <c r="H367" s="26">
        <v>0</v>
      </c>
      <c r="I367" s="19" t="s">
        <v>26</v>
      </c>
      <c r="J367" s="8">
        <v>28</v>
      </c>
      <c r="K367" s="19" t="s">
        <v>18</v>
      </c>
      <c r="L367" s="19" t="s">
        <v>19</v>
      </c>
      <c r="M367" s="8" t="s">
        <v>1065</v>
      </c>
      <c r="N367" s="33">
        <f t="shared" si="40"/>
        <v>0</v>
      </c>
      <c r="O367" s="23">
        <f t="shared" si="41"/>
        <v>3.3898614150255288E-3</v>
      </c>
      <c r="P367" s="59">
        <f t="shared" si="42"/>
        <v>0.25217271347772108</v>
      </c>
      <c r="Q367" s="30">
        <f t="shared" si="43"/>
        <v>0</v>
      </c>
      <c r="R367" s="30">
        <f t="shared" si="44"/>
        <v>-1</v>
      </c>
      <c r="S367" s="12">
        <f t="shared" si="45"/>
        <v>0</v>
      </c>
      <c r="T367" s="30">
        <f t="shared" si="46"/>
        <v>0</v>
      </c>
      <c r="U367" s="9" t="str">
        <f t="shared" si="47"/>
        <v>25-34</v>
      </c>
    </row>
    <row r="368" spans="1:21">
      <c r="A368" t="s">
        <v>400</v>
      </c>
      <c r="B368" s="8">
        <v>4915</v>
      </c>
      <c r="C368" s="23">
        <v>7.8200000000000006E-3</v>
      </c>
      <c r="D368" s="19" t="s">
        <v>32</v>
      </c>
      <c r="E368" s="21">
        <v>26.067</v>
      </c>
      <c r="F368" s="21">
        <v>1.748</v>
      </c>
      <c r="G368" s="23">
        <v>0</v>
      </c>
      <c r="H368" s="26">
        <v>0</v>
      </c>
      <c r="I368" s="19" t="s">
        <v>29</v>
      </c>
      <c r="J368" s="8">
        <v>19</v>
      </c>
      <c r="K368" s="19" t="s">
        <v>22</v>
      </c>
      <c r="L368" s="19" t="s">
        <v>19</v>
      </c>
      <c r="M368" s="8">
        <v>2</v>
      </c>
      <c r="N368" s="33">
        <f t="shared" si="40"/>
        <v>0</v>
      </c>
      <c r="O368" s="23">
        <f t="shared" si="41"/>
        <v>4.4736842105263163E-3</v>
      </c>
      <c r="P368" s="59">
        <f t="shared" si="42"/>
        <v>6.7057966010664827E-2</v>
      </c>
      <c r="Q368" s="30">
        <f t="shared" si="43"/>
        <v>0</v>
      </c>
      <c r="R368" s="30">
        <f t="shared" si="44"/>
        <v>-1</v>
      </c>
      <c r="S368" s="12">
        <f t="shared" si="45"/>
        <v>0</v>
      </c>
      <c r="T368" s="30">
        <f t="shared" si="46"/>
        <v>0</v>
      </c>
      <c r="U368" s="9" t="str">
        <f t="shared" si="47"/>
        <v>18-24</v>
      </c>
    </row>
    <row r="369" spans="1:21">
      <c r="A369" t="s">
        <v>401</v>
      </c>
      <c r="B369" s="8">
        <v>7484</v>
      </c>
      <c r="C369" s="23">
        <v>0.18274000000000001</v>
      </c>
      <c r="D369" s="19" t="s">
        <v>32</v>
      </c>
      <c r="E369" s="21">
        <v>54.682000000000002</v>
      </c>
      <c r="F369" s="21">
        <v>0.57099999999999995</v>
      </c>
      <c r="G369" s="23">
        <v>0.21809000000000001</v>
      </c>
      <c r="H369" s="26">
        <v>1</v>
      </c>
      <c r="I369" s="19" t="s">
        <v>17</v>
      </c>
      <c r="J369" s="8">
        <v>49</v>
      </c>
      <c r="K369" s="19" t="s">
        <v>18</v>
      </c>
      <c r="L369" s="19" t="s">
        <v>19</v>
      </c>
      <c r="M369" s="8">
        <v>1</v>
      </c>
      <c r="N369" s="33">
        <f t="shared" si="40"/>
        <v>1.7513134851138354</v>
      </c>
      <c r="O369" s="23">
        <f t="shared" si="41"/>
        <v>0.32003502626970232</v>
      </c>
      <c r="P369" s="59">
        <f t="shared" si="42"/>
        <v>1.0442193043414651E-2</v>
      </c>
      <c r="Q369" s="30">
        <f t="shared" si="43"/>
        <v>0.18274000000000001</v>
      </c>
      <c r="R369" s="30">
        <f t="shared" si="44"/>
        <v>0.19344423771478597</v>
      </c>
      <c r="S369" s="12">
        <f t="shared" si="45"/>
        <v>1.193444237714786</v>
      </c>
      <c r="T369" s="30">
        <f t="shared" si="46"/>
        <v>0.38194395796847641</v>
      </c>
      <c r="U369" s="9" t="str">
        <f t="shared" si="47"/>
        <v>45-54</v>
      </c>
    </row>
    <row r="370" spans="1:21">
      <c r="A370" t="s">
        <v>402</v>
      </c>
      <c r="B370" s="8">
        <v>3230</v>
      </c>
      <c r="C370" s="23">
        <v>0.13757</v>
      </c>
      <c r="D370" s="19" t="s">
        <v>25</v>
      </c>
      <c r="E370" s="21">
        <v>54.387999999999998</v>
      </c>
      <c r="F370" s="21">
        <v>4.7409999999999997</v>
      </c>
      <c r="G370" s="23">
        <v>0</v>
      </c>
      <c r="H370" s="26">
        <v>0</v>
      </c>
      <c r="I370" s="19" t="s">
        <v>1067</v>
      </c>
      <c r="J370" s="8">
        <v>28</v>
      </c>
      <c r="K370" s="19" t="s">
        <v>18</v>
      </c>
      <c r="L370" s="19" t="s">
        <v>19</v>
      </c>
      <c r="M370" s="8">
        <v>1</v>
      </c>
      <c r="N370" s="33">
        <f t="shared" si="40"/>
        <v>0</v>
      </c>
      <c r="O370" s="23">
        <f t="shared" si="41"/>
        <v>2.9017085003163891E-2</v>
      </c>
      <c r="P370" s="59">
        <f t="shared" si="42"/>
        <v>8.7169963962638819E-2</v>
      </c>
      <c r="Q370" s="30">
        <f t="shared" si="43"/>
        <v>0</v>
      </c>
      <c r="R370" s="30">
        <f t="shared" si="44"/>
        <v>-1</v>
      </c>
      <c r="S370" s="12">
        <f t="shared" si="45"/>
        <v>0</v>
      </c>
      <c r="T370" s="30">
        <f t="shared" si="46"/>
        <v>0</v>
      </c>
      <c r="U370" s="9" t="str">
        <f t="shared" si="47"/>
        <v>25-34</v>
      </c>
    </row>
    <row r="371" spans="1:21">
      <c r="A371" t="s">
        <v>403</v>
      </c>
      <c r="B371" s="8">
        <v>9313</v>
      </c>
      <c r="C371" s="23">
        <v>0</v>
      </c>
      <c r="D371" s="19" t="s">
        <v>28</v>
      </c>
      <c r="E371" s="21">
        <v>73.521000000000001</v>
      </c>
      <c r="F371" s="21">
        <v>0.97599999999999998</v>
      </c>
      <c r="G371" s="23">
        <v>0</v>
      </c>
      <c r="H371" s="26">
        <v>0</v>
      </c>
      <c r="I371" s="19" t="s">
        <v>29</v>
      </c>
      <c r="J371" s="8">
        <v>61</v>
      </c>
      <c r="K371" s="19" t="s">
        <v>31</v>
      </c>
      <c r="L371" s="19" t="s">
        <v>38</v>
      </c>
      <c r="M371" s="8">
        <v>2</v>
      </c>
      <c r="N371" s="33">
        <f t="shared" si="40"/>
        <v>0</v>
      </c>
      <c r="O371" s="23">
        <f t="shared" si="41"/>
        <v>0</v>
      </c>
      <c r="P371" s="59">
        <f t="shared" si="42"/>
        <v>1.3275118673576256E-2</v>
      </c>
      <c r="Q371" s="30">
        <f t="shared" si="43"/>
        <v>0</v>
      </c>
      <c r="R371" s="30">
        <f t="shared" si="44"/>
        <v>0</v>
      </c>
      <c r="S371" s="12">
        <f t="shared" si="45"/>
        <v>0</v>
      </c>
      <c r="T371" s="30">
        <f t="shared" si="46"/>
        <v>0</v>
      </c>
      <c r="U371" s="9" t="str">
        <f t="shared" si="47"/>
        <v>55+</v>
      </c>
    </row>
    <row r="372" spans="1:21">
      <c r="A372" t="s">
        <v>404</v>
      </c>
      <c r="B372" s="8">
        <v>1704</v>
      </c>
      <c r="C372" s="23">
        <v>0</v>
      </c>
      <c r="D372" s="19" t="s">
        <v>32</v>
      </c>
      <c r="E372" s="21">
        <v>75.468000000000004</v>
      </c>
      <c r="F372" s="21">
        <v>4.391</v>
      </c>
      <c r="G372" s="23">
        <v>0</v>
      </c>
      <c r="H372" s="26">
        <v>0</v>
      </c>
      <c r="I372" s="19" t="s">
        <v>26</v>
      </c>
      <c r="J372" s="8">
        <v>34</v>
      </c>
      <c r="K372" s="19" t="s">
        <v>37</v>
      </c>
      <c r="L372" s="19" t="s">
        <v>19</v>
      </c>
      <c r="M372" s="8">
        <v>4</v>
      </c>
      <c r="N372" s="33">
        <f t="shared" si="40"/>
        <v>0</v>
      </c>
      <c r="O372" s="23">
        <f t="shared" si="41"/>
        <v>0</v>
      </c>
      <c r="P372" s="59">
        <f t="shared" si="42"/>
        <v>5.8183600996448821E-2</v>
      </c>
      <c r="Q372" s="30">
        <f t="shared" si="43"/>
        <v>0</v>
      </c>
      <c r="R372" s="30">
        <f t="shared" si="44"/>
        <v>0</v>
      </c>
      <c r="S372" s="12">
        <f t="shared" si="45"/>
        <v>0</v>
      </c>
      <c r="T372" s="30">
        <f t="shared" si="46"/>
        <v>0</v>
      </c>
      <c r="U372" s="9" t="str">
        <f t="shared" si="47"/>
        <v>25-34</v>
      </c>
    </row>
    <row r="373" spans="1:21">
      <c r="A373" t="s">
        <v>405</v>
      </c>
      <c r="B373" s="8">
        <v>1014</v>
      </c>
      <c r="C373" s="23">
        <v>0.10836</v>
      </c>
      <c r="D373" s="19" t="s">
        <v>45</v>
      </c>
      <c r="E373" s="21">
        <v>27.93</v>
      </c>
      <c r="F373" s="21">
        <v>0.11799999999999999</v>
      </c>
      <c r="G373" s="23">
        <v>0</v>
      </c>
      <c r="H373" s="26">
        <v>0</v>
      </c>
      <c r="I373" s="19" t="s">
        <v>34</v>
      </c>
      <c r="J373" s="8">
        <v>57</v>
      </c>
      <c r="K373" s="19" t="s">
        <v>22</v>
      </c>
      <c r="L373" s="19" t="s">
        <v>32</v>
      </c>
      <c r="M373" s="8">
        <v>4</v>
      </c>
      <c r="N373" s="33">
        <f t="shared" si="40"/>
        <v>0</v>
      </c>
      <c r="O373" s="23">
        <f t="shared" si="41"/>
        <v>0.91830508474576278</v>
      </c>
      <c r="P373" s="59">
        <f t="shared" si="42"/>
        <v>4.2248478338703897E-3</v>
      </c>
      <c r="Q373" s="30">
        <f t="shared" si="43"/>
        <v>0</v>
      </c>
      <c r="R373" s="30">
        <f t="shared" si="44"/>
        <v>-1</v>
      </c>
      <c r="S373" s="12">
        <f t="shared" si="45"/>
        <v>0</v>
      </c>
      <c r="T373" s="30">
        <f t="shared" si="46"/>
        <v>0</v>
      </c>
      <c r="U373" s="9" t="str">
        <f t="shared" si="47"/>
        <v>55+</v>
      </c>
    </row>
    <row r="374" spans="1:21">
      <c r="A374" t="s">
        <v>406</v>
      </c>
      <c r="B374" s="8">
        <v>8909</v>
      </c>
      <c r="C374" s="23">
        <v>7.9030000000000003E-2</v>
      </c>
      <c r="D374" s="19" t="s">
        <v>15</v>
      </c>
      <c r="E374" s="21">
        <v>63.834000000000003</v>
      </c>
      <c r="F374" s="21">
        <v>6.7240000000000002</v>
      </c>
      <c r="G374" s="23">
        <v>0</v>
      </c>
      <c r="H374" s="26">
        <v>0</v>
      </c>
      <c r="I374" s="19" t="s">
        <v>34</v>
      </c>
      <c r="J374" s="8">
        <v>48</v>
      </c>
      <c r="K374" s="19" t="s">
        <v>18</v>
      </c>
      <c r="L374" s="19" t="s">
        <v>23</v>
      </c>
      <c r="M374" s="8" t="s">
        <v>1065</v>
      </c>
      <c r="N374" s="33">
        <f t="shared" si="40"/>
        <v>0</v>
      </c>
      <c r="O374" s="23">
        <f t="shared" si="41"/>
        <v>1.1753420582986318E-2</v>
      </c>
      <c r="P374" s="59">
        <f t="shared" si="42"/>
        <v>0.10533571450950904</v>
      </c>
      <c r="Q374" s="30">
        <f t="shared" si="43"/>
        <v>0</v>
      </c>
      <c r="R374" s="30">
        <f t="shared" si="44"/>
        <v>-1</v>
      </c>
      <c r="S374" s="12">
        <f t="shared" si="45"/>
        <v>0</v>
      </c>
      <c r="T374" s="30">
        <f t="shared" si="46"/>
        <v>0</v>
      </c>
      <c r="U374" s="9" t="str">
        <f t="shared" si="47"/>
        <v>45-54</v>
      </c>
    </row>
    <row r="375" spans="1:21">
      <c r="A375" t="s">
        <v>407</v>
      </c>
      <c r="B375" s="8">
        <v>4276</v>
      </c>
      <c r="C375" s="23">
        <v>2.3009999999999999E-2</v>
      </c>
      <c r="D375" s="19" t="s">
        <v>45</v>
      </c>
      <c r="E375" s="21">
        <v>27.56</v>
      </c>
      <c r="F375" s="21">
        <v>5.8449999999999998</v>
      </c>
      <c r="G375" s="23">
        <v>0</v>
      </c>
      <c r="H375" s="26">
        <v>0</v>
      </c>
      <c r="I375" s="19" t="s">
        <v>21</v>
      </c>
      <c r="J375" s="8">
        <v>64</v>
      </c>
      <c r="K375" s="19" t="s">
        <v>37</v>
      </c>
      <c r="L375" s="19" t="s">
        <v>23</v>
      </c>
      <c r="M375" s="8">
        <v>1</v>
      </c>
      <c r="N375" s="33">
        <f t="shared" si="40"/>
        <v>0</v>
      </c>
      <c r="O375" s="23">
        <f t="shared" si="41"/>
        <v>3.9366980325064157E-3</v>
      </c>
      <c r="P375" s="59">
        <f t="shared" si="42"/>
        <v>0.21208272859216257</v>
      </c>
      <c r="Q375" s="30">
        <f t="shared" si="43"/>
        <v>0</v>
      </c>
      <c r="R375" s="30">
        <f t="shared" si="44"/>
        <v>-1</v>
      </c>
      <c r="S375" s="12">
        <f t="shared" si="45"/>
        <v>0</v>
      </c>
      <c r="T375" s="30">
        <f t="shared" si="46"/>
        <v>0</v>
      </c>
      <c r="U375" s="9" t="str">
        <f t="shared" si="47"/>
        <v>55+</v>
      </c>
    </row>
    <row r="376" spans="1:21">
      <c r="A376" t="s">
        <v>408</v>
      </c>
      <c r="B376" s="8">
        <v>2386</v>
      </c>
      <c r="C376" s="23">
        <v>0.19317000000000001</v>
      </c>
      <c r="D376" s="19" t="s">
        <v>15</v>
      </c>
      <c r="E376" s="21">
        <v>79.972999999999999</v>
      </c>
      <c r="F376" s="21">
        <v>7.14</v>
      </c>
      <c r="G376" s="23">
        <v>8.6860000000000007E-2</v>
      </c>
      <c r="H376" s="26">
        <v>1</v>
      </c>
      <c r="I376" s="19" t="s">
        <v>26</v>
      </c>
      <c r="J376" s="8">
        <v>41</v>
      </c>
      <c r="K376" s="19" t="s">
        <v>22</v>
      </c>
      <c r="L376" s="19" t="s">
        <v>32</v>
      </c>
      <c r="M376" s="8">
        <v>5</v>
      </c>
      <c r="N376" s="33">
        <f t="shared" si="40"/>
        <v>0.14005602240896359</v>
      </c>
      <c r="O376" s="23">
        <f t="shared" si="41"/>
        <v>2.70546218487395E-2</v>
      </c>
      <c r="P376" s="59">
        <f t="shared" si="42"/>
        <v>8.9280132044565044E-2</v>
      </c>
      <c r="Q376" s="30">
        <f t="shared" si="43"/>
        <v>0.19317000000000001</v>
      </c>
      <c r="R376" s="30">
        <f t="shared" si="44"/>
        <v>-0.55034425635450634</v>
      </c>
      <c r="S376" s="12">
        <f t="shared" si="45"/>
        <v>0.4496557436454936</v>
      </c>
      <c r="T376" s="30">
        <f t="shared" si="46"/>
        <v>1.2165266106442578E-2</v>
      </c>
      <c r="U376" s="9" t="str">
        <f t="shared" si="47"/>
        <v>35-44</v>
      </c>
    </row>
    <row r="377" spans="1:21">
      <c r="A377" t="s">
        <v>409</v>
      </c>
      <c r="B377" s="8">
        <v>3384</v>
      </c>
      <c r="C377" s="23">
        <v>4.6789999999999998E-2</v>
      </c>
      <c r="D377" s="19" t="s">
        <v>15</v>
      </c>
      <c r="E377" s="21">
        <v>84.89</v>
      </c>
      <c r="F377" s="21">
        <v>1.7390000000000001</v>
      </c>
      <c r="G377" s="23">
        <v>0</v>
      </c>
      <c r="H377" s="26">
        <v>0</v>
      </c>
      <c r="I377" s="19" t="s">
        <v>26</v>
      </c>
      <c r="J377" s="8">
        <v>44</v>
      </c>
      <c r="K377" s="19" t="s">
        <v>22</v>
      </c>
      <c r="L377" s="19" t="s">
        <v>38</v>
      </c>
      <c r="M377" s="8">
        <v>1</v>
      </c>
      <c r="N377" s="33">
        <f t="shared" si="40"/>
        <v>0</v>
      </c>
      <c r="O377" s="23">
        <f t="shared" si="41"/>
        <v>2.6906267970097753E-2</v>
      </c>
      <c r="P377" s="59">
        <f t="shared" si="42"/>
        <v>2.0485333961597362E-2</v>
      </c>
      <c r="Q377" s="30">
        <f t="shared" si="43"/>
        <v>0</v>
      </c>
      <c r="R377" s="30">
        <f t="shared" si="44"/>
        <v>-1</v>
      </c>
      <c r="S377" s="12">
        <f t="shared" si="45"/>
        <v>0</v>
      </c>
      <c r="T377" s="30">
        <f t="shared" si="46"/>
        <v>0</v>
      </c>
      <c r="U377" s="9" t="str">
        <f t="shared" si="47"/>
        <v>35-44</v>
      </c>
    </row>
    <row r="378" spans="1:21">
      <c r="A378" t="s">
        <v>410</v>
      </c>
      <c r="B378" s="8">
        <v>6880</v>
      </c>
      <c r="C378" s="23">
        <v>0</v>
      </c>
      <c r="D378" s="19" t="s">
        <v>25</v>
      </c>
      <c r="E378" s="21">
        <v>18.690999999999999</v>
      </c>
      <c r="F378" s="21">
        <v>2.1819999999999999</v>
      </c>
      <c r="G378" s="23">
        <v>0</v>
      </c>
      <c r="H378" s="26">
        <v>0</v>
      </c>
      <c r="I378" s="19" t="s">
        <v>17</v>
      </c>
      <c r="J378" s="8">
        <v>61</v>
      </c>
      <c r="K378" s="19" t="s">
        <v>37</v>
      </c>
      <c r="L378" s="19" t="s">
        <v>45</v>
      </c>
      <c r="M378" s="8" t="s">
        <v>1065</v>
      </c>
      <c r="N378" s="33">
        <f t="shared" si="40"/>
        <v>0</v>
      </c>
      <c r="O378" s="23">
        <f t="shared" si="41"/>
        <v>0</v>
      </c>
      <c r="P378" s="59">
        <f t="shared" si="42"/>
        <v>0.11674067733133595</v>
      </c>
      <c r="Q378" s="30">
        <f t="shared" si="43"/>
        <v>0</v>
      </c>
      <c r="R378" s="30">
        <f t="shared" si="44"/>
        <v>0</v>
      </c>
      <c r="S378" s="12">
        <f t="shared" si="45"/>
        <v>0</v>
      </c>
      <c r="T378" s="30">
        <f t="shared" si="46"/>
        <v>0</v>
      </c>
      <c r="U378" s="9" t="str">
        <f t="shared" si="47"/>
        <v>55+</v>
      </c>
    </row>
    <row r="379" spans="1:21">
      <c r="A379" t="s">
        <v>411</v>
      </c>
      <c r="B379" s="8">
        <v>6097</v>
      </c>
      <c r="C379" s="23">
        <v>0.19281999999999999</v>
      </c>
      <c r="D379" s="19" t="s">
        <v>40</v>
      </c>
      <c r="E379" s="21">
        <v>53.531999999999996</v>
      </c>
      <c r="F379" s="21">
        <v>8.407</v>
      </c>
      <c r="G379" s="23">
        <v>0</v>
      </c>
      <c r="H379" s="26">
        <v>0</v>
      </c>
      <c r="I379" s="19" t="s">
        <v>17</v>
      </c>
      <c r="J379" s="8">
        <v>57</v>
      </c>
      <c r="K379" s="19" t="s">
        <v>18</v>
      </c>
      <c r="L379" s="19" t="s">
        <v>23</v>
      </c>
      <c r="M379" s="8">
        <v>4</v>
      </c>
      <c r="N379" s="33">
        <f t="shared" si="40"/>
        <v>0</v>
      </c>
      <c r="O379" s="23">
        <f t="shared" si="41"/>
        <v>2.2935648864041869E-2</v>
      </c>
      <c r="P379" s="59">
        <f t="shared" si="42"/>
        <v>0.15704625270866024</v>
      </c>
      <c r="Q379" s="30">
        <f t="shared" si="43"/>
        <v>0</v>
      </c>
      <c r="R379" s="30">
        <f t="shared" si="44"/>
        <v>-1</v>
      </c>
      <c r="S379" s="12">
        <f t="shared" si="45"/>
        <v>0</v>
      </c>
      <c r="T379" s="30">
        <f t="shared" si="46"/>
        <v>0</v>
      </c>
      <c r="U379" s="9" t="str">
        <f t="shared" si="47"/>
        <v>55+</v>
      </c>
    </row>
    <row r="380" spans="1:21">
      <c r="A380" t="s">
        <v>412</v>
      </c>
      <c r="B380" s="8">
        <v>8314</v>
      </c>
      <c r="C380" s="23">
        <v>9.6280000000000004E-2</v>
      </c>
      <c r="D380" s="19" t="s">
        <v>28</v>
      </c>
      <c r="E380" s="21">
        <v>25.902000000000001</v>
      </c>
      <c r="F380" s="21">
        <v>5.0540000000000003</v>
      </c>
      <c r="G380" s="23">
        <v>0</v>
      </c>
      <c r="H380" s="26">
        <v>0</v>
      </c>
      <c r="I380" s="19" t="s">
        <v>34</v>
      </c>
      <c r="J380" s="8">
        <v>27</v>
      </c>
      <c r="K380" s="19" t="s">
        <v>22</v>
      </c>
      <c r="L380" s="19" t="s">
        <v>23</v>
      </c>
      <c r="M380" s="8">
        <v>2</v>
      </c>
      <c r="N380" s="33">
        <f t="shared" si="40"/>
        <v>0</v>
      </c>
      <c r="O380" s="23">
        <f t="shared" si="41"/>
        <v>1.9050257222002376E-2</v>
      </c>
      <c r="P380" s="59">
        <f t="shared" si="42"/>
        <v>0.19512006794842096</v>
      </c>
      <c r="Q380" s="30">
        <f t="shared" si="43"/>
        <v>0</v>
      </c>
      <c r="R380" s="30">
        <f t="shared" si="44"/>
        <v>-1</v>
      </c>
      <c r="S380" s="12">
        <f t="shared" si="45"/>
        <v>0</v>
      </c>
      <c r="T380" s="30">
        <f t="shared" si="46"/>
        <v>0</v>
      </c>
      <c r="U380" s="9" t="str">
        <f t="shared" si="47"/>
        <v>25-34</v>
      </c>
    </row>
    <row r="381" spans="1:21">
      <c r="A381" t="s">
        <v>413</v>
      </c>
      <c r="B381" s="8">
        <v>9880</v>
      </c>
      <c r="C381" s="23">
        <v>8.8639999999999997E-2</v>
      </c>
      <c r="D381" s="19" t="s">
        <v>15</v>
      </c>
      <c r="E381" s="21">
        <v>31.707999999999998</v>
      </c>
      <c r="F381" s="21">
        <v>3.8929999999999998</v>
      </c>
      <c r="G381" s="23">
        <v>0</v>
      </c>
      <c r="H381" s="26">
        <v>1</v>
      </c>
      <c r="I381" s="19" t="s">
        <v>21</v>
      </c>
      <c r="J381" s="8">
        <v>24</v>
      </c>
      <c r="K381" s="19" t="s">
        <v>18</v>
      </c>
      <c r="L381" s="19" t="s">
        <v>19</v>
      </c>
      <c r="M381" s="8">
        <v>4</v>
      </c>
      <c r="N381" s="33">
        <f t="shared" si="40"/>
        <v>0.25687130747495507</v>
      </c>
      <c r="O381" s="23">
        <f t="shared" si="41"/>
        <v>2.2769072694580016E-2</v>
      </c>
      <c r="P381" s="59">
        <f t="shared" si="42"/>
        <v>0.12277658635044783</v>
      </c>
      <c r="Q381" s="30">
        <f t="shared" si="43"/>
        <v>8.8639999999999997E-2</v>
      </c>
      <c r="R381" s="30">
        <f t="shared" si="44"/>
        <v>-1</v>
      </c>
      <c r="S381" s="12">
        <f t="shared" si="45"/>
        <v>0</v>
      </c>
      <c r="T381" s="30">
        <f t="shared" si="46"/>
        <v>0</v>
      </c>
      <c r="U381" s="9" t="str">
        <f t="shared" si="47"/>
        <v>18-24</v>
      </c>
    </row>
    <row r="382" spans="1:21">
      <c r="A382" t="s">
        <v>414</v>
      </c>
      <c r="B382" s="8">
        <v>4669</v>
      </c>
      <c r="C382" s="23">
        <v>0</v>
      </c>
      <c r="D382" s="19" t="s">
        <v>40</v>
      </c>
      <c r="E382" s="21">
        <v>59.808999999999997</v>
      </c>
      <c r="F382" s="21">
        <v>4.7210000000000001</v>
      </c>
      <c r="G382" s="23">
        <v>0</v>
      </c>
      <c r="H382" s="26">
        <v>0</v>
      </c>
      <c r="I382" s="19" t="s">
        <v>17</v>
      </c>
      <c r="J382" s="8">
        <v>30</v>
      </c>
      <c r="K382" s="19" t="s">
        <v>22</v>
      </c>
      <c r="L382" s="19" t="s">
        <v>23</v>
      </c>
      <c r="M382" s="8">
        <v>1</v>
      </c>
      <c r="N382" s="33">
        <f t="shared" si="40"/>
        <v>0</v>
      </c>
      <c r="O382" s="23">
        <f t="shared" si="41"/>
        <v>0</v>
      </c>
      <c r="P382" s="59">
        <f t="shared" si="42"/>
        <v>7.8934608503736903E-2</v>
      </c>
      <c r="Q382" s="30">
        <f t="shared" si="43"/>
        <v>0</v>
      </c>
      <c r="R382" s="30">
        <f t="shared" si="44"/>
        <v>0</v>
      </c>
      <c r="S382" s="12">
        <f t="shared" si="45"/>
        <v>0</v>
      </c>
      <c r="T382" s="30">
        <f t="shared" si="46"/>
        <v>0</v>
      </c>
      <c r="U382" s="9" t="str">
        <f t="shared" si="47"/>
        <v>25-34</v>
      </c>
    </row>
    <row r="383" spans="1:21">
      <c r="A383" t="s">
        <v>415</v>
      </c>
      <c r="B383" s="8">
        <v>3961</v>
      </c>
      <c r="C383" s="23">
        <v>0</v>
      </c>
      <c r="D383" s="19" t="s">
        <v>25</v>
      </c>
      <c r="E383" s="21">
        <v>58.643999999999998</v>
      </c>
      <c r="F383" s="21">
        <v>6.7960000000000003</v>
      </c>
      <c r="G383" s="23">
        <v>0</v>
      </c>
      <c r="H383" s="26">
        <v>0</v>
      </c>
      <c r="I383" s="19" t="s">
        <v>29</v>
      </c>
      <c r="J383" s="8">
        <v>23</v>
      </c>
      <c r="K383" s="19" t="s">
        <v>22</v>
      </c>
      <c r="L383" s="19" t="s">
        <v>23</v>
      </c>
      <c r="M383" s="8">
        <v>3</v>
      </c>
      <c r="N383" s="33">
        <f t="shared" si="40"/>
        <v>0</v>
      </c>
      <c r="O383" s="23">
        <f t="shared" si="41"/>
        <v>0</v>
      </c>
      <c r="P383" s="59">
        <f t="shared" si="42"/>
        <v>0.11588568310483596</v>
      </c>
      <c r="Q383" s="30">
        <f t="shared" si="43"/>
        <v>0</v>
      </c>
      <c r="R383" s="30">
        <f t="shared" si="44"/>
        <v>0</v>
      </c>
      <c r="S383" s="12">
        <f t="shared" si="45"/>
        <v>0</v>
      </c>
      <c r="T383" s="30">
        <f t="shared" si="46"/>
        <v>0</v>
      </c>
      <c r="U383" s="9" t="str">
        <f t="shared" si="47"/>
        <v>18-24</v>
      </c>
    </row>
    <row r="384" spans="1:21">
      <c r="A384" t="s">
        <v>416</v>
      </c>
      <c r="B384" s="8">
        <v>6990</v>
      </c>
      <c r="C384" s="23">
        <v>1.804E-2</v>
      </c>
      <c r="D384" s="19" t="s">
        <v>15</v>
      </c>
      <c r="E384" s="21">
        <v>85.805000000000007</v>
      </c>
      <c r="F384" s="21">
        <v>3.391</v>
      </c>
      <c r="G384" s="23">
        <v>0</v>
      </c>
      <c r="H384" s="26">
        <v>0</v>
      </c>
      <c r="I384" s="19" t="s">
        <v>21</v>
      </c>
      <c r="J384" s="8">
        <v>35</v>
      </c>
      <c r="K384" s="19" t="s">
        <v>18</v>
      </c>
      <c r="L384" s="19" t="s">
        <v>38</v>
      </c>
      <c r="M384" s="8">
        <v>2</v>
      </c>
      <c r="N384" s="33">
        <f t="shared" si="40"/>
        <v>0</v>
      </c>
      <c r="O384" s="23">
        <f t="shared" si="41"/>
        <v>5.3199646122087879E-3</v>
      </c>
      <c r="P384" s="59">
        <f t="shared" si="42"/>
        <v>3.9519841501078019E-2</v>
      </c>
      <c r="Q384" s="30">
        <f t="shared" si="43"/>
        <v>0</v>
      </c>
      <c r="R384" s="30">
        <f t="shared" si="44"/>
        <v>-1</v>
      </c>
      <c r="S384" s="12">
        <f t="shared" si="45"/>
        <v>0</v>
      </c>
      <c r="T384" s="30">
        <f t="shared" si="46"/>
        <v>0</v>
      </c>
      <c r="U384" s="9" t="str">
        <f t="shared" si="47"/>
        <v>35-44</v>
      </c>
    </row>
    <row r="385" spans="1:21">
      <c r="A385" t="s">
        <v>417</v>
      </c>
      <c r="B385" s="8">
        <v>3009</v>
      </c>
      <c r="C385" s="23">
        <v>0.11745</v>
      </c>
      <c r="D385" s="19" t="s">
        <v>28</v>
      </c>
      <c r="E385" s="21">
        <v>20.864000000000001</v>
      </c>
      <c r="F385" s="21">
        <v>5.0330000000000004</v>
      </c>
      <c r="G385" s="23">
        <v>0</v>
      </c>
      <c r="H385" s="26">
        <v>0</v>
      </c>
      <c r="I385" s="19" t="s">
        <v>17</v>
      </c>
      <c r="J385" s="8">
        <v>20</v>
      </c>
      <c r="K385" s="19" t="s">
        <v>31</v>
      </c>
      <c r="L385" s="19" t="s">
        <v>23</v>
      </c>
      <c r="M385" s="8">
        <v>5</v>
      </c>
      <c r="N385" s="33">
        <f t="shared" si="40"/>
        <v>0</v>
      </c>
      <c r="O385" s="23">
        <f t="shared" si="41"/>
        <v>2.3335982515398368E-2</v>
      </c>
      <c r="P385" s="59">
        <f t="shared" si="42"/>
        <v>0.2412289110429448</v>
      </c>
      <c r="Q385" s="30">
        <f t="shared" si="43"/>
        <v>0</v>
      </c>
      <c r="R385" s="30">
        <f t="shared" si="44"/>
        <v>-1</v>
      </c>
      <c r="S385" s="12">
        <f t="shared" si="45"/>
        <v>0</v>
      </c>
      <c r="T385" s="30">
        <f t="shared" si="46"/>
        <v>0</v>
      </c>
      <c r="U385" s="9" t="str">
        <f t="shared" si="47"/>
        <v>18-24</v>
      </c>
    </row>
    <row r="386" spans="1:21">
      <c r="A386" t="s">
        <v>418</v>
      </c>
      <c r="B386" s="8">
        <v>5216</v>
      </c>
      <c r="C386" s="23">
        <v>4.6670000000000003E-2</v>
      </c>
      <c r="D386" s="19" t="s">
        <v>15</v>
      </c>
      <c r="E386" s="21">
        <v>89.337000000000003</v>
      </c>
      <c r="F386" s="21">
        <v>7.7939999999999996</v>
      </c>
      <c r="G386" s="23">
        <v>0</v>
      </c>
      <c r="H386" s="26">
        <v>0</v>
      </c>
      <c r="I386" s="19" t="s">
        <v>34</v>
      </c>
      <c r="J386" s="8">
        <v>47</v>
      </c>
      <c r="K386" s="19" t="s">
        <v>37</v>
      </c>
      <c r="L386" s="19" t="s">
        <v>23</v>
      </c>
      <c r="M386" s="8">
        <v>1</v>
      </c>
      <c r="N386" s="33">
        <f t="shared" ref="N386:N449" si="48">IF(F386=0,0,H386/F386)</f>
        <v>0</v>
      </c>
      <c r="O386" s="23">
        <f t="shared" ref="O386:O449" si="49">IF(F386=0,0,C386/F386)</f>
        <v>5.9879394405953305E-3</v>
      </c>
      <c r="P386" s="59">
        <f t="shared" ref="P386:P449" si="50">IF(E386=0,0,F386/E386)</f>
        <v>8.7242687800127602E-2</v>
      </c>
      <c r="Q386" s="30">
        <f t="shared" ref="Q386:Q449" si="51">IF(H386=0,0,C386/H386)</f>
        <v>0</v>
      </c>
      <c r="R386" s="30">
        <f t="shared" ref="R386:R449" si="52">IF(C386=0,0,(G386-C386)/C386)</f>
        <v>-1</v>
      </c>
      <c r="S386" s="12">
        <f t="shared" ref="S386:S449" si="53">IF(G386=0,0,G386/C386)</f>
        <v>0</v>
      </c>
      <c r="T386" s="30">
        <f t="shared" ref="T386:T449" si="54">IF(F386=0,0,G386/F386)</f>
        <v>0</v>
      </c>
      <c r="U386" s="9" t="str">
        <f t="shared" si="47"/>
        <v>45-54</v>
      </c>
    </row>
    <row r="387" spans="1:21">
      <c r="A387" t="s">
        <v>419</v>
      </c>
      <c r="B387" s="8">
        <v>6072</v>
      </c>
      <c r="C387" s="23">
        <v>0</v>
      </c>
      <c r="D387" s="19" t="s">
        <v>45</v>
      </c>
      <c r="E387" s="21">
        <v>30.51</v>
      </c>
      <c r="F387" s="21">
        <v>4.657</v>
      </c>
      <c r="G387" s="23">
        <v>0.29680000000000001</v>
      </c>
      <c r="H387" s="26">
        <v>1</v>
      </c>
      <c r="I387" s="19" t="s">
        <v>26</v>
      </c>
      <c r="J387" s="8">
        <v>62</v>
      </c>
      <c r="K387" s="19" t="s">
        <v>18</v>
      </c>
      <c r="L387" s="19" t="s">
        <v>45</v>
      </c>
      <c r="M387" s="8" t="s">
        <v>1065</v>
      </c>
      <c r="N387" s="33">
        <f t="shared" si="48"/>
        <v>0.21473051320592657</v>
      </c>
      <c r="O387" s="23">
        <f t="shared" si="49"/>
        <v>0</v>
      </c>
      <c r="P387" s="59">
        <f t="shared" si="50"/>
        <v>0.15263847918715176</v>
      </c>
      <c r="Q387" s="30">
        <f t="shared" si="51"/>
        <v>0</v>
      </c>
      <c r="R387" s="30">
        <f t="shared" si="52"/>
        <v>0</v>
      </c>
      <c r="S387" s="12" t="e">
        <f t="shared" si="53"/>
        <v>#DIV/0!</v>
      </c>
      <c r="T387" s="30">
        <f t="shared" si="54"/>
        <v>6.3732016319519011E-2</v>
      </c>
      <c r="U387" s="9" t="str">
        <f t="shared" ref="U387:U450" si="55">IF(J387&lt;25,"18-24",IF(J387&lt;35,"25-34",IF(J387&lt;45,"35-44",IF(J387&lt;55,"45-54","55+"))))</f>
        <v>55+</v>
      </c>
    </row>
    <row r="388" spans="1:21">
      <c r="A388" t="s">
        <v>420</v>
      </c>
      <c r="B388" s="8">
        <v>1677</v>
      </c>
      <c r="C388" s="23">
        <v>0.13741</v>
      </c>
      <c r="D388" s="19" t="s">
        <v>40</v>
      </c>
      <c r="E388" s="21">
        <v>87.120999999999995</v>
      </c>
      <c r="F388" s="21">
        <v>4.0780000000000003</v>
      </c>
      <c r="G388" s="23">
        <v>0</v>
      </c>
      <c r="H388" s="26">
        <v>0</v>
      </c>
      <c r="I388" s="19" t="s">
        <v>17</v>
      </c>
      <c r="J388" s="8">
        <v>45</v>
      </c>
      <c r="K388" s="19" t="s">
        <v>18</v>
      </c>
      <c r="L388" s="19" t="s">
        <v>38</v>
      </c>
      <c r="M388" s="8">
        <v>4</v>
      </c>
      <c r="N388" s="33">
        <f t="shared" si="48"/>
        <v>0</v>
      </c>
      <c r="O388" s="23">
        <f t="shared" si="49"/>
        <v>3.3695438940657185E-2</v>
      </c>
      <c r="P388" s="59">
        <f t="shared" si="50"/>
        <v>4.6808461794515678E-2</v>
      </c>
      <c r="Q388" s="30">
        <f t="shared" si="51"/>
        <v>0</v>
      </c>
      <c r="R388" s="30">
        <f t="shared" si="52"/>
        <v>-1</v>
      </c>
      <c r="S388" s="12">
        <f t="shared" si="53"/>
        <v>0</v>
      </c>
      <c r="T388" s="30">
        <f t="shared" si="54"/>
        <v>0</v>
      </c>
      <c r="U388" s="9" t="str">
        <f t="shared" si="55"/>
        <v>45-54</v>
      </c>
    </row>
    <row r="389" spans="1:21">
      <c r="A389" t="s">
        <v>421</v>
      </c>
      <c r="B389" s="8">
        <v>8070</v>
      </c>
      <c r="C389" s="23">
        <v>2.3550000000000001E-2</v>
      </c>
      <c r="D389" s="19" t="s">
        <v>40</v>
      </c>
      <c r="E389" s="21">
        <v>58.066000000000003</v>
      </c>
      <c r="F389" s="21">
        <v>4.4740000000000002</v>
      </c>
      <c r="G389" s="23">
        <v>0</v>
      </c>
      <c r="H389" s="26">
        <v>0</v>
      </c>
      <c r="I389" s="19" t="s">
        <v>17</v>
      </c>
      <c r="J389" s="8">
        <v>43</v>
      </c>
      <c r="K389" s="19" t="s">
        <v>22</v>
      </c>
      <c r="L389" s="19" t="s">
        <v>19</v>
      </c>
      <c r="M389" s="8">
        <v>5</v>
      </c>
      <c r="N389" s="33">
        <f t="shared" si="48"/>
        <v>0</v>
      </c>
      <c r="O389" s="23">
        <f t="shared" si="49"/>
        <v>5.2637460885113993E-3</v>
      </c>
      <c r="P389" s="59">
        <f t="shared" si="50"/>
        <v>7.7050253160197021E-2</v>
      </c>
      <c r="Q389" s="30">
        <f t="shared" si="51"/>
        <v>0</v>
      </c>
      <c r="R389" s="30">
        <f t="shared" si="52"/>
        <v>-1</v>
      </c>
      <c r="S389" s="12">
        <f t="shared" si="53"/>
        <v>0</v>
      </c>
      <c r="T389" s="30">
        <f t="shared" si="54"/>
        <v>0</v>
      </c>
      <c r="U389" s="9" t="str">
        <f t="shared" si="55"/>
        <v>35-44</v>
      </c>
    </row>
    <row r="390" spans="1:21">
      <c r="A390" t="s">
        <v>422</v>
      </c>
      <c r="B390" s="8">
        <v>4264</v>
      </c>
      <c r="C390" s="23">
        <v>0</v>
      </c>
      <c r="D390" s="19" t="s">
        <v>32</v>
      </c>
      <c r="E390" s="21">
        <v>33.341000000000001</v>
      </c>
      <c r="F390" s="21">
        <v>6.3070000000000004</v>
      </c>
      <c r="G390" s="23">
        <v>0.15465999999999999</v>
      </c>
      <c r="H390" s="26">
        <v>1</v>
      </c>
      <c r="I390" s="19" t="s">
        <v>17</v>
      </c>
      <c r="J390" s="8">
        <v>60</v>
      </c>
      <c r="K390" s="19" t="s">
        <v>18</v>
      </c>
      <c r="L390" s="19" t="s">
        <v>45</v>
      </c>
      <c r="M390" s="8">
        <v>2</v>
      </c>
      <c r="N390" s="33">
        <f t="shared" si="48"/>
        <v>0.15855398763278897</v>
      </c>
      <c r="O390" s="23">
        <f t="shared" si="49"/>
        <v>0</v>
      </c>
      <c r="P390" s="59">
        <f t="shared" si="50"/>
        <v>0.18916649170690741</v>
      </c>
      <c r="Q390" s="30">
        <f t="shared" si="51"/>
        <v>0</v>
      </c>
      <c r="R390" s="30">
        <f t="shared" si="52"/>
        <v>0</v>
      </c>
      <c r="S390" s="12" t="e">
        <f t="shared" si="53"/>
        <v>#DIV/0!</v>
      </c>
      <c r="T390" s="30">
        <f t="shared" si="54"/>
        <v>2.452195972728714E-2</v>
      </c>
      <c r="U390" s="9" t="str">
        <f t="shared" si="55"/>
        <v>55+</v>
      </c>
    </row>
    <row r="391" spans="1:21">
      <c r="A391" t="s">
        <v>423</v>
      </c>
      <c r="B391" s="8">
        <v>4921</v>
      </c>
      <c r="C391" s="23">
        <v>6.4860000000000001E-2</v>
      </c>
      <c r="D391" s="19" t="s">
        <v>45</v>
      </c>
      <c r="E391" s="21">
        <v>63.192999999999998</v>
      </c>
      <c r="F391" s="21">
        <v>2.5270000000000001</v>
      </c>
      <c r="G391" s="23">
        <v>0</v>
      </c>
      <c r="H391" s="26">
        <v>0</v>
      </c>
      <c r="I391" s="19" t="s">
        <v>17</v>
      </c>
      <c r="J391" s="8">
        <v>30</v>
      </c>
      <c r="K391" s="19" t="s">
        <v>31</v>
      </c>
      <c r="L391" s="19" t="s">
        <v>45</v>
      </c>
      <c r="M391" s="8">
        <v>1</v>
      </c>
      <c r="N391" s="33">
        <f t="shared" si="48"/>
        <v>0</v>
      </c>
      <c r="O391" s="23">
        <f t="shared" si="49"/>
        <v>2.566679857538583E-2</v>
      </c>
      <c r="P391" s="59">
        <f t="shared" si="50"/>
        <v>3.9988606332979924E-2</v>
      </c>
      <c r="Q391" s="30">
        <f t="shared" si="51"/>
        <v>0</v>
      </c>
      <c r="R391" s="30">
        <f t="shared" si="52"/>
        <v>-1</v>
      </c>
      <c r="S391" s="12">
        <f t="shared" si="53"/>
        <v>0</v>
      </c>
      <c r="T391" s="30">
        <f t="shared" si="54"/>
        <v>0</v>
      </c>
      <c r="U391" s="9" t="str">
        <f t="shared" si="55"/>
        <v>25-34</v>
      </c>
    </row>
    <row r="392" spans="1:21">
      <c r="A392" t="s">
        <v>424</v>
      </c>
      <c r="B392" s="8">
        <v>4403</v>
      </c>
      <c r="C392" s="23">
        <v>0.17358999999999999</v>
      </c>
      <c r="D392" s="19" t="s">
        <v>25</v>
      </c>
      <c r="E392" s="21">
        <v>33.18</v>
      </c>
      <c r="F392" s="21">
        <v>3.7509999999999999</v>
      </c>
      <c r="G392" s="23">
        <v>0</v>
      </c>
      <c r="H392" s="26">
        <v>0</v>
      </c>
      <c r="I392" s="19" t="s">
        <v>29</v>
      </c>
      <c r="J392" s="8">
        <v>33</v>
      </c>
      <c r="K392" s="19" t="s">
        <v>22</v>
      </c>
      <c r="L392" s="19" t="s">
        <v>23</v>
      </c>
      <c r="M392" s="8">
        <v>5</v>
      </c>
      <c r="N392" s="33">
        <f t="shared" si="48"/>
        <v>0</v>
      </c>
      <c r="O392" s="23">
        <f t="shared" si="49"/>
        <v>4.6278325779792052E-2</v>
      </c>
      <c r="P392" s="59">
        <f t="shared" si="50"/>
        <v>0.11305003013863774</v>
      </c>
      <c r="Q392" s="30">
        <f t="shared" si="51"/>
        <v>0</v>
      </c>
      <c r="R392" s="30">
        <f t="shared" si="52"/>
        <v>-1</v>
      </c>
      <c r="S392" s="12">
        <f t="shared" si="53"/>
        <v>0</v>
      </c>
      <c r="T392" s="30">
        <f t="shared" si="54"/>
        <v>0</v>
      </c>
      <c r="U392" s="9" t="str">
        <f t="shared" si="55"/>
        <v>25-34</v>
      </c>
    </row>
    <row r="393" spans="1:21">
      <c r="A393" t="s">
        <v>425</v>
      </c>
      <c r="B393" s="8">
        <v>4410</v>
      </c>
      <c r="C393" s="23">
        <v>0.15179999999999999</v>
      </c>
      <c r="D393" s="19" t="s">
        <v>28</v>
      </c>
      <c r="E393" s="21">
        <v>45.002000000000002</v>
      </c>
      <c r="F393" s="21">
        <v>8.4380000000000006</v>
      </c>
      <c r="G393" s="23">
        <v>0</v>
      </c>
      <c r="H393" s="26">
        <v>0</v>
      </c>
      <c r="I393" s="19" t="s">
        <v>34</v>
      </c>
      <c r="J393" s="8">
        <v>29</v>
      </c>
      <c r="K393" s="19" t="s">
        <v>37</v>
      </c>
      <c r="L393" s="19" t="s">
        <v>45</v>
      </c>
      <c r="M393" s="8">
        <v>2</v>
      </c>
      <c r="N393" s="33">
        <f t="shared" si="48"/>
        <v>0</v>
      </c>
      <c r="O393" s="23">
        <f t="shared" si="49"/>
        <v>1.7990045034368331E-2</v>
      </c>
      <c r="P393" s="59">
        <f t="shared" si="50"/>
        <v>0.18750277765432649</v>
      </c>
      <c r="Q393" s="30">
        <f t="shared" si="51"/>
        <v>0</v>
      </c>
      <c r="R393" s="30">
        <f t="shared" si="52"/>
        <v>-1</v>
      </c>
      <c r="S393" s="12">
        <f t="shared" si="53"/>
        <v>0</v>
      </c>
      <c r="T393" s="30">
        <f t="shared" si="54"/>
        <v>0</v>
      </c>
      <c r="U393" s="9" t="str">
        <f t="shared" si="55"/>
        <v>25-34</v>
      </c>
    </row>
    <row r="394" spans="1:21">
      <c r="A394" t="s">
        <v>426</v>
      </c>
      <c r="B394" s="8">
        <v>4249</v>
      </c>
      <c r="C394" s="23">
        <v>7.4459999999999998E-2</v>
      </c>
      <c r="D394" s="19" t="s">
        <v>28</v>
      </c>
      <c r="E394" s="21">
        <v>27.856000000000002</v>
      </c>
      <c r="F394" s="21">
        <v>2.605</v>
      </c>
      <c r="G394" s="23">
        <v>0.12159</v>
      </c>
      <c r="H394" s="26">
        <v>1</v>
      </c>
      <c r="I394" s="19" t="s">
        <v>29</v>
      </c>
      <c r="J394" s="8">
        <v>37</v>
      </c>
      <c r="K394" s="19" t="s">
        <v>31</v>
      </c>
      <c r="L394" s="19" t="s">
        <v>19</v>
      </c>
      <c r="M394" s="8">
        <v>4</v>
      </c>
      <c r="N394" s="33">
        <f t="shared" si="48"/>
        <v>0.38387715930902111</v>
      </c>
      <c r="O394" s="23">
        <f t="shared" si="49"/>
        <v>2.8583493282149711E-2</v>
      </c>
      <c r="P394" s="59">
        <f t="shared" si="50"/>
        <v>9.3516657093624347E-2</v>
      </c>
      <c r="Q394" s="30">
        <f t="shared" si="51"/>
        <v>7.4459999999999998E-2</v>
      </c>
      <c r="R394" s="30">
        <f t="shared" si="52"/>
        <v>0.6329572925060436</v>
      </c>
      <c r="S394" s="12">
        <f t="shared" si="53"/>
        <v>1.6329572925060436</v>
      </c>
      <c r="T394" s="30">
        <f t="shared" si="54"/>
        <v>4.6675623800383877E-2</v>
      </c>
      <c r="U394" s="9" t="str">
        <f t="shared" si="55"/>
        <v>35-44</v>
      </c>
    </row>
    <row r="395" spans="1:21">
      <c r="A395" t="s">
        <v>427</v>
      </c>
      <c r="B395" s="8">
        <v>4734</v>
      </c>
      <c r="C395" s="23">
        <v>8.7809999999999999E-2</v>
      </c>
      <c r="D395" s="19" t="s">
        <v>40</v>
      </c>
      <c r="E395" s="21">
        <v>2.323</v>
      </c>
      <c r="F395" s="21">
        <v>4.58</v>
      </c>
      <c r="G395" s="23">
        <v>0</v>
      </c>
      <c r="H395" s="26">
        <v>0</v>
      </c>
      <c r="I395" s="19" t="s">
        <v>1067</v>
      </c>
      <c r="J395" s="8">
        <v>32</v>
      </c>
      <c r="K395" s="19" t="s">
        <v>31</v>
      </c>
      <c r="L395" s="19" t="s">
        <v>38</v>
      </c>
      <c r="M395" s="8">
        <v>1</v>
      </c>
      <c r="N395" s="33">
        <f t="shared" si="48"/>
        <v>0</v>
      </c>
      <c r="O395" s="23">
        <f t="shared" si="49"/>
        <v>1.9172489082969431E-2</v>
      </c>
      <c r="P395" s="59">
        <f t="shared" si="50"/>
        <v>1.9715884631941456</v>
      </c>
      <c r="Q395" s="30">
        <f t="shared" si="51"/>
        <v>0</v>
      </c>
      <c r="R395" s="30">
        <f t="shared" si="52"/>
        <v>-1</v>
      </c>
      <c r="S395" s="12">
        <f t="shared" si="53"/>
        <v>0</v>
      </c>
      <c r="T395" s="30">
        <f t="shared" si="54"/>
        <v>0</v>
      </c>
      <c r="U395" s="9" t="str">
        <f t="shared" si="55"/>
        <v>25-34</v>
      </c>
    </row>
    <row r="396" spans="1:21">
      <c r="A396" t="s">
        <v>428</v>
      </c>
      <c r="B396" s="8">
        <v>7507</v>
      </c>
      <c r="C396" s="23">
        <v>0</v>
      </c>
      <c r="D396" s="19" t="s">
        <v>28</v>
      </c>
      <c r="E396" s="21">
        <v>3.65</v>
      </c>
      <c r="F396" s="21">
        <v>1.1910000000000001</v>
      </c>
      <c r="G396" s="23">
        <v>0</v>
      </c>
      <c r="H396" s="26">
        <v>0</v>
      </c>
      <c r="I396" s="19" t="s">
        <v>17</v>
      </c>
      <c r="J396" s="8">
        <v>20</v>
      </c>
      <c r="K396" s="19" t="s">
        <v>37</v>
      </c>
      <c r="L396" s="19" t="s">
        <v>19</v>
      </c>
      <c r="M396" s="8" t="s">
        <v>1065</v>
      </c>
      <c r="N396" s="33">
        <f t="shared" si="48"/>
        <v>0</v>
      </c>
      <c r="O396" s="23">
        <f t="shared" si="49"/>
        <v>0</v>
      </c>
      <c r="P396" s="59">
        <f t="shared" si="50"/>
        <v>0.32630136986301372</v>
      </c>
      <c r="Q396" s="30">
        <f t="shared" si="51"/>
        <v>0</v>
      </c>
      <c r="R396" s="30">
        <f t="shared" si="52"/>
        <v>0</v>
      </c>
      <c r="S396" s="12">
        <f t="shared" si="53"/>
        <v>0</v>
      </c>
      <c r="T396" s="30">
        <f t="shared" si="54"/>
        <v>0</v>
      </c>
      <c r="U396" s="9" t="str">
        <f t="shared" si="55"/>
        <v>18-24</v>
      </c>
    </row>
    <row r="397" spans="1:21">
      <c r="A397" t="s">
        <v>429</v>
      </c>
      <c r="B397" s="8">
        <v>4606</v>
      </c>
      <c r="C397" s="23">
        <v>2.0240000000000001E-2</v>
      </c>
      <c r="D397" s="19" t="s">
        <v>32</v>
      </c>
      <c r="E397" s="21">
        <v>47.343000000000004</v>
      </c>
      <c r="F397" s="21">
        <v>9.8079999999999998</v>
      </c>
      <c r="G397" s="23">
        <v>0</v>
      </c>
      <c r="H397" s="26">
        <v>0</v>
      </c>
      <c r="I397" s="19" t="s">
        <v>21</v>
      </c>
      <c r="J397" s="8">
        <v>28</v>
      </c>
      <c r="K397" s="19" t="s">
        <v>18</v>
      </c>
      <c r="L397" s="19" t="s">
        <v>45</v>
      </c>
      <c r="M397" s="8">
        <v>4</v>
      </c>
      <c r="N397" s="33">
        <f t="shared" si="48"/>
        <v>0</v>
      </c>
      <c r="O397" s="23">
        <f t="shared" si="49"/>
        <v>2.0636215334420881E-3</v>
      </c>
      <c r="P397" s="59">
        <f t="shared" si="50"/>
        <v>0.20716895845214708</v>
      </c>
      <c r="Q397" s="30">
        <f t="shared" si="51"/>
        <v>0</v>
      </c>
      <c r="R397" s="30">
        <f t="shared" si="52"/>
        <v>-1</v>
      </c>
      <c r="S397" s="12">
        <f t="shared" si="53"/>
        <v>0</v>
      </c>
      <c r="T397" s="30">
        <f t="shared" si="54"/>
        <v>0</v>
      </c>
      <c r="U397" s="9" t="str">
        <f t="shared" si="55"/>
        <v>25-34</v>
      </c>
    </row>
    <row r="398" spans="1:21">
      <c r="A398" t="s">
        <v>430</v>
      </c>
      <c r="B398" s="8">
        <v>6251</v>
      </c>
      <c r="C398" s="23">
        <v>1.5350000000000001E-2</v>
      </c>
      <c r="D398" s="19" t="s">
        <v>40</v>
      </c>
      <c r="E398" s="21">
        <v>9.0020000000000007</v>
      </c>
      <c r="F398" s="21">
        <v>2.0409999999999999</v>
      </c>
      <c r="G398" s="23">
        <v>0.30507000000000001</v>
      </c>
      <c r="H398" s="26">
        <v>1</v>
      </c>
      <c r="I398" s="19" t="s">
        <v>34</v>
      </c>
      <c r="J398" s="8">
        <v>41</v>
      </c>
      <c r="K398" s="19" t="s">
        <v>22</v>
      </c>
      <c r="L398" s="19" t="s">
        <v>19</v>
      </c>
      <c r="M398" s="8">
        <v>2</v>
      </c>
      <c r="N398" s="33">
        <f t="shared" si="48"/>
        <v>0.48995590396864286</v>
      </c>
      <c r="O398" s="23">
        <f t="shared" si="49"/>
        <v>7.5208231259186681E-3</v>
      </c>
      <c r="P398" s="59">
        <f t="shared" si="50"/>
        <v>0.22672739391246388</v>
      </c>
      <c r="Q398" s="30">
        <f t="shared" si="51"/>
        <v>1.5350000000000001E-2</v>
      </c>
      <c r="R398" s="30">
        <f t="shared" si="52"/>
        <v>18.8742671009772</v>
      </c>
      <c r="S398" s="12">
        <f t="shared" si="53"/>
        <v>19.8742671009772</v>
      </c>
      <c r="T398" s="30">
        <f t="shared" si="54"/>
        <v>0.14947084762371388</v>
      </c>
      <c r="U398" s="9" t="str">
        <f t="shared" si="55"/>
        <v>35-44</v>
      </c>
    </row>
    <row r="399" spans="1:21">
      <c r="A399" t="s">
        <v>431</v>
      </c>
      <c r="B399" s="8">
        <v>9201</v>
      </c>
      <c r="C399" s="23">
        <v>0.14832000000000001</v>
      </c>
      <c r="D399" s="19" t="s">
        <v>28</v>
      </c>
      <c r="E399" s="21">
        <v>17.393000000000001</v>
      </c>
      <c r="F399" s="21">
        <v>7.968</v>
      </c>
      <c r="G399" s="23">
        <v>0</v>
      </c>
      <c r="H399" s="26">
        <v>0</v>
      </c>
      <c r="I399" s="19" t="s">
        <v>26</v>
      </c>
      <c r="J399" s="8">
        <v>19</v>
      </c>
      <c r="K399" s="19" t="s">
        <v>18</v>
      </c>
      <c r="L399" s="19" t="s">
        <v>23</v>
      </c>
      <c r="M399" s="8">
        <v>1</v>
      </c>
      <c r="N399" s="33">
        <f t="shared" si="48"/>
        <v>0</v>
      </c>
      <c r="O399" s="23">
        <f t="shared" si="49"/>
        <v>1.8614457831325301E-2</v>
      </c>
      <c r="P399" s="59">
        <f t="shared" si="50"/>
        <v>0.45811533375495889</v>
      </c>
      <c r="Q399" s="30">
        <f t="shared" si="51"/>
        <v>0</v>
      </c>
      <c r="R399" s="30">
        <f t="shared" si="52"/>
        <v>-1</v>
      </c>
      <c r="S399" s="12">
        <f t="shared" si="53"/>
        <v>0</v>
      </c>
      <c r="T399" s="30">
        <f t="shared" si="54"/>
        <v>0</v>
      </c>
      <c r="U399" s="9" t="str">
        <f t="shared" si="55"/>
        <v>18-24</v>
      </c>
    </row>
    <row r="400" spans="1:21">
      <c r="A400" t="s">
        <v>432</v>
      </c>
      <c r="B400" s="8">
        <v>2779</v>
      </c>
      <c r="C400" s="23">
        <v>7.6660000000000006E-2</v>
      </c>
      <c r="D400" s="19" t="s">
        <v>25</v>
      </c>
      <c r="E400" s="21">
        <v>34.529000000000003</v>
      </c>
      <c r="F400" s="21">
        <v>1.1559999999999999</v>
      </c>
      <c r="G400" s="23">
        <v>0.18776999999999999</v>
      </c>
      <c r="H400" s="26">
        <v>1</v>
      </c>
      <c r="I400" s="19" t="s">
        <v>29</v>
      </c>
      <c r="J400" s="8">
        <v>27</v>
      </c>
      <c r="K400" s="19" t="s">
        <v>18</v>
      </c>
      <c r="L400" s="19" t="s">
        <v>23</v>
      </c>
      <c r="M400" s="8" t="s">
        <v>1065</v>
      </c>
      <c r="N400" s="33">
        <f t="shared" si="48"/>
        <v>0.86505190311418689</v>
      </c>
      <c r="O400" s="23">
        <f t="shared" si="49"/>
        <v>6.6314878892733575E-2</v>
      </c>
      <c r="P400" s="59">
        <f t="shared" si="50"/>
        <v>3.3479104520837549E-2</v>
      </c>
      <c r="Q400" s="30">
        <f t="shared" si="51"/>
        <v>7.6660000000000006E-2</v>
      </c>
      <c r="R400" s="30">
        <f t="shared" si="52"/>
        <v>1.4493869032089743</v>
      </c>
      <c r="S400" s="12">
        <f t="shared" si="53"/>
        <v>2.4493869032089743</v>
      </c>
      <c r="T400" s="30">
        <f t="shared" si="54"/>
        <v>0.16243079584775086</v>
      </c>
      <c r="U400" s="9" t="str">
        <f t="shared" si="55"/>
        <v>25-34</v>
      </c>
    </row>
    <row r="401" spans="1:21">
      <c r="A401" t="s">
        <v>433</v>
      </c>
      <c r="B401" s="8">
        <v>3277</v>
      </c>
      <c r="C401" s="23">
        <v>0.14513000000000001</v>
      </c>
      <c r="D401" s="19" t="s">
        <v>15</v>
      </c>
      <c r="E401" s="21">
        <v>57.426000000000002</v>
      </c>
      <c r="F401" s="21">
        <v>4.9459999999999997</v>
      </c>
      <c r="G401" s="23">
        <v>0</v>
      </c>
      <c r="H401" s="26">
        <v>0</v>
      </c>
      <c r="I401" s="19" t="s">
        <v>21</v>
      </c>
      <c r="J401" s="8">
        <v>51</v>
      </c>
      <c r="K401" s="19" t="s">
        <v>18</v>
      </c>
      <c r="L401" s="19" t="s">
        <v>19</v>
      </c>
      <c r="M401" s="8">
        <v>1</v>
      </c>
      <c r="N401" s="33">
        <f t="shared" si="48"/>
        <v>0</v>
      </c>
      <c r="O401" s="23">
        <f t="shared" si="49"/>
        <v>2.9342903356247476E-2</v>
      </c>
      <c r="P401" s="59">
        <f t="shared" si="50"/>
        <v>8.6128234597569034E-2</v>
      </c>
      <c r="Q401" s="30">
        <f t="shared" si="51"/>
        <v>0</v>
      </c>
      <c r="R401" s="30">
        <f t="shared" si="52"/>
        <v>-1</v>
      </c>
      <c r="S401" s="12">
        <f t="shared" si="53"/>
        <v>0</v>
      </c>
      <c r="T401" s="30">
        <f t="shared" si="54"/>
        <v>0</v>
      </c>
      <c r="U401" s="9" t="str">
        <f t="shared" si="55"/>
        <v>45-54</v>
      </c>
    </row>
    <row r="402" spans="1:21">
      <c r="A402" t="s">
        <v>434</v>
      </c>
      <c r="B402" s="8">
        <v>5671</v>
      </c>
      <c r="C402" s="23">
        <v>0.16014</v>
      </c>
      <c r="D402" s="19" t="s">
        <v>32</v>
      </c>
      <c r="E402" s="21">
        <v>47.491</v>
      </c>
      <c r="F402" s="21">
        <v>1.5549999999999999</v>
      </c>
      <c r="G402" s="23">
        <v>0</v>
      </c>
      <c r="H402" s="26">
        <v>0</v>
      </c>
      <c r="I402" s="19" t="s">
        <v>29</v>
      </c>
      <c r="J402" s="8">
        <v>42</v>
      </c>
      <c r="K402" s="19" t="s">
        <v>22</v>
      </c>
      <c r="L402" s="19" t="s">
        <v>32</v>
      </c>
      <c r="M402" s="8">
        <v>2</v>
      </c>
      <c r="N402" s="33">
        <f t="shared" si="48"/>
        <v>0</v>
      </c>
      <c r="O402" s="23">
        <f t="shared" si="49"/>
        <v>0.10298392282958201</v>
      </c>
      <c r="P402" s="59">
        <f t="shared" si="50"/>
        <v>3.2743046050830685E-2</v>
      </c>
      <c r="Q402" s="30">
        <f t="shared" si="51"/>
        <v>0</v>
      </c>
      <c r="R402" s="30">
        <f t="shared" si="52"/>
        <v>-1</v>
      </c>
      <c r="S402" s="12">
        <f t="shared" si="53"/>
        <v>0</v>
      </c>
      <c r="T402" s="30">
        <f t="shared" si="54"/>
        <v>0</v>
      </c>
      <c r="U402" s="9" t="str">
        <f t="shared" si="55"/>
        <v>35-44</v>
      </c>
    </row>
    <row r="403" spans="1:21">
      <c r="A403" t="s">
        <v>435</v>
      </c>
      <c r="B403" s="8">
        <v>3521</v>
      </c>
      <c r="C403" s="23">
        <v>0.18009</v>
      </c>
      <c r="D403" s="19" t="s">
        <v>32</v>
      </c>
      <c r="E403" s="21">
        <v>26.794</v>
      </c>
      <c r="F403" s="21">
        <v>1.0820000000000001</v>
      </c>
      <c r="G403" s="23">
        <v>0.17393</v>
      </c>
      <c r="H403" s="26">
        <v>1</v>
      </c>
      <c r="I403" s="19" t="s">
        <v>26</v>
      </c>
      <c r="J403" s="8">
        <v>21</v>
      </c>
      <c r="K403" s="19" t="s">
        <v>37</v>
      </c>
      <c r="L403" s="19" t="s">
        <v>45</v>
      </c>
      <c r="M403" s="8">
        <v>2</v>
      </c>
      <c r="N403" s="33">
        <f t="shared" si="48"/>
        <v>0.92421441774491675</v>
      </c>
      <c r="O403" s="23">
        <f t="shared" si="49"/>
        <v>0.16644177449168207</v>
      </c>
      <c r="P403" s="59">
        <f t="shared" si="50"/>
        <v>4.0382175113831457E-2</v>
      </c>
      <c r="Q403" s="30">
        <f t="shared" si="51"/>
        <v>0.18009</v>
      </c>
      <c r="R403" s="30">
        <f t="shared" si="52"/>
        <v>-3.4205119662391023E-2</v>
      </c>
      <c r="S403" s="12">
        <f t="shared" si="53"/>
        <v>0.96579488033760896</v>
      </c>
      <c r="T403" s="30">
        <f t="shared" si="54"/>
        <v>0.16074861367837337</v>
      </c>
      <c r="U403" s="9" t="str">
        <f t="shared" si="55"/>
        <v>18-24</v>
      </c>
    </row>
    <row r="404" spans="1:21">
      <c r="A404" t="s">
        <v>436</v>
      </c>
      <c r="B404" s="8">
        <v>3580</v>
      </c>
      <c r="C404" s="23">
        <v>0</v>
      </c>
      <c r="D404" s="19" t="s">
        <v>32</v>
      </c>
      <c r="E404" s="21">
        <v>89.745999999999995</v>
      </c>
      <c r="F404" s="21">
        <v>2.9820000000000002</v>
      </c>
      <c r="G404" s="23">
        <v>0</v>
      </c>
      <c r="H404" s="26">
        <v>0</v>
      </c>
      <c r="I404" s="19" t="s">
        <v>21</v>
      </c>
      <c r="J404" s="8">
        <v>42</v>
      </c>
      <c r="K404" s="19" t="s">
        <v>22</v>
      </c>
      <c r="L404" s="19" t="s">
        <v>19</v>
      </c>
      <c r="M404" s="8">
        <v>2</v>
      </c>
      <c r="N404" s="33">
        <f t="shared" si="48"/>
        <v>0</v>
      </c>
      <c r="O404" s="23">
        <f t="shared" si="49"/>
        <v>0</v>
      </c>
      <c r="P404" s="59">
        <f t="shared" si="50"/>
        <v>3.3227107614824065E-2</v>
      </c>
      <c r="Q404" s="30">
        <f t="shared" si="51"/>
        <v>0</v>
      </c>
      <c r="R404" s="30">
        <f t="shared" si="52"/>
        <v>0</v>
      </c>
      <c r="S404" s="12">
        <f t="shared" si="53"/>
        <v>0</v>
      </c>
      <c r="T404" s="30">
        <f t="shared" si="54"/>
        <v>0</v>
      </c>
      <c r="U404" s="9" t="str">
        <f t="shared" si="55"/>
        <v>35-44</v>
      </c>
    </row>
    <row r="405" spans="1:21">
      <c r="A405" t="s">
        <v>437</v>
      </c>
      <c r="B405" s="8">
        <v>4813</v>
      </c>
      <c r="C405" s="23">
        <v>0</v>
      </c>
      <c r="D405" s="19" t="s">
        <v>40</v>
      </c>
      <c r="E405" s="21">
        <v>82.774000000000001</v>
      </c>
      <c r="F405" s="21">
        <v>3.6669999999999998</v>
      </c>
      <c r="G405" s="23">
        <v>0</v>
      </c>
      <c r="H405" s="26">
        <v>0</v>
      </c>
      <c r="I405" s="19" t="s">
        <v>34</v>
      </c>
      <c r="J405" s="8">
        <v>37</v>
      </c>
      <c r="K405" s="19" t="s">
        <v>18</v>
      </c>
      <c r="L405" s="19" t="s">
        <v>23</v>
      </c>
      <c r="M405" s="8" t="s">
        <v>1065</v>
      </c>
      <c r="N405" s="33">
        <f t="shared" si="48"/>
        <v>0</v>
      </c>
      <c r="O405" s="23">
        <f t="shared" si="49"/>
        <v>0</v>
      </c>
      <c r="P405" s="59">
        <f t="shared" si="50"/>
        <v>4.4301350665667961E-2</v>
      </c>
      <c r="Q405" s="30">
        <f t="shared" si="51"/>
        <v>0</v>
      </c>
      <c r="R405" s="30">
        <f t="shared" si="52"/>
        <v>0</v>
      </c>
      <c r="S405" s="12">
        <f t="shared" si="53"/>
        <v>0</v>
      </c>
      <c r="T405" s="30">
        <f t="shared" si="54"/>
        <v>0</v>
      </c>
      <c r="U405" s="9" t="str">
        <f t="shared" si="55"/>
        <v>35-44</v>
      </c>
    </row>
    <row r="406" spans="1:21">
      <c r="A406" t="s">
        <v>438</v>
      </c>
      <c r="B406" s="8">
        <v>7857</v>
      </c>
      <c r="C406" s="23">
        <v>4.2090000000000002E-2</v>
      </c>
      <c r="D406" s="19" t="s">
        <v>32</v>
      </c>
      <c r="E406" s="21">
        <v>85.760999999999996</v>
      </c>
      <c r="F406" s="21">
        <v>4.2549999999999999</v>
      </c>
      <c r="G406" s="23">
        <v>0</v>
      </c>
      <c r="H406" s="26">
        <v>1</v>
      </c>
      <c r="I406" s="19" t="s">
        <v>17</v>
      </c>
      <c r="J406" s="8">
        <v>63</v>
      </c>
      <c r="K406" s="19" t="s">
        <v>37</v>
      </c>
      <c r="L406" s="19" t="s">
        <v>19</v>
      </c>
      <c r="M406" s="8">
        <v>2</v>
      </c>
      <c r="N406" s="33">
        <f t="shared" si="48"/>
        <v>0.23501762632197415</v>
      </c>
      <c r="O406" s="23">
        <f t="shared" si="49"/>
        <v>9.8918918918918936E-3</v>
      </c>
      <c r="P406" s="59">
        <f t="shared" si="50"/>
        <v>4.9614626695117826E-2</v>
      </c>
      <c r="Q406" s="30">
        <f t="shared" si="51"/>
        <v>4.2090000000000002E-2</v>
      </c>
      <c r="R406" s="30">
        <f t="shared" si="52"/>
        <v>-1</v>
      </c>
      <c r="S406" s="12">
        <f t="shared" si="53"/>
        <v>0</v>
      </c>
      <c r="T406" s="30">
        <f t="shared" si="54"/>
        <v>0</v>
      </c>
      <c r="U406" s="9" t="str">
        <f t="shared" si="55"/>
        <v>55+</v>
      </c>
    </row>
    <row r="407" spans="1:21">
      <c r="A407" t="s">
        <v>439</v>
      </c>
      <c r="B407" s="8">
        <v>4711</v>
      </c>
      <c r="C407" s="23">
        <v>1.2760000000000001E-2</v>
      </c>
      <c r="D407" s="19" t="s">
        <v>25</v>
      </c>
      <c r="E407" s="21">
        <v>70.643000000000001</v>
      </c>
      <c r="F407" s="21">
        <v>7.0430000000000001</v>
      </c>
      <c r="G407" s="23">
        <v>0</v>
      </c>
      <c r="H407" s="26">
        <v>0</v>
      </c>
      <c r="I407" s="19" t="s">
        <v>17</v>
      </c>
      <c r="J407" s="8">
        <v>18</v>
      </c>
      <c r="K407" s="19" t="s">
        <v>18</v>
      </c>
      <c r="L407" s="19" t="s">
        <v>38</v>
      </c>
      <c r="M407" s="8" t="s">
        <v>1065</v>
      </c>
      <c r="N407" s="33">
        <f t="shared" si="48"/>
        <v>0</v>
      </c>
      <c r="O407" s="23">
        <f t="shared" si="49"/>
        <v>1.8117279568365754E-3</v>
      </c>
      <c r="P407" s="59">
        <f t="shared" si="50"/>
        <v>9.9698483926220577E-2</v>
      </c>
      <c r="Q407" s="30">
        <f t="shared" si="51"/>
        <v>0</v>
      </c>
      <c r="R407" s="30">
        <f t="shared" si="52"/>
        <v>-1</v>
      </c>
      <c r="S407" s="12">
        <f t="shared" si="53"/>
        <v>0</v>
      </c>
      <c r="T407" s="30">
        <f t="shared" si="54"/>
        <v>0</v>
      </c>
      <c r="U407" s="9" t="str">
        <f t="shared" si="55"/>
        <v>18-24</v>
      </c>
    </row>
    <row r="408" spans="1:21">
      <c r="A408" t="s">
        <v>440</v>
      </c>
      <c r="B408" s="8">
        <v>8509</v>
      </c>
      <c r="C408" s="23">
        <v>7.6590000000000005E-2</v>
      </c>
      <c r="D408" s="19" t="s">
        <v>32</v>
      </c>
      <c r="E408" s="21">
        <v>29.396999999999998</v>
      </c>
      <c r="F408" s="21">
        <v>5.4219999999999997</v>
      </c>
      <c r="G408" s="23">
        <v>0</v>
      </c>
      <c r="H408" s="26">
        <v>0</v>
      </c>
      <c r="I408" s="19" t="s">
        <v>26</v>
      </c>
      <c r="J408" s="8">
        <v>51</v>
      </c>
      <c r="K408" s="19" t="s">
        <v>18</v>
      </c>
      <c r="L408" s="19" t="s">
        <v>19</v>
      </c>
      <c r="M408" s="8">
        <v>1</v>
      </c>
      <c r="N408" s="33">
        <f t="shared" si="48"/>
        <v>0</v>
      </c>
      <c r="O408" s="23">
        <f t="shared" si="49"/>
        <v>1.4125783843600149E-2</v>
      </c>
      <c r="P408" s="59">
        <f t="shared" si="50"/>
        <v>0.18444058917576622</v>
      </c>
      <c r="Q408" s="30">
        <f t="shared" si="51"/>
        <v>0</v>
      </c>
      <c r="R408" s="30">
        <f t="shared" si="52"/>
        <v>-1</v>
      </c>
      <c r="S408" s="12">
        <f t="shared" si="53"/>
        <v>0</v>
      </c>
      <c r="T408" s="30">
        <f t="shared" si="54"/>
        <v>0</v>
      </c>
      <c r="U408" s="9" t="str">
        <f t="shared" si="55"/>
        <v>45-54</v>
      </c>
    </row>
    <row r="409" spans="1:21">
      <c r="A409" t="s">
        <v>441</v>
      </c>
      <c r="B409" s="8">
        <v>9726</v>
      </c>
      <c r="C409" s="23">
        <v>1.4420000000000001E-2</v>
      </c>
      <c r="D409" s="19" t="s">
        <v>45</v>
      </c>
      <c r="E409" s="21">
        <v>2.2210000000000001</v>
      </c>
      <c r="F409" s="21">
        <v>9.3149999999999995</v>
      </c>
      <c r="G409" s="23">
        <v>0</v>
      </c>
      <c r="H409" s="26">
        <v>0</v>
      </c>
      <c r="I409" s="19" t="s">
        <v>17</v>
      </c>
      <c r="J409" s="8">
        <v>64</v>
      </c>
      <c r="K409" s="19" t="s">
        <v>37</v>
      </c>
      <c r="L409" s="19" t="s">
        <v>19</v>
      </c>
      <c r="M409" s="8">
        <v>1</v>
      </c>
      <c r="N409" s="33">
        <f t="shared" si="48"/>
        <v>0</v>
      </c>
      <c r="O409" s="23">
        <f t="shared" si="49"/>
        <v>1.5480407944176062E-3</v>
      </c>
      <c r="P409" s="59">
        <f t="shared" si="50"/>
        <v>4.1940567312021608</v>
      </c>
      <c r="Q409" s="30">
        <f t="shared" si="51"/>
        <v>0</v>
      </c>
      <c r="R409" s="30">
        <f t="shared" si="52"/>
        <v>-1</v>
      </c>
      <c r="S409" s="12">
        <f t="shared" si="53"/>
        <v>0</v>
      </c>
      <c r="T409" s="30">
        <f t="shared" si="54"/>
        <v>0</v>
      </c>
      <c r="U409" s="9" t="str">
        <f t="shared" si="55"/>
        <v>55+</v>
      </c>
    </row>
    <row r="410" spans="1:21">
      <c r="A410" t="s">
        <v>442</v>
      </c>
      <c r="B410" s="8">
        <v>3966</v>
      </c>
      <c r="C410" s="23">
        <v>0</v>
      </c>
      <c r="D410" s="19" t="s">
        <v>32</v>
      </c>
      <c r="E410" s="21">
        <v>14.577999999999999</v>
      </c>
      <c r="F410" s="21">
        <v>1.153</v>
      </c>
      <c r="G410" s="23">
        <v>0.23074</v>
      </c>
      <c r="H410" s="26">
        <v>1</v>
      </c>
      <c r="I410" s="19" t="s">
        <v>29</v>
      </c>
      <c r="J410" s="8">
        <v>41</v>
      </c>
      <c r="K410" s="19" t="s">
        <v>31</v>
      </c>
      <c r="L410" s="19" t="s">
        <v>23</v>
      </c>
      <c r="M410" s="8" t="s">
        <v>1065</v>
      </c>
      <c r="N410" s="33">
        <f t="shared" si="48"/>
        <v>0.86730268863833471</v>
      </c>
      <c r="O410" s="23">
        <f t="shared" si="49"/>
        <v>0</v>
      </c>
      <c r="P410" s="59">
        <f t="shared" si="50"/>
        <v>7.9091782137467426E-2</v>
      </c>
      <c r="Q410" s="30">
        <f t="shared" si="51"/>
        <v>0</v>
      </c>
      <c r="R410" s="30">
        <f t="shared" si="52"/>
        <v>0</v>
      </c>
      <c r="S410" s="12" t="e">
        <f t="shared" si="53"/>
        <v>#DIV/0!</v>
      </c>
      <c r="T410" s="30">
        <f t="shared" si="54"/>
        <v>0.20012142237640937</v>
      </c>
      <c r="U410" s="9" t="str">
        <f t="shared" si="55"/>
        <v>35-44</v>
      </c>
    </row>
    <row r="411" spans="1:21">
      <c r="A411" t="s">
        <v>443</v>
      </c>
      <c r="B411" s="8">
        <v>8742</v>
      </c>
      <c r="C411" s="23">
        <v>4.1610000000000001E-2</v>
      </c>
      <c r="D411" s="19" t="s">
        <v>40</v>
      </c>
      <c r="E411" s="21">
        <v>9.3659999999999997</v>
      </c>
      <c r="F411" s="21">
        <v>6.5529999999999999</v>
      </c>
      <c r="G411" s="23">
        <v>0</v>
      </c>
      <c r="H411" s="26">
        <v>0</v>
      </c>
      <c r="I411" s="19" t="s">
        <v>17</v>
      </c>
      <c r="J411" s="8">
        <v>53</v>
      </c>
      <c r="K411" s="19" t="s">
        <v>31</v>
      </c>
      <c r="L411" s="19" t="s">
        <v>45</v>
      </c>
      <c r="M411" s="8">
        <v>3</v>
      </c>
      <c r="N411" s="33">
        <f t="shared" si="48"/>
        <v>0</v>
      </c>
      <c r="O411" s="23">
        <f t="shared" si="49"/>
        <v>6.3497634671142991E-3</v>
      </c>
      <c r="P411" s="59">
        <f t="shared" si="50"/>
        <v>0.69965833867179161</v>
      </c>
      <c r="Q411" s="30">
        <f t="shared" si="51"/>
        <v>0</v>
      </c>
      <c r="R411" s="30">
        <f t="shared" si="52"/>
        <v>-1</v>
      </c>
      <c r="S411" s="12">
        <f t="shared" si="53"/>
        <v>0</v>
      </c>
      <c r="T411" s="30">
        <f t="shared" si="54"/>
        <v>0</v>
      </c>
      <c r="U411" s="9" t="str">
        <f t="shared" si="55"/>
        <v>45-54</v>
      </c>
    </row>
    <row r="412" spans="1:21">
      <c r="A412" t="s">
        <v>444</v>
      </c>
      <c r="B412" s="8">
        <v>8400</v>
      </c>
      <c r="C412" s="23">
        <v>0.15661</v>
      </c>
      <c r="D412" s="19" t="s">
        <v>15</v>
      </c>
      <c r="E412" s="21">
        <v>44.619</v>
      </c>
      <c r="F412" s="21">
        <v>0</v>
      </c>
      <c r="G412" s="23">
        <v>0</v>
      </c>
      <c r="H412" s="26">
        <v>0</v>
      </c>
      <c r="I412" s="19" t="s">
        <v>17</v>
      </c>
      <c r="J412" s="8">
        <v>55</v>
      </c>
      <c r="K412" s="19" t="s">
        <v>31</v>
      </c>
      <c r="L412" s="19" t="s">
        <v>32</v>
      </c>
      <c r="M412" s="8">
        <v>1</v>
      </c>
      <c r="N412" s="33">
        <f t="shared" si="48"/>
        <v>0</v>
      </c>
      <c r="O412" s="23">
        <f t="shared" si="49"/>
        <v>0</v>
      </c>
      <c r="P412" s="59">
        <f t="shared" si="50"/>
        <v>0</v>
      </c>
      <c r="Q412" s="30">
        <f t="shared" si="51"/>
        <v>0</v>
      </c>
      <c r="R412" s="30">
        <f t="shared" si="52"/>
        <v>-1</v>
      </c>
      <c r="S412" s="12">
        <f t="shared" si="53"/>
        <v>0</v>
      </c>
      <c r="T412" s="30">
        <f t="shared" si="54"/>
        <v>0</v>
      </c>
      <c r="U412" s="9" t="str">
        <f t="shared" si="55"/>
        <v>55+</v>
      </c>
    </row>
    <row r="413" spans="1:21">
      <c r="A413" t="s">
        <v>445</v>
      </c>
      <c r="B413" s="8">
        <v>3408</v>
      </c>
      <c r="C413" s="23">
        <v>9.7809999999999994E-2</v>
      </c>
      <c r="D413" s="19" t="s">
        <v>40</v>
      </c>
      <c r="E413" s="21">
        <v>67.960999999999999</v>
      </c>
      <c r="F413" s="21">
        <v>8.0869999999999997</v>
      </c>
      <c r="G413" s="23">
        <v>0.17679</v>
      </c>
      <c r="H413" s="26">
        <v>1</v>
      </c>
      <c r="I413" s="19" t="s">
        <v>34</v>
      </c>
      <c r="J413" s="8">
        <v>45</v>
      </c>
      <c r="K413" s="19" t="s">
        <v>37</v>
      </c>
      <c r="L413" s="19" t="s">
        <v>19</v>
      </c>
      <c r="M413" s="8">
        <v>5</v>
      </c>
      <c r="N413" s="33">
        <f t="shared" si="48"/>
        <v>0.12365524916532707</v>
      </c>
      <c r="O413" s="23">
        <f t="shared" si="49"/>
        <v>1.209471992086064E-2</v>
      </c>
      <c r="P413" s="59">
        <f t="shared" si="50"/>
        <v>0.11899471755859978</v>
      </c>
      <c r="Q413" s="30">
        <f t="shared" si="51"/>
        <v>9.7809999999999994E-2</v>
      </c>
      <c r="R413" s="30">
        <f t="shared" si="52"/>
        <v>0.80748389735200909</v>
      </c>
      <c r="S413" s="12">
        <f t="shared" si="53"/>
        <v>1.8074838973520091</v>
      </c>
      <c r="T413" s="30">
        <f t="shared" si="54"/>
        <v>2.1861011499938174E-2</v>
      </c>
      <c r="U413" s="9" t="str">
        <f t="shared" si="55"/>
        <v>45-54</v>
      </c>
    </row>
    <row r="414" spans="1:21">
      <c r="A414" t="s">
        <v>446</v>
      </c>
      <c r="B414" s="8">
        <v>4072</v>
      </c>
      <c r="C414" s="23">
        <v>9.5850000000000005E-2</v>
      </c>
      <c r="D414" s="19" t="s">
        <v>28</v>
      </c>
      <c r="E414" s="21">
        <v>53.173999999999999</v>
      </c>
      <c r="F414" s="21">
        <v>1.9830000000000001</v>
      </c>
      <c r="G414" s="23">
        <v>0</v>
      </c>
      <c r="H414" s="26">
        <v>0</v>
      </c>
      <c r="I414" s="19" t="s">
        <v>26</v>
      </c>
      <c r="J414" s="8">
        <v>43</v>
      </c>
      <c r="K414" s="19" t="s">
        <v>18</v>
      </c>
      <c r="L414" s="19" t="s">
        <v>38</v>
      </c>
      <c r="M414" s="8">
        <v>1</v>
      </c>
      <c r="N414" s="33">
        <f t="shared" si="48"/>
        <v>0</v>
      </c>
      <c r="O414" s="23">
        <f t="shared" si="49"/>
        <v>4.8335854765506808E-2</v>
      </c>
      <c r="P414" s="59">
        <f t="shared" si="50"/>
        <v>3.7292661827208785E-2</v>
      </c>
      <c r="Q414" s="30">
        <f t="shared" si="51"/>
        <v>0</v>
      </c>
      <c r="R414" s="30">
        <f t="shared" si="52"/>
        <v>-1</v>
      </c>
      <c r="S414" s="12">
        <f t="shared" si="53"/>
        <v>0</v>
      </c>
      <c r="T414" s="30">
        <f t="shared" si="54"/>
        <v>0</v>
      </c>
      <c r="U414" s="9" t="str">
        <f t="shared" si="55"/>
        <v>35-44</v>
      </c>
    </row>
    <row r="415" spans="1:21">
      <c r="A415" t="s">
        <v>447</v>
      </c>
      <c r="B415" s="8">
        <v>6273</v>
      </c>
      <c r="C415" s="23">
        <v>0</v>
      </c>
      <c r="D415" s="19" t="s">
        <v>45</v>
      </c>
      <c r="E415" s="21">
        <v>92.201999999999998</v>
      </c>
      <c r="F415" s="21">
        <v>0.33100000000000002</v>
      </c>
      <c r="G415" s="23">
        <v>0.37407000000000001</v>
      </c>
      <c r="H415" s="26">
        <v>1</v>
      </c>
      <c r="I415" s="19" t="s">
        <v>34</v>
      </c>
      <c r="J415" s="8">
        <v>64</v>
      </c>
      <c r="K415" s="19" t="s">
        <v>22</v>
      </c>
      <c r="L415" s="19" t="s">
        <v>38</v>
      </c>
      <c r="M415" s="8">
        <v>5</v>
      </c>
      <c r="N415" s="33">
        <f t="shared" si="48"/>
        <v>3.0211480362537761</v>
      </c>
      <c r="O415" s="23">
        <f t="shared" si="49"/>
        <v>0</v>
      </c>
      <c r="P415" s="59">
        <f t="shared" si="50"/>
        <v>3.5899438190060955E-3</v>
      </c>
      <c r="Q415" s="30">
        <f t="shared" si="51"/>
        <v>0</v>
      </c>
      <c r="R415" s="30">
        <f t="shared" si="52"/>
        <v>0</v>
      </c>
      <c r="S415" s="12" t="e">
        <f t="shared" si="53"/>
        <v>#DIV/0!</v>
      </c>
      <c r="T415" s="30">
        <f t="shared" si="54"/>
        <v>1.1301208459214502</v>
      </c>
      <c r="U415" s="9" t="str">
        <f t="shared" si="55"/>
        <v>55+</v>
      </c>
    </row>
    <row r="416" spans="1:21">
      <c r="A416" t="s">
        <v>448</v>
      </c>
      <c r="B416" s="8">
        <v>6094</v>
      </c>
      <c r="C416" s="23">
        <v>6.1030000000000001E-2</v>
      </c>
      <c r="D416" s="19" t="s">
        <v>15</v>
      </c>
      <c r="E416" s="21">
        <v>94.141999999999996</v>
      </c>
      <c r="F416" s="21">
        <v>8.5909999999999993</v>
      </c>
      <c r="G416" s="23">
        <v>0</v>
      </c>
      <c r="H416" s="26">
        <v>0</v>
      </c>
      <c r="I416" s="19" t="s">
        <v>21</v>
      </c>
      <c r="J416" s="8">
        <v>39</v>
      </c>
      <c r="K416" s="19" t="s">
        <v>31</v>
      </c>
      <c r="L416" s="19" t="s">
        <v>45</v>
      </c>
      <c r="M416" s="8">
        <v>1</v>
      </c>
      <c r="N416" s="33">
        <f t="shared" si="48"/>
        <v>0</v>
      </c>
      <c r="O416" s="23">
        <f t="shared" si="49"/>
        <v>7.1039459899895248E-3</v>
      </c>
      <c r="P416" s="59">
        <f t="shared" si="50"/>
        <v>9.125576257143464E-2</v>
      </c>
      <c r="Q416" s="30">
        <f t="shared" si="51"/>
        <v>0</v>
      </c>
      <c r="R416" s="30">
        <f t="shared" si="52"/>
        <v>-1</v>
      </c>
      <c r="S416" s="12">
        <f t="shared" si="53"/>
        <v>0</v>
      </c>
      <c r="T416" s="30">
        <f t="shared" si="54"/>
        <v>0</v>
      </c>
      <c r="U416" s="9" t="str">
        <f t="shared" si="55"/>
        <v>35-44</v>
      </c>
    </row>
    <row r="417" spans="1:21">
      <c r="A417" t="s">
        <v>449</v>
      </c>
      <c r="B417" s="8">
        <v>8618</v>
      </c>
      <c r="C417" s="23">
        <v>3.6749999999999998E-2</v>
      </c>
      <c r="D417" s="19" t="s">
        <v>45</v>
      </c>
      <c r="E417" s="21">
        <v>44.637999999999998</v>
      </c>
      <c r="F417" s="21">
        <v>2.4849999999999999</v>
      </c>
      <c r="G417" s="23">
        <v>0</v>
      </c>
      <c r="H417" s="26">
        <v>0</v>
      </c>
      <c r="I417" s="19" t="s">
        <v>29</v>
      </c>
      <c r="J417" s="8">
        <v>26</v>
      </c>
      <c r="K417" s="19" t="s">
        <v>22</v>
      </c>
      <c r="L417" s="19" t="s">
        <v>38</v>
      </c>
      <c r="M417" s="8">
        <v>1</v>
      </c>
      <c r="N417" s="33">
        <f t="shared" si="48"/>
        <v>0</v>
      </c>
      <c r="O417" s="23">
        <f t="shared" si="49"/>
        <v>1.4788732394366197E-2</v>
      </c>
      <c r="P417" s="59">
        <f t="shared" si="50"/>
        <v>5.5670056902190956E-2</v>
      </c>
      <c r="Q417" s="30">
        <f t="shared" si="51"/>
        <v>0</v>
      </c>
      <c r="R417" s="30">
        <f t="shared" si="52"/>
        <v>-1</v>
      </c>
      <c r="S417" s="12">
        <f t="shared" si="53"/>
        <v>0</v>
      </c>
      <c r="T417" s="30">
        <f t="shared" si="54"/>
        <v>0</v>
      </c>
      <c r="U417" s="9" t="str">
        <f t="shared" si="55"/>
        <v>25-34</v>
      </c>
    </row>
    <row r="418" spans="1:21">
      <c r="A418" t="s">
        <v>450</v>
      </c>
      <c r="B418" s="8">
        <v>9733</v>
      </c>
      <c r="C418" s="23">
        <v>4.394E-2</v>
      </c>
      <c r="D418" s="19" t="s">
        <v>25</v>
      </c>
      <c r="E418" s="21">
        <v>40.609000000000002</v>
      </c>
      <c r="F418" s="21">
        <v>9.8699999999999992</v>
      </c>
      <c r="G418" s="23">
        <v>0</v>
      </c>
      <c r="H418" s="26">
        <v>0</v>
      </c>
      <c r="I418" s="19" t="s">
        <v>34</v>
      </c>
      <c r="J418" s="8">
        <v>46</v>
      </c>
      <c r="K418" s="19" t="s">
        <v>18</v>
      </c>
      <c r="L418" s="19" t="s">
        <v>38</v>
      </c>
      <c r="M418" s="8">
        <v>1</v>
      </c>
      <c r="N418" s="33">
        <f t="shared" si="48"/>
        <v>0</v>
      </c>
      <c r="O418" s="23">
        <f t="shared" si="49"/>
        <v>4.4518743667679838E-3</v>
      </c>
      <c r="P418" s="59">
        <f t="shared" si="50"/>
        <v>0.2430495702922997</v>
      </c>
      <c r="Q418" s="30">
        <f t="shared" si="51"/>
        <v>0</v>
      </c>
      <c r="R418" s="30">
        <f t="shared" si="52"/>
        <v>-1</v>
      </c>
      <c r="S418" s="12">
        <f t="shared" si="53"/>
        <v>0</v>
      </c>
      <c r="T418" s="30">
        <f t="shared" si="54"/>
        <v>0</v>
      </c>
      <c r="U418" s="9" t="str">
        <f t="shared" si="55"/>
        <v>45-54</v>
      </c>
    </row>
    <row r="419" spans="1:21">
      <c r="A419" t="s">
        <v>451</v>
      </c>
      <c r="B419" s="8">
        <v>8815</v>
      </c>
      <c r="C419" s="23">
        <v>0.12703999999999999</v>
      </c>
      <c r="D419" s="19" t="s">
        <v>25</v>
      </c>
      <c r="E419" s="21">
        <v>33.718000000000004</v>
      </c>
      <c r="F419" s="21">
        <v>5.0339999999999998</v>
      </c>
      <c r="G419" s="23">
        <v>0</v>
      </c>
      <c r="H419" s="26">
        <v>0</v>
      </c>
      <c r="I419" s="19" t="s">
        <v>29</v>
      </c>
      <c r="J419" s="8">
        <v>41</v>
      </c>
      <c r="K419" s="19" t="s">
        <v>18</v>
      </c>
      <c r="L419" s="19" t="s">
        <v>32</v>
      </c>
      <c r="M419" s="8">
        <v>1</v>
      </c>
      <c r="N419" s="33">
        <f t="shared" si="48"/>
        <v>0</v>
      </c>
      <c r="O419" s="23">
        <f t="shared" si="49"/>
        <v>2.5236392530790623E-2</v>
      </c>
      <c r="P419" s="59">
        <f t="shared" si="50"/>
        <v>0.14929711133519186</v>
      </c>
      <c r="Q419" s="30">
        <f t="shared" si="51"/>
        <v>0</v>
      </c>
      <c r="R419" s="30">
        <f t="shared" si="52"/>
        <v>-1</v>
      </c>
      <c r="S419" s="12">
        <f t="shared" si="53"/>
        <v>0</v>
      </c>
      <c r="T419" s="30">
        <f t="shared" si="54"/>
        <v>0</v>
      </c>
      <c r="U419" s="9" t="str">
        <f t="shared" si="55"/>
        <v>35-44</v>
      </c>
    </row>
    <row r="420" spans="1:21">
      <c r="A420" t="s">
        <v>452</v>
      </c>
      <c r="B420" s="8">
        <v>1466</v>
      </c>
      <c r="C420" s="23">
        <v>8.4820000000000007E-2</v>
      </c>
      <c r="D420" s="19" t="s">
        <v>25</v>
      </c>
      <c r="E420" s="21">
        <v>33.450000000000003</v>
      </c>
      <c r="F420" s="21">
        <v>4.702</v>
      </c>
      <c r="G420" s="23">
        <v>0</v>
      </c>
      <c r="H420" s="26">
        <v>0</v>
      </c>
      <c r="I420" s="19" t="s">
        <v>21</v>
      </c>
      <c r="J420" s="8">
        <v>20</v>
      </c>
      <c r="K420" s="19" t="s">
        <v>22</v>
      </c>
      <c r="L420" s="19" t="s">
        <v>38</v>
      </c>
      <c r="M420" s="8" t="s">
        <v>1065</v>
      </c>
      <c r="N420" s="33">
        <f t="shared" si="48"/>
        <v>0</v>
      </c>
      <c r="O420" s="23">
        <f t="shared" si="49"/>
        <v>1.8039132284134413E-2</v>
      </c>
      <c r="P420" s="59">
        <f t="shared" si="50"/>
        <v>0.14056801195814647</v>
      </c>
      <c r="Q420" s="30">
        <f t="shared" si="51"/>
        <v>0</v>
      </c>
      <c r="R420" s="30">
        <f t="shared" si="52"/>
        <v>-1</v>
      </c>
      <c r="S420" s="12">
        <f t="shared" si="53"/>
        <v>0</v>
      </c>
      <c r="T420" s="30">
        <f t="shared" si="54"/>
        <v>0</v>
      </c>
      <c r="U420" s="9" t="str">
        <f t="shared" si="55"/>
        <v>18-24</v>
      </c>
    </row>
    <row r="421" spans="1:21">
      <c r="A421" t="s">
        <v>453</v>
      </c>
      <c r="B421" s="8">
        <v>1439</v>
      </c>
      <c r="C421" s="23">
        <v>0.14198</v>
      </c>
      <c r="D421" s="19" t="s">
        <v>40</v>
      </c>
      <c r="E421" s="21">
        <v>63.418999999999997</v>
      </c>
      <c r="F421" s="21">
        <v>7.6920000000000002</v>
      </c>
      <c r="G421" s="23">
        <v>0.21218000000000001</v>
      </c>
      <c r="H421" s="26">
        <v>1</v>
      </c>
      <c r="I421" s="19" t="s">
        <v>21</v>
      </c>
      <c r="J421" s="8">
        <v>56</v>
      </c>
      <c r="K421" s="19" t="s">
        <v>37</v>
      </c>
      <c r="L421" s="19" t="s">
        <v>45</v>
      </c>
      <c r="M421" s="8">
        <v>3</v>
      </c>
      <c r="N421" s="33">
        <f t="shared" si="48"/>
        <v>0.13000520020800832</v>
      </c>
      <c r="O421" s="23">
        <f t="shared" si="49"/>
        <v>1.845813832553302E-2</v>
      </c>
      <c r="P421" s="59">
        <f t="shared" si="50"/>
        <v>0.12128857282517859</v>
      </c>
      <c r="Q421" s="30">
        <f t="shared" si="51"/>
        <v>0.14198</v>
      </c>
      <c r="R421" s="30">
        <f t="shared" si="52"/>
        <v>0.4944358360332442</v>
      </c>
      <c r="S421" s="12">
        <f t="shared" si="53"/>
        <v>1.4944358360332441</v>
      </c>
      <c r="T421" s="30">
        <f t="shared" si="54"/>
        <v>2.7584503380135204E-2</v>
      </c>
      <c r="U421" s="9" t="str">
        <f t="shared" si="55"/>
        <v>55+</v>
      </c>
    </row>
    <row r="422" spans="1:21">
      <c r="A422" t="s">
        <v>454</v>
      </c>
      <c r="B422" s="8">
        <v>5507</v>
      </c>
      <c r="C422" s="23">
        <v>8.2220000000000001E-2</v>
      </c>
      <c r="D422" s="19" t="s">
        <v>15</v>
      </c>
      <c r="E422" s="21">
        <v>19.327999999999999</v>
      </c>
      <c r="F422" s="21">
        <v>1.4139999999999999</v>
      </c>
      <c r="G422" s="23">
        <v>0</v>
      </c>
      <c r="H422" s="26">
        <v>0</v>
      </c>
      <c r="I422" s="19" t="s">
        <v>1067</v>
      </c>
      <c r="J422" s="8">
        <v>60</v>
      </c>
      <c r="K422" s="19" t="s">
        <v>37</v>
      </c>
      <c r="L422" s="19" t="s">
        <v>23</v>
      </c>
      <c r="M422" s="8">
        <v>1</v>
      </c>
      <c r="N422" s="33">
        <f t="shared" si="48"/>
        <v>0</v>
      </c>
      <c r="O422" s="23">
        <f t="shared" si="49"/>
        <v>5.8147100424328149E-2</v>
      </c>
      <c r="P422" s="59">
        <f t="shared" si="50"/>
        <v>7.3158112582781459E-2</v>
      </c>
      <c r="Q422" s="30">
        <f t="shared" si="51"/>
        <v>0</v>
      </c>
      <c r="R422" s="30">
        <f t="shared" si="52"/>
        <v>-1</v>
      </c>
      <c r="S422" s="12">
        <f t="shared" si="53"/>
        <v>0</v>
      </c>
      <c r="T422" s="30">
        <f t="shared" si="54"/>
        <v>0</v>
      </c>
      <c r="U422" s="9" t="str">
        <f t="shared" si="55"/>
        <v>55+</v>
      </c>
    </row>
    <row r="423" spans="1:21">
      <c r="A423" t="s">
        <v>455</v>
      </c>
      <c r="B423" s="8">
        <v>6612</v>
      </c>
      <c r="C423" s="23">
        <v>0</v>
      </c>
      <c r="D423" s="19" t="s">
        <v>32</v>
      </c>
      <c r="E423" s="21">
        <v>12.955</v>
      </c>
      <c r="F423" s="21">
        <v>3.0030000000000001</v>
      </c>
      <c r="G423" s="23">
        <v>0</v>
      </c>
      <c r="H423" s="26">
        <v>0</v>
      </c>
      <c r="I423" s="19" t="s">
        <v>29</v>
      </c>
      <c r="J423" s="8">
        <v>36</v>
      </c>
      <c r="K423" s="19" t="s">
        <v>31</v>
      </c>
      <c r="L423" s="19" t="s">
        <v>45</v>
      </c>
      <c r="M423" s="8">
        <v>5</v>
      </c>
      <c r="N423" s="33">
        <f t="shared" si="48"/>
        <v>0</v>
      </c>
      <c r="O423" s="23">
        <f t="shared" si="49"/>
        <v>0</v>
      </c>
      <c r="P423" s="59">
        <f t="shared" si="50"/>
        <v>0.2318023928984948</v>
      </c>
      <c r="Q423" s="30">
        <f t="shared" si="51"/>
        <v>0</v>
      </c>
      <c r="R423" s="30">
        <f t="shared" si="52"/>
        <v>0</v>
      </c>
      <c r="S423" s="12">
        <f t="shared" si="53"/>
        <v>0</v>
      </c>
      <c r="T423" s="30">
        <f t="shared" si="54"/>
        <v>0</v>
      </c>
      <c r="U423" s="9" t="str">
        <f t="shared" si="55"/>
        <v>35-44</v>
      </c>
    </row>
    <row r="424" spans="1:21">
      <c r="A424" t="s">
        <v>456</v>
      </c>
      <c r="B424" s="8">
        <v>7713</v>
      </c>
      <c r="C424" s="23">
        <v>0</v>
      </c>
      <c r="D424" s="19" t="s">
        <v>15</v>
      </c>
      <c r="E424" s="21">
        <v>42.517000000000003</v>
      </c>
      <c r="F424" s="21">
        <v>0.309</v>
      </c>
      <c r="G424" s="23">
        <v>0.10974</v>
      </c>
      <c r="H424" s="26">
        <v>1</v>
      </c>
      <c r="I424" s="19" t="s">
        <v>34</v>
      </c>
      <c r="J424" s="8">
        <v>35</v>
      </c>
      <c r="K424" s="19" t="s">
        <v>18</v>
      </c>
      <c r="L424" s="19" t="s">
        <v>19</v>
      </c>
      <c r="M424" s="8" t="s">
        <v>1065</v>
      </c>
      <c r="N424" s="33">
        <f t="shared" si="48"/>
        <v>3.2362459546925568</v>
      </c>
      <c r="O424" s="23">
        <f t="shared" si="49"/>
        <v>0</v>
      </c>
      <c r="P424" s="59">
        <f t="shared" si="50"/>
        <v>7.2676811628289853E-3</v>
      </c>
      <c r="Q424" s="30">
        <f t="shared" si="51"/>
        <v>0</v>
      </c>
      <c r="R424" s="30">
        <f t="shared" si="52"/>
        <v>0</v>
      </c>
      <c r="S424" s="12" t="e">
        <f t="shared" si="53"/>
        <v>#DIV/0!</v>
      </c>
      <c r="T424" s="30">
        <f t="shared" si="54"/>
        <v>0.35514563106796121</v>
      </c>
      <c r="U424" s="9" t="str">
        <f t="shared" si="55"/>
        <v>35-44</v>
      </c>
    </row>
    <row r="425" spans="1:21">
      <c r="A425" t="s">
        <v>457</v>
      </c>
      <c r="B425" s="8">
        <v>3448</v>
      </c>
      <c r="C425" s="23">
        <v>0.11761000000000001</v>
      </c>
      <c r="D425" s="19" t="s">
        <v>15</v>
      </c>
      <c r="E425" s="21">
        <v>36.912999999999997</v>
      </c>
      <c r="F425" s="21">
        <v>8.9060000000000006</v>
      </c>
      <c r="G425" s="23">
        <v>0.12209</v>
      </c>
      <c r="H425" s="26">
        <v>1</v>
      </c>
      <c r="I425" s="19" t="s">
        <v>21</v>
      </c>
      <c r="J425" s="8">
        <v>49</v>
      </c>
      <c r="K425" s="19" t="s">
        <v>31</v>
      </c>
      <c r="L425" s="19" t="s">
        <v>23</v>
      </c>
      <c r="M425" s="8">
        <v>4</v>
      </c>
      <c r="N425" s="33">
        <f t="shared" si="48"/>
        <v>0.11228385358185493</v>
      </c>
      <c r="O425" s="23">
        <f t="shared" si="49"/>
        <v>1.3205704019761958E-2</v>
      </c>
      <c r="P425" s="59">
        <f t="shared" si="50"/>
        <v>0.24127001327445619</v>
      </c>
      <c r="Q425" s="30">
        <f t="shared" si="51"/>
        <v>0.11761000000000001</v>
      </c>
      <c r="R425" s="30">
        <f t="shared" si="52"/>
        <v>3.8091998979678576E-2</v>
      </c>
      <c r="S425" s="12">
        <f t="shared" si="53"/>
        <v>1.0380919989796786</v>
      </c>
      <c r="T425" s="30">
        <f t="shared" si="54"/>
        <v>1.3708735683808667E-2</v>
      </c>
      <c r="U425" s="9" t="str">
        <f t="shared" si="55"/>
        <v>45-54</v>
      </c>
    </row>
    <row r="426" spans="1:21">
      <c r="A426" t="s">
        <v>458</v>
      </c>
      <c r="B426" s="8">
        <v>7956</v>
      </c>
      <c r="C426" s="23">
        <v>0</v>
      </c>
      <c r="D426" s="19" t="s">
        <v>40</v>
      </c>
      <c r="E426" s="21">
        <v>87.450999999999993</v>
      </c>
      <c r="F426" s="21">
        <v>1.175</v>
      </c>
      <c r="G426" s="23">
        <v>3.789E-2</v>
      </c>
      <c r="H426" s="26">
        <v>1</v>
      </c>
      <c r="I426" s="19" t="s">
        <v>17</v>
      </c>
      <c r="J426" s="8">
        <v>41</v>
      </c>
      <c r="K426" s="19" t="s">
        <v>37</v>
      </c>
      <c r="L426" s="19" t="s">
        <v>19</v>
      </c>
      <c r="M426" s="8">
        <v>1</v>
      </c>
      <c r="N426" s="33">
        <f t="shared" si="48"/>
        <v>0.85106382978723405</v>
      </c>
      <c r="O426" s="23">
        <f t="shared" si="49"/>
        <v>0</v>
      </c>
      <c r="P426" s="59">
        <f t="shared" si="50"/>
        <v>1.3436095642131024E-2</v>
      </c>
      <c r="Q426" s="30">
        <f t="shared" si="51"/>
        <v>0</v>
      </c>
      <c r="R426" s="30">
        <f t="shared" si="52"/>
        <v>0</v>
      </c>
      <c r="S426" s="12" t="e">
        <f t="shared" si="53"/>
        <v>#DIV/0!</v>
      </c>
      <c r="T426" s="30">
        <f t="shared" si="54"/>
        <v>3.2246808510638297E-2</v>
      </c>
      <c r="U426" s="9" t="str">
        <f t="shared" si="55"/>
        <v>35-44</v>
      </c>
    </row>
    <row r="427" spans="1:21">
      <c r="A427" t="s">
        <v>459</v>
      </c>
      <c r="B427" s="8">
        <v>5022</v>
      </c>
      <c r="C427" s="23">
        <v>0</v>
      </c>
      <c r="D427" s="19" t="s">
        <v>45</v>
      </c>
      <c r="E427" s="21">
        <v>72.108999999999995</v>
      </c>
      <c r="F427" s="21">
        <v>3.0230000000000001</v>
      </c>
      <c r="G427" s="23">
        <v>0</v>
      </c>
      <c r="H427" s="26">
        <v>0</v>
      </c>
      <c r="I427" s="19" t="s">
        <v>21</v>
      </c>
      <c r="J427" s="8">
        <v>56</v>
      </c>
      <c r="K427" s="19" t="s">
        <v>37</v>
      </c>
      <c r="L427" s="19" t="s">
        <v>19</v>
      </c>
      <c r="M427" s="8">
        <v>5</v>
      </c>
      <c r="N427" s="33">
        <f t="shared" si="48"/>
        <v>0</v>
      </c>
      <c r="O427" s="23">
        <f t="shared" si="49"/>
        <v>0</v>
      </c>
      <c r="P427" s="59">
        <f t="shared" si="50"/>
        <v>4.1922644884827144E-2</v>
      </c>
      <c r="Q427" s="30">
        <f t="shared" si="51"/>
        <v>0</v>
      </c>
      <c r="R427" s="30">
        <f t="shared" si="52"/>
        <v>0</v>
      </c>
      <c r="S427" s="12">
        <f t="shared" si="53"/>
        <v>0</v>
      </c>
      <c r="T427" s="30">
        <f t="shared" si="54"/>
        <v>0</v>
      </c>
      <c r="U427" s="9" t="str">
        <f t="shared" si="55"/>
        <v>55+</v>
      </c>
    </row>
    <row r="428" spans="1:21">
      <c r="A428" t="s">
        <v>460</v>
      </c>
      <c r="B428" s="8">
        <v>2346</v>
      </c>
      <c r="C428" s="23">
        <v>0</v>
      </c>
      <c r="D428" s="19" t="s">
        <v>15</v>
      </c>
      <c r="E428" s="21">
        <v>19.085999999999999</v>
      </c>
      <c r="F428" s="21">
        <v>0.90400000000000003</v>
      </c>
      <c r="G428" s="23">
        <v>0</v>
      </c>
      <c r="H428" s="26">
        <v>0</v>
      </c>
      <c r="I428" s="19" t="s">
        <v>29</v>
      </c>
      <c r="J428" s="8">
        <v>21</v>
      </c>
      <c r="K428" s="19" t="s">
        <v>31</v>
      </c>
      <c r="L428" s="19" t="s">
        <v>19</v>
      </c>
      <c r="M428" s="8">
        <v>4</v>
      </c>
      <c r="N428" s="33">
        <f t="shared" si="48"/>
        <v>0</v>
      </c>
      <c r="O428" s="23">
        <f t="shared" si="49"/>
        <v>0</v>
      </c>
      <c r="P428" s="59">
        <f t="shared" si="50"/>
        <v>4.7364560410772298E-2</v>
      </c>
      <c r="Q428" s="30">
        <f t="shared" si="51"/>
        <v>0</v>
      </c>
      <c r="R428" s="30">
        <f t="shared" si="52"/>
        <v>0</v>
      </c>
      <c r="S428" s="12">
        <f t="shared" si="53"/>
        <v>0</v>
      </c>
      <c r="T428" s="30">
        <f t="shared" si="54"/>
        <v>0</v>
      </c>
      <c r="U428" s="9" t="str">
        <f t="shared" si="55"/>
        <v>18-24</v>
      </c>
    </row>
    <row r="429" spans="1:21">
      <c r="A429" t="s">
        <v>461</v>
      </c>
      <c r="B429" s="8">
        <v>5394</v>
      </c>
      <c r="C429" s="23">
        <v>5.4489999999999997E-2</v>
      </c>
      <c r="D429" s="19" t="s">
        <v>28</v>
      </c>
      <c r="E429" s="21">
        <v>28.920999999999999</v>
      </c>
      <c r="F429" s="21">
        <v>2.0779999999999998</v>
      </c>
      <c r="G429" s="23">
        <v>0</v>
      </c>
      <c r="H429" s="26">
        <v>0</v>
      </c>
      <c r="I429" s="19" t="s">
        <v>1067</v>
      </c>
      <c r="J429" s="8">
        <v>37</v>
      </c>
      <c r="K429" s="19" t="s">
        <v>18</v>
      </c>
      <c r="L429" s="19" t="s">
        <v>32</v>
      </c>
      <c r="M429" s="8">
        <v>5</v>
      </c>
      <c r="N429" s="33">
        <f t="shared" si="48"/>
        <v>0</v>
      </c>
      <c r="O429" s="23">
        <f t="shared" si="49"/>
        <v>2.6222329162656401E-2</v>
      </c>
      <c r="P429" s="59">
        <f t="shared" si="50"/>
        <v>7.1850904187268763E-2</v>
      </c>
      <c r="Q429" s="30">
        <f t="shared" si="51"/>
        <v>0</v>
      </c>
      <c r="R429" s="30">
        <f t="shared" si="52"/>
        <v>-1</v>
      </c>
      <c r="S429" s="12">
        <f t="shared" si="53"/>
        <v>0</v>
      </c>
      <c r="T429" s="30">
        <f t="shared" si="54"/>
        <v>0</v>
      </c>
      <c r="U429" s="9" t="str">
        <f t="shared" si="55"/>
        <v>35-44</v>
      </c>
    </row>
    <row r="430" spans="1:21">
      <c r="A430" t="s">
        <v>462</v>
      </c>
      <c r="B430" s="8">
        <v>3744</v>
      </c>
      <c r="C430" s="23">
        <v>3.5610000000000003E-2</v>
      </c>
      <c r="D430" s="19" t="s">
        <v>40</v>
      </c>
      <c r="E430" s="21">
        <v>16.843</v>
      </c>
      <c r="F430" s="21">
        <v>2.1749999999999998</v>
      </c>
      <c r="G430" s="23">
        <v>0</v>
      </c>
      <c r="H430" s="26">
        <v>0</v>
      </c>
      <c r="I430" s="19" t="s">
        <v>29</v>
      </c>
      <c r="J430" s="8">
        <v>47</v>
      </c>
      <c r="K430" s="19" t="s">
        <v>37</v>
      </c>
      <c r="L430" s="19" t="s">
        <v>38</v>
      </c>
      <c r="M430" s="8">
        <v>2</v>
      </c>
      <c r="N430" s="33">
        <f t="shared" si="48"/>
        <v>0</v>
      </c>
      <c r="O430" s="23">
        <f t="shared" si="49"/>
        <v>1.637241379310345E-2</v>
      </c>
      <c r="P430" s="59">
        <f t="shared" si="50"/>
        <v>0.12913376476874666</v>
      </c>
      <c r="Q430" s="30">
        <f t="shared" si="51"/>
        <v>0</v>
      </c>
      <c r="R430" s="30">
        <f t="shared" si="52"/>
        <v>-1</v>
      </c>
      <c r="S430" s="12">
        <f t="shared" si="53"/>
        <v>0</v>
      </c>
      <c r="T430" s="30">
        <f t="shared" si="54"/>
        <v>0</v>
      </c>
      <c r="U430" s="9" t="str">
        <f t="shared" si="55"/>
        <v>45-54</v>
      </c>
    </row>
    <row r="431" spans="1:21">
      <c r="A431" t="s">
        <v>463</v>
      </c>
      <c r="B431" s="8">
        <v>1604</v>
      </c>
      <c r="C431" s="23">
        <v>8.7980000000000003E-2</v>
      </c>
      <c r="D431" s="19" t="s">
        <v>25</v>
      </c>
      <c r="E431" s="21">
        <v>2.056</v>
      </c>
      <c r="F431" s="21">
        <v>6.5810000000000004</v>
      </c>
      <c r="G431" s="23">
        <v>0.19320999999999999</v>
      </c>
      <c r="H431" s="26">
        <v>1</v>
      </c>
      <c r="I431" s="19" t="s">
        <v>29</v>
      </c>
      <c r="J431" s="8">
        <v>62</v>
      </c>
      <c r="K431" s="19" t="s">
        <v>37</v>
      </c>
      <c r="L431" s="19" t="s">
        <v>45</v>
      </c>
      <c r="M431" s="8">
        <v>1</v>
      </c>
      <c r="N431" s="33">
        <f t="shared" si="48"/>
        <v>0.15195259079167298</v>
      </c>
      <c r="O431" s="23">
        <f t="shared" si="49"/>
        <v>1.336878893785139E-2</v>
      </c>
      <c r="P431" s="59">
        <f t="shared" si="50"/>
        <v>3.2008754863813231</v>
      </c>
      <c r="Q431" s="30">
        <f t="shared" si="51"/>
        <v>8.7980000000000003E-2</v>
      </c>
      <c r="R431" s="30">
        <f t="shared" si="52"/>
        <v>1.1960672880200045</v>
      </c>
      <c r="S431" s="12">
        <f t="shared" si="53"/>
        <v>2.1960672880200045</v>
      </c>
      <c r="T431" s="30">
        <f t="shared" si="54"/>
        <v>2.9358760066859137E-2</v>
      </c>
      <c r="U431" s="9" t="str">
        <f t="shared" si="55"/>
        <v>55+</v>
      </c>
    </row>
    <row r="432" spans="1:21">
      <c r="A432" t="s">
        <v>464</v>
      </c>
      <c r="B432" s="8">
        <v>6366</v>
      </c>
      <c r="C432" s="23">
        <v>0</v>
      </c>
      <c r="D432" s="19" t="s">
        <v>40</v>
      </c>
      <c r="E432" s="21">
        <v>9.7129999999999992</v>
      </c>
      <c r="F432" s="21">
        <v>3.141</v>
      </c>
      <c r="G432" s="23">
        <v>0</v>
      </c>
      <c r="H432" s="26">
        <v>0</v>
      </c>
      <c r="I432" s="19" t="s">
        <v>21</v>
      </c>
      <c r="J432" s="8">
        <v>62</v>
      </c>
      <c r="K432" s="19" t="s">
        <v>31</v>
      </c>
      <c r="L432" s="19" t="s">
        <v>38</v>
      </c>
      <c r="M432" s="8">
        <v>1</v>
      </c>
      <c r="N432" s="33">
        <f t="shared" si="48"/>
        <v>0</v>
      </c>
      <c r="O432" s="23">
        <f t="shared" si="49"/>
        <v>0</v>
      </c>
      <c r="P432" s="59">
        <f t="shared" si="50"/>
        <v>0.32338103572531662</v>
      </c>
      <c r="Q432" s="30">
        <f t="shared" si="51"/>
        <v>0</v>
      </c>
      <c r="R432" s="30">
        <f t="shared" si="52"/>
        <v>0</v>
      </c>
      <c r="S432" s="12">
        <f t="shared" si="53"/>
        <v>0</v>
      </c>
      <c r="T432" s="30">
        <f t="shared" si="54"/>
        <v>0</v>
      </c>
      <c r="U432" s="9" t="str">
        <f t="shared" si="55"/>
        <v>55+</v>
      </c>
    </row>
    <row r="433" spans="1:21">
      <c r="A433" t="s">
        <v>465</v>
      </c>
      <c r="B433" s="8">
        <v>7542</v>
      </c>
      <c r="C433" s="23">
        <v>0.18360000000000001</v>
      </c>
      <c r="D433" s="19" t="s">
        <v>15</v>
      </c>
      <c r="E433" s="21">
        <v>76.605999999999995</v>
      </c>
      <c r="F433" s="21">
        <v>9.202</v>
      </c>
      <c r="G433" s="23">
        <v>0</v>
      </c>
      <c r="H433" s="26">
        <v>0</v>
      </c>
      <c r="I433" s="19" t="s">
        <v>34</v>
      </c>
      <c r="J433" s="8">
        <v>50</v>
      </c>
      <c r="K433" s="19" t="s">
        <v>22</v>
      </c>
      <c r="L433" s="19" t="s">
        <v>45</v>
      </c>
      <c r="M433" s="8" t="s">
        <v>1065</v>
      </c>
      <c r="N433" s="33">
        <f t="shared" si="48"/>
        <v>0</v>
      </c>
      <c r="O433" s="23">
        <f t="shared" si="49"/>
        <v>1.9952184307759184E-2</v>
      </c>
      <c r="P433" s="59">
        <f t="shared" si="50"/>
        <v>0.12012113933634443</v>
      </c>
      <c r="Q433" s="30">
        <f t="shared" si="51"/>
        <v>0</v>
      </c>
      <c r="R433" s="30">
        <f t="shared" si="52"/>
        <v>-1</v>
      </c>
      <c r="S433" s="12">
        <f t="shared" si="53"/>
        <v>0</v>
      </c>
      <c r="T433" s="30">
        <f t="shared" si="54"/>
        <v>0</v>
      </c>
      <c r="U433" s="9" t="str">
        <f t="shared" si="55"/>
        <v>45-54</v>
      </c>
    </row>
    <row r="434" spans="1:21">
      <c r="A434" t="s">
        <v>466</v>
      </c>
      <c r="B434" s="8">
        <v>5126</v>
      </c>
      <c r="C434" s="23">
        <v>0</v>
      </c>
      <c r="D434" s="19" t="s">
        <v>45</v>
      </c>
      <c r="E434" s="21">
        <v>9.1110000000000007</v>
      </c>
      <c r="F434" s="21">
        <v>0.96299999999999997</v>
      </c>
      <c r="G434" s="23">
        <v>0</v>
      </c>
      <c r="H434" s="26">
        <v>0</v>
      </c>
      <c r="I434" s="19" t="s">
        <v>21</v>
      </c>
      <c r="J434" s="8">
        <v>41</v>
      </c>
      <c r="K434" s="19" t="s">
        <v>18</v>
      </c>
      <c r="L434" s="19" t="s">
        <v>32</v>
      </c>
      <c r="M434" s="8">
        <v>2</v>
      </c>
      <c r="N434" s="33">
        <f t="shared" si="48"/>
        <v>0</v>
      </c>
      <c r="O434" s="23">
        <f t="shared" si="49"/>
        <v>0</v>
      </c>
      <c r="P434" s="59">
        <f t="shared" si="50"/>
        <v>0.10569641093184062</v>
      </c>
      <c r="Q434" s="30">
        <f t="shared" si="51"/>
        <v>0</v>
      </c>
      <c r="R434" s="30">
        <f t="shared" si="52"/>
        <v>0</v>
      </c>
      <c r="S434" s="12">
        <f t="shared" si="53"/>
        <v>0</v>
      </c>
      <c r="T434" s="30">
        <f t="shared" si="54"/>
        <v>0</v>
      </c>
      <c r="U434" s="9" t="str">
        <f t="shared" si="55"/>
        <v>35-44</v>
      </c>
    </row>
    <row r="435" spans="1:21">
      <c r="A435" t="s">
        <v>467</v>
      </c>
      <c r="B435" s="8">
        <v>6197</v>
      </c>
      <c r="C435" s="23">
        <v>7.689E-2</v>
      </c>
      <c r="D435" s="19" t="s">
        <v>25</v>
      </c>
      <c r="E435" s="21">
        <v>61.677</v>
      </c>
      <c r="F435" s="21">
        <v>1.4370000000000001</v>
      </c>
      <c r="G435" s="23">
        <v>9.8610000000000003E-2</v>
      </c>
      <c r="H435" s="26">
        <v>1</v>
      </c>
      <c r="I435" s="19" t="s">
        <v>21</v>
      </c>
      <c r="J435" s="8">
        <v>56</v>
      </c>
      <c r="K435" s="19" t="s">
        <v>22</v>
      </c>
      <c r="L435" s="19" t="s">
        <v>45</v>
      </c>
      <c r="M435" s="8">
        <v>5</v>
      </c>
      <c r="N435" s="33">
        <f t="shared" si="48"/>
        <v>0.6958942240779401</v>
      </c>
      <c r="O435" s="23">
        <f t="shared" si="49"/>
        <v>5.3507306889352818E-2</v>
      </c>
      <c r="P435" s="59">
        <f t="shared" si="50"/>
        <v>2.3298798579697456E-2</v>
      </c>
      <c r="Q435" s="30">
        <f t="shared" si="51"/>
        <v>7.689E-2</v>
      </c>
      <c r="R435" s="30">
        <f t="shared" si="52"/>
        <v>0.28248146703082327</v>
      </c>
      <c r="S435" s="12">
        <f t="shared" si="53"/>
        <v>1.2824814670308233</v>
      </c>
      <c r="T435" s="30">
        <f t="shared" si="54"/>
        <v>6.8622129436325674E-2</v>
      </c>
      <c r="U435" s="9" t="str">
        <f t="shared" si="55"/>
        <v>55+</v>
      </c>
    </row>
    <row r="436" spans="1:21">
      <c r="A436" t="s">
        <v>468</v>
      </c>
      <c r="B436" s="8">
        <v>5543</v>
      </c>
      <c r="C436" s="23">
        <v>0</v>
      </c>
      <c r="D436" s="19" t="s">
        <v>45</v>
      </c>
      <c r="E436" s="21">
        <v>36.058</v>
      </c>
      <c r="F436" s="21">
        <v>2.5680000000000001</v>
      </c>
      <c r="G436" s="23">
        <v>0</v>
      </c>
      <c r="H436" s="26">
        <v>0</v>
      </c>
      <c r="I436" s="19" t="s">
        <v>26</v>
      </c>
      <c r="J436" s="8">
        <v>44</v>
      </c>
      <c r="K436" s="19" t="s">
        <v>37</v>
      </c>
      <c r="L436" s="19" t="s">
        <v>32</v>
      </c>
      <c r="M436" s="8">
        <v>2</v>
      </c>
      <c r="N436" s="33">
        <f t="shared" si="48"/>
        <v>0</v>
      </c>
      <c r="O436" s="23">
        <f t="shared" si="49"/>
        <v>0</v>
      </c>
      <c r="P436" s="59">
        <f t="shared" si="50"/>
        <v>7.1218592268012651E-2</v>
      </c>
      <c r="Q436" s="30">
        <f t="shared" si="51"/>
        <v>0</v>
      </c>
      <c r="R436" s="30">
        <f t="shared" si="52"/>
        <v>0</v>
      </c>
      <c r="S436" s="12">
        <f t="shared" si="53"/>
        <v>0</v>
      </c>
      <c r="T436" s="30">
        <f t="shared" si="54"/>
        <v>0</v>
      </c>
      <c r="U436" s="9" t="str">
        <f t="shared" si="55"/>
        <v>35-44</v>
      </c>
    </row>
    <row r="437" spans="1:21">
      <c r="A437" t="s">
        <v>469</v>
      </c>
      <c r="B437" s="8">
        <v>3192</v>
      </c>
      <c r="C437" s="23">
        <v>8.5510000000000003E-2</v>
      </c>
      <c r="D437" s="19" t="s">
        <v>28</v>
      </c>
      <c r="E437" s="21">
        <v>2.0649999999999999</v>
      </c>
      <c r="F437" s="21">
        <v>2.718</v>
      </c>
      <c r="G437" s="23">
        <v>0.32944000000000001</v>
      </c>
      <c r="H437" s="26">
        <v>1</v>
      </c>
      <c r="I437" s="19" t="s">
        <v>17</v>
      </c>
      <c r="J437" s="8">
        <v>22</v>
      </c>
      <c r="K437" s="19" t="s">
        <v>37</v>
      </c>
      <c r="L437" s="19" t="s">
        <v>45</v>
      </c>
      <c r="M437" s="8">
        <v>2</v>
      </c>
      <c r="N437" s="33">
        <f t="shared" si="48"/>
        <v>0.36791758646063283</v>
      </c>
      <c r="O437" s="23">
        <f t="shared" si="49"/>
        <v>3.1460632818248714E-2</v>
      </c>
      <c r="P437" s="59">
        <f t="shared" si="50"/>
        <v>1.316222760290557</v>
      </c>
      <c r="Q437" s="30">
        <f t="shared" si="51"/>
        <v>8.5510000000000003E-2</v>
      </c>
      <c r="R437" s="30">
        <f t="shared" si="52"/>
        <v>2.8526488130043268</v>
      </c>
      <c r="S437" s="12">
        <f t="shared" si="53"/>
        <v>3.8526488130043268</v>
      </c>
      <c r="T437" s="30">
        <f t="shared" si="54"/>
        <v>0.12120676968359088</v>
      </c>
      <c r="U437" s="9" t="str">
        <f t="shared" si="55"/>
        <v>18-24</v>
      </c>
    </row>
    <row r="438" spans="1:21">
      <c r="A438" t="s">
        <v>470</v>
      </c>
      <c r="B438" s="8">
        <v>2870</v>
      </c>
      <c r="C438" s="23">
        <v>0.151</v>
      </c>
      <c r="D438" s="19" t="s">
        <v>28</v>
      </c>
      <c r="E438" s="21">
        <v>43.264000000000003</v>
      </c>
      <c r="F438" s="21">
        <v>0.54</v>
      </c>
      <c r="G438" s="23">
        <v>0</v>
      </c>
      <c r="H438" s="26">
        <v>0</v>
      </c>
      <c r="I438" s="19" t="s">
        <v>29</v>
      </c>
      <c r="J438" s="8">
        <v>49</v>
      </c>
      <c r="K438" s="19" t="s">
        <v>31</v>
      </c>
      <c r="L438" s="19" t="s">
        <v>38</v>
      </c>
      <c r="M438" s="8">
        <v>4</v>
      </c>
      <c r="N438" s="33">
        <f t="shared" si="48"/>
        <v>0</v>
      </c>
      <c r="O438" s="23">
        <f t="shared" si="49"/>
        <v>0.27962962962962962</v>
      </c>
      <c r="P438" s="59">
        <f t="shared" si="50"/>
        <v>1.2481508875739645E-2</v>
      </c>
      <c r="Q438" s="30">
        <f t="shared" si="51"/>
        <v>0</v>
      </c>
      <c r="R438" s="30">
        <f t="shared" si="52"/>
        <v>-1</v>
      </c>
      <c r="S438" s="12">
        <f t="shared" si="53"/>
        <v>0</v>
      </c>
      <c r="T438" s="30">
        <f t="shared" si="54"/>
        <v>0</v>
      </c>
      <c r="U438" s="9" t="str">
        <f t="shared" si="55"/>
        <v>45-54</v>
      </c>
    </row>
    <row r="439" spans="1:21">
      <c r="A439" t="s">
        <v>471</v>
      </c>
      <c r="B439" s="8">
        <v>2471</v>
      </c>
      <c r="C439" s="23">
        <v>0.13425999999999999</v>
      </c>
      <c r="D439" s="19" t="s">
        <v>25</v>
      </c>
      <c r="E439" s="21">
        <v>19.699000000000002</v>
      </c>
      <c r="F439" s="21">
        <v>0.82899999999999996</v>
      </c>
      <c r="G439" s="23">
        <v>0</v>
      </c>
      <c r="H439" s="26">
        <v>0</v>
      </c>
      <c r="I439" s="19" t="s">
        <v>21</v>
      </c>
      <c r="J439" s="8">
        <v>56</v>
      </c>
      <c r="K439" s="19" t="s">
        <v>18</v>
      </c>
      <c r="L439" s="19" t="s">
        <v>19</v>
      </c>
      <c r="M439" s="8">
        <v>4</v>
      </c>
      <c r="N439" s="33">
        <f t="shared" si="48"/>
        <v>0</v>
      </c>
      <c r="O439" s="23">
        <f t="shared" si="49"/>
        <v>0.16195416164053075</v>
      </c>
      <c r="P439" s="59">
        <f t="shared" si="50"/>
        <v>4.2083354484999232E-2</v>
      </c>
      <c r="Q439" s="30">
        <f t="shared" si="51"/>
        <v>0</v>
      </c>
      <c r="R439" s="30">
        <f t="shared" si="52"/>
        <v>-1</v>
      </c>
      <c r="S439" s="12">
        <f t="shared" si="53"/>
        <v>0</v>
      </c>
      <c r="T439" s="30">
        <f t="shared" si="54"/>
        <v>0</v>
      </c>
      <c r="U439" s="9" t="str">
        <f t="shared" si="55"/>
        <v>55+</v>
      </c>
    </row>
    <row r="440" spans="1:21">
      <c r="A440" t="s">
        <v>472</v>
      </c>
      <c r="B440" s="8">
        <v>6774</v>
      </c>
      <c r="C440" s="23">
        <v>0.16971</v>
      </c>
      <c r="D440" s="19" t="s">
        <v>25</v>
      </c>
      <c r="E440" s="21">
        <v>95.597999999999999</v>
      </c>
      <c r="F440" s="21">
        <v>5.7110000000000003</v>
      </c>
      <c r="G440" s="23">
        <v>0</v>
      </c>
      <c r="H440" s="26">
        <v>0</v>
      </c>
      <c r="I440" s="19" t="s">
        <v>17</v>
      </c>
      <c r="J440" s="8">
        <v>62</v>
      </c>
      <c r="K440" s="19" t="s">
        <v>37</v>
      </c>
      <c r="L440" s="19" t="s">
        <v>32</v>
      </c>
      <c r="M440" s="8" t="s">
        <v>1065</v>
      </c>
      <c r="N440" s="33">
        <f t="shared" si="48"/>
        <v>0</v>
      </c>
      <c r="O440" s="23">
        <f t="shared" si="49"/>
        <v>2.9716336893713884E-2</v>
      </c>
      <c r="P440" s="59">
        <f t="shared" si="50"/>
        <v>5.9739743509278444E-2</v>
      </c>
      <c r="Q440" s="30">
        <f t="shared" si="51"/>
        <v>0</v>
      </c>
      <c r="R440" s="30">
        <f t="shared" si="52"/>
        <v>-1</v>
      </c>
      <c r="S440" s="12">
        <f t="shared" si="53"/>
        <v>0</v>
      </c>
      <c r="T440" s="30">
        <f t="shared" si="54"/>
        <v>0</v>
      </c>
      <c r="U440" s="9" t="str">
        <f t="shared" si="55"/>
        <v>55+</v>
      </c>
    </row>
    <row r="441" spans="1:21">
      <c r="A441" t="s">
        <v>473</v>
      </c>
      <c r="B441" s="8">
        <v>9135</v>
      </c>
      <c r="C441" s="23">
        <v>4.5699999999999998E-2</v>
      </c>
      <c r="D441" s="19" t="s">
        <v>28</v>
      </c>
      <c r="E441" s="21">
        <v>38.567999999999998</v>
      </c>
      <c r="F441" s="21">
        <v>4.7119999999999997</v>
      </c>
      <c r="G441" s="23">
        <v>0</v>
      </c>
      <c r="H441" s="26">
        <v>0</v>
      </c>
      <c r="I441" s="19" t="s">
        <v>34</v>
      </c>
      <c r="J441" s="8">
        <v>65</v>
      </c>
      <c r="K441" s="19" t="s">
        <v>37</v>
      </c>
      <c r="L441" s="19" t="s">
        <v>38</v>
      </c>
      <c r="M441" s="8">
        <v>4</v>
      </c>
      <c r="N441" s="33">
        <f t="shared" si="48"/>
        <v>0</v>
      </c>
      <c r="O441" s="23">
        <f t="shared" si="49"/>
        <v>9.698641765704584E-3</v>
      </c>
      <c r="P441" s="59">
        <f t="shared" si="50"/>
        <v>0.12217382285832815</v>
      </c>
      <c r="Q441" s="30">
        <f t="shared" si="51"/>
        <v>0</v>
      </c>
      <c r="R441" s="30">
        <f t="shared" si="52"/>
        <v>-1</v>
      </c>
      <c r="S441" s="12">
        <f t="shared" si="53"/>
        <v>0</v>
      </c>
      <c r="T441" s="30">
        <f t="shared" si="54"/>
        <v>0</v>
      </c>
      <c r="U441" s="9" t="str">
        <f t="shared" si="55"/>
        <v>55+</v>
      </c>
    </row>
    <row r="442" spans="1:21">
      <c r="A442" t="s">
        <v>474</v>
      </c>
      <c r="B442" s="8">
        <v>4623</v>
      </c>
      <c r="C442" s="23">
        <v>0.16352</v>
      </c>
      <c r="D442" s="19" t="s">
        <v>25</v>
      </c>
      <c r="E442" s="21">
        <v>56.164999999999999</v>
      </c>
      <c r="F442" s="21">
        <v>3.5619999999999998</v>
      </c>
      <c r="G442" s="23">
        <v>0</v>
      </c>
      <c r="H442" s="26">
        <v>0</v>
      </c>
      <c r="I442" s="19" t="s">
        <v>34</v>
      </c>
      <c r="J442" s="8">
        <v>18</v>
      </c>
      <c r="K442" s="19" t="s">
        <v>31</v>
      </c>
      <c r="L442" s="19" t="s">
        <v>32</v>
      </c>
      <c r="M442" s="8">
        <v>4</v>
      </c>
      <c r="N442" s="33">
        <f t="shared" si="48"/>
        <v>0</v>
      </c>
      <c r="O442" s="23">
        <f t="shared" si="49"/>
        <v>4.5906793935991015E-2</v>
      </c>
      <c r="P442" s="59">
        <f t="shared" si="50"/>
        <v>6.342027953351731E-2</v>
      </c>
      <c r="Q442" s="30">
        <f t="shared" si="51"/>
        <v>0</v>
      </c>
      <c r="R442" s="30">
        <f t="shared" si="52"/>
        <v>-1</v>
      </c>
      <c r="S442" s="12">
        <f t="shared" si="53"/>
        <v>0</v>
      </c>
      <c r="T442" s="30">
        <f t="shared" si="54"/>
        <v>0</v>
      </c>
      <c r="U442" s="9" t="str">
        <f t="shared" si="55"/>
        <v>18-24</v>
      </c>
    </row>
    <row r="443" spans="1:21">
      <c r="A443" t="s">
        <v>475</v>
      </c>
      <c r="B443" s="8">
        <v>4800</v>
      </c>
      <c r="C443" s="23">
        <v>8.7660000000000002E-2</v>
      </c>
      <c r="D443" s="19" t="s">
        <v>45</v>
      </c>
      <c r="E443" s="21">
        <v>1.476</v>
      </c>
      <c r="F443" s="21">
        <v>0.76600000000000001</v>
      </c>
      <c r="G443" s="23">
        <v>0</v>
      </c>
      <c r="H443" s="26">
        <v>0</v>
      </c>
      <c r="I443" s="19" t="s">
        <v>26</v>
      </c>
      <c r="J443" s="8">
        <v>27</v>
      </c>
      <c r="K443" s="19" t="s">
        <v>31</v>
      </c>
      <c r="L443" s="19" t="s">
        <v>32</v>
      </c>
      <c r="M443" s="8">
        <v>2</v>
      </c>
      <c r="N443" s="33">
        <f t="shared" si="48"/>
        <v>0</v>
      </c>
      <c r="O443" s="23">
        <f t="shared" si="49"/>
        <v>0.11443864229765013</v>
      </c>
      <c r="P443" s="59">
        <f t="shared" si="50"/>
        <v>0.51897018970189701</v>
      </c>
      <c r="Q443" s="30">
        <f t="shared" si="51"/>
        <v>0</v>
      </c>
      <c r="R443" s="30">
        <f t="shared" si="52"/>
        <v>-1</v>
      </c>
      <c r="S443" s="12">
        <f t="shared" si="53"/>
        <v>0</v>
      </c>
      <c r="T443" s="30">
        <f t="shared" si="54"/>
        <v>0</v>
      </c>
      <c r="U443" s="9" t="str">
        <f t="shared" si="55"/>
        <v>25-34</v>
      </c>
    </row>
    <row r="444" spans="1:21">
      <c r="A444" t="s">
        <v>476</v>
      </c>
      <c r="B444" s="8">
        <v>8731</v>
      </c>
      <c r="C444" s="23">
        <v>0.13023999999999999</v>
      </c>
      <c r="D444" s="19" t="s">
        <v>28</v>
      </c>
      <c r="E444" s="21">
        <v>78.989000000000004</v>
      </c>
      <c r="F444" s="21">
        <v>1.01</v>
      </c>
      <c r="G444" s="23">
        <v>0</v>
      </c>
      <c r="H444" s="26">
        <v>0</v>
      </c>
      <c r="I444" s="19" t="s">
        <v>26</v>
      </c>
      <c r="J444" s="8">
        <v>36</v>
      </c>
      <c r="K444" s="19" t="s">
        <v>31</v>
      </c>
      <c r="L444" s="19" t="s">
        <v>32</v>
      </c>
      <c r="M444" s="8">
        <v>5</v>
      </c>
      <c r="N444" s="33">
        <f t="shared" si="48"/>
        <v>0</v>
      </c>
      <c r="O444" s="23">
        <f t="shared" si="49"/>
        <v>0.12895049504950495</v>
      </c>
      <c r="P444" s="59">
        <f t="shared" si="50"/>
        <v>1.2786590537923002E-2</v>
      </c>
      <c r="Q444" s="30">
        <f t="shared" si="51"/>
        <v>0</v>
      </c>
      <c r="R444" s="30">
        <f t="shared" si="52"/>
        <v>-1</v>
      </c>
      <c r="S444" s="12">
        <f t="shared" si="53"/>
        <v>0</v>
      </c>
      <c r="T444" s="30">
        <f t="shared" si="54"/>
        <v>0</v>
      </c>
      <c r="U444" s="9" t="str">
        <f t="shared" si="55"/>
        <v>35-44</v>
      </c>
    </row>
    <row r="445" spans="1:21">
      <c r="A445" t="s">
        <v>477</v>
      </c>
      <c r="B445" s="8">
        <v>8841</v>
      </c>
      <c r="C445" s="23">
        <v>0.17643</v>
      </c>
      <c r="D445" s="19" t="s">
        <v>28</v>
      </c>
      <c r="E445" s="21">
        <v>24.613</v>
      </c>
      <c r="F445" s="21">
        <v>3.488</v>
      </c>
      <c r="G445" s="23">
        <v>0</v>
      </c>
      <c r="H445" s="26">
        <v>0</v>
      </c>
      <c r="I445" s="19" t="s">
        <v>26</v>
      </c>
      <c r="J445" s="8">
        <v>41</v>
      </c>
      <c r="K445" s="19" t="s">
        <v>18</v>
      </c>
      <c r="L445" s="19" t="s">
        <v>32</v>
      </c>
      <c r="M445" s="8">
        <v>2</v>
      </c>
      <c r="N445" s="33">
        <f t="shared" si="48"/>
        <v>0</v>
      </c>
      <c r="O445" s="23">
        <f t="shared" si="49"/>
        <v>5.0581995412844034E-2</v>
      </c>
      <c r="P445" s="59">
        <f t="shared" si="50"/>
        <v>0.14171372851745012</v>
      </c>
      <c r="Q445" s="30">
        <f t="shared" si="51"/>
        <v>0</v>
      </c>
      <c r="R445" s="30">
        <f t="shared" si="52"/>
        <v>-1</v>
      </c>
      <c r="S445" s="12">
        <f t="shared" si="53"/>
        <v>0</v>
      </c>
      <c r="T445" s="30">
        <f t="shared" si="54"/>
        <v>0</v>
      </c>
      <c r="U445" s="9" t="str">
        <f t="shared" si="55"/>
        <v>35-44</v>
      </c>
    </row>
    <row r="446" spans="1:21">
      <c r="A446" t="s">
        <v>478</v>
      </c>
      <c r="B446" s="8">
        <v>5599</v>
      </c>
      <c r="C446" s="23">
        <v>0.14316999999999999</v>
      </c>
      <c r="D446" s="19" t="s">
        <v>28</v>
      </c>
      <c r="E446" s="21">
        <v>78.340999999999994</v>
      </c>
      <c r="F446" s="21">
        <v>8.952</v>
      </c>
      <c r="G446" s="23">
        <v>0</v>
      </c>
      <c r="H446" s="26">
        <v>0</v>
      </c>
      <c r="I446" s="19" t="s">
        <v>34</v>
      </c>
      <c r="J446" s="8">
        <v>45</v>
      </c>
      <c r="K446" s="19" t="s">
        <v>18</v>
      </c>
      <c r="L446" s="19" t="s">
        <v>45</v>
      </c>
      <c r="M446" s="8">
        <v>2</v>
      </c>
      <c r="N446" s="33">
        <f t="shared" si="48"/>
        <v>0</v>
      </c>
      <c r="O446" s="23">
        <f t="shared" si="49"/>
        <v>1.5993074173369079E-2</v>
      </c>
      <c r="P446" s="59">
        <f t="shared" si="50"/>
        <v>0.11426966722405893</v>
      </c>
      <c r="Q446" s="30">
        <f t="shared" si="51"/>
        <v>0</v>
      </c>
      <c r="R446" s="30">
        <f t="shared" si="52"/>
        <v>-1</v>
      </c>
      <c r="S446" s="12">
        <f t="shared" si="53"/>
        <v>0</v>
      </c>
      <c r="T446" s="30">
        <f t="shared" si="54"/>
        <v>0</v>
      </c>
      <c r="U446" s="9" t="str">
        <f t="shared" si="55"/>
        <v>45-54</v>
      </c>
    </row>
    <row r="447" spans="1:21">
      <c r="A447" t="s">
        <v>479</v>
      </c>
      <c r="B447" s="8">
        <v>3361</v>
      </c>
      <c r="C447" s="23">
        <v>6.9010000000000002E-2</v>
      </c>
      <c r="D447" s="19" t="s">
        <v>28</v>
      </c>
      <c r="E447" s="21">
        <v>88.518000000000001</v>
      </c>
      <c r="F447" s="21">
        <v>9.1980000000000004</v>
      </c>
      <c r="G447" s="23">
        <v>0</v>
      </c>
      <c r="H447" s="26">
        <v>1</v>
      </c>
      <c r="I447" s="19" t="s">
        <v>26</v>
      </c>
      <c r="J447" s="8">
        <v>33</v>
      </c>
      <c r="K447" s="19" t="s">
        <v>37</v>
      </c>
      <c r="L447" s="19" t="s">
        <v>23</v>
      </c>
      <c r="M447" s="8">
        <v>1</v>
      </c>
      <c r="N447" s="33">
        <f t="shared" si="48"/>
        <v>0.10871928680147858</v>
      </c>
      <c r="O447" s="23">
        <f t="shared" si="49"/>
        <v>7.502717982170037E-3</v>
      </c>
      <c r="P447" s="59">
        <f t="shared" si="50"/>
        <v>0.10391106893513184</v>
      </c>
      <c r="Q447" s="30">
        <f t="shared" si="51"/>
        <v>6.9010000000000002E-2</v>
      </c>
      <c r="R447" s="30">
        <f t="shared" si="52"/>
        <v>-1</v>
      </c>
      <c r="S447" s="12">
        <f t="shared" si="53"/>
        <v>0</v>
      </c>
      <c r="T447" s="30">
        <f t="shared" si="54"/>
        <v>0</v>
      </c>
      <c r="U447" s="9" t="str">
        <f t="shared" si="55"/>
        <v>25-34</v>
      </c>
    </row>
    <row r="448" spans="1:21">
      <c r="A448" t="s">
        <v>480</v>
      </c>
      <c r="B448" s="8">
        <v>9027</v>
      </c>
      <c r="C448" s="23">
        <v>0</v>
      </c>
      <c r="D448" s="19" t="s">
        <v>25</v>
      </c>
      <c r="E448" s="21">
        <v>37.35</v>
      </c>
      <c r="F448" s="21">
        <v>1.048</v>
      </c>
      <c r="G448" s="23">
        <v>0</v>
      </c>
      <c r="H448" s="26">
        <v>0</v>
      </c>
      <c r="I448" s="19" t="s">
        <v>34</v>
      </c>
      <c r="J448" s="8">
        <v>62</v>
      </c>
      <c r="K448" s="19" t="s">
        <v>37</v>
      </c>
      <c r="L448" s="19" t="s">
        <v>19</v>
      </c>
      <c r="M448" s="8">
        <v>1</v>
      </c>
      <c r="N448" s="33">
        <f t="shared" si="48"/>
        <v>0</v>
      </c>
      <c r="O448" s="23">
        <f t="shared" si="49"/>
        <v>0</v>
      </c>
      <c r="P448" s="59">
        <f t="shared" si="50"/>
        <v>2.8058902275769744E-2</v>
      </c>
      <c r="Q448" s="30">
        <f t="shared" si="51"/>
        <v>0</v>
      </c>
      <c r="R448" s="30">
        <f t="shared" si="52"/>
        <v>0</v>
      </c>
      <c r="S448" s="12">
        <f t="shared" si="53"/>
        <v>0</v>
      </c>
      <c r="T448" s="30">
        <f t="shared" si="54"/>
        <v>0</v>
      </c>
      <c r="U448" s="9" t="str">
        <f t="shared" si="55"/>
        <v>55+</v>
      </c>
    </row>
    <row r="449" spans="1:21">
      <c r="A449" t="s">
        <v>481</v>
      </c>
      <c r="B449" s="8">
        <v>2332</v>
      </c>
      <c r="C449" s="23">
        <v>0.12512999999999999</v>
      </c>
      <c r="D449" s="19" t="s">
        <v>40</v>
      </c>
      <c r="E449" s="21">
        <v>15.741</v>
      </c>
      <c r="F449" s="21">
        <v>4.8630000000000004</v>
      </c>
      <c r="G449" s="23">
        <v>0.37041000000000002</v>
      </c>
      <c r="H449" s="26">
        <v>1</v>
      </c>
      <c r="I449" s="19" t="s">
        <v>34</v>
      </c>
      <c r="J449" s="8">
        <v>18</v>
      </c>
      <c r="K449" s="19" t="s">
        <v>22</v>
      </c>
      <c r="L449" s="19" t="s">
        <v>19</v>
      </c>
      <c r="M449" s="8">
        <v>2</v>
      </c>
      <c r="N449" s="33">
        <f t="shared" si="48"/>
        <v>0.20563438206868187</v>
      </c>
      <c r="O449" s="23">
        <f t="shared" si="49"/>
        <v>2.5731030228254161E-2</v>
      </c>
      <c r="P449" s="59">
        <f t="shared" si="50"/>
        <v>0.30893844101391277</v>
      </c>
      <c r="Q449" s="30">
        <f t="shared" si="51"/>
        <v>0.12512999999999999</v>
      </c>
      <c r="R449" s="30">
        <f t="shared" si="52"/>
        <v>1.9602013905538245</v>
      </c>
      <c r="S449" s="12">
        <f t="shared" si="53"/>
        <v>2.9602013905538245</v>
      </c>
      <c r="T449" s="30">
        <f t="shared" si="54"/>
        <v>7.6169031462060457E-2</v>
      </c>
      <c r="U449" s="9" t="str">
        <f t="shared" si="55"/>
        <v>18-24</v>
      </c>
    </row>
    <row r="450" spans="1:21">
      <c r="A450" t="s">
        <v>482</v>
      </c>
      <c r="B450" s="8">
        <v>7006</v>
      </c>
      <c r="C450" s="23">
        <v>8.0599999999999995E-3</v>
      </c>
      <c r="D450" s="19" t="s">
        <v>40</v>
      </c>
      <c r="E450" s="21">
        <v>14.1</v>
      </c>
      <c r="F450" s="21">
        <v>6.7789999999999999</v>
      </c>
      <c r="G450" s="23">
        <v>0</v>
      </c>
      <c r="H450" s="26">
        <v>0</v>
      </c>
      <c r="I450" s="19" t="s">
        <v>21</v>
      </c>
      <c r="J450" s="8">
        <v>25</v>
      </c>
      <c r="K450" s="19" t="s">
        <v>37</v>
      </c>
      <c r="L450" s="19" t="s">
        <v>19</v>
      </c>
      <c r="M450" s="8">
        <v>1</v>
      </c>
      <c r="N450" s="33">
        <f t="shared" ref="N450:N513" si="56">IF(F450=0,0,H450/F450)</f>
        <v>0</v>
      </c>
      <c r="O450" s="23">
        <f t="shared" ref="O450:O513" si="57">IF(F450=0,0,C450/F450)</f>
        <v>1.1889659241776072E-3</v>
      </c>
      <c r="P450" s="59">
        <f t="shared" ref="P450:P513" si="58">IF(E450=0,0,F450/E450)</f>
        <v>0.48078014184397166</v>
      </c>
      <c r="Q450" s="30">
        <f t="shared" ref="Q450:Q513" si="59">IF(H450=0,0,C450/H450)</f>
        <v>0</v>
      </c>
      <c r="R450" s="30">
        <f t="shared" ref="R450:R513" si="60">IF(C450=0,0,(G450-C450)/C450)</f>
        <v>-1</v>
      </c>
      <c r="S450" s="12">
        <f t="shared" ref="S450:S513" si="61">IF(G450=0,0,G450/C450)</f>
        <v>0</v>
      </c>
      <c r="T450" s="30">
        <f t="shared" ref="T450:T513" si="62">IF(F450=0,0,G450/F450)</f>
        <v>0</v>
      </c>
      <c r="U450" s="9" t="str">
        <f t="shared" si="55"/>
        <v>25-34</v>
      </c>
    </row>
    <row r="451" spans="1:21">
      <c r="A451" t="s">
        <v>483</v>
      </c>
      <c r="B451" s="8">
        <v>9380</v>
      </c>
      <c r="C451" s="23">
        <v>0.15293999999999999</v>
      </c>
      <c r="D451" s="19" t="s">
        <v>25</v>
      </c>
      <c r="E451" s="21">
        <v>33.286999999999999</v>
      </c>
      <c r="F451" s="21">
        <v>2.7690000000000001</v>
      </c>
      <c r="G451" s="23">
        <v>0</v>
      </c>
      <c r="H451" s="26">
        <v>0</v>
      </c>
      <c r="I451" s="19" t="s">
        <v>29</v>
      </c>
      <c r="J451" s="8">
        <v>45</v>
      </c>
      <c r="K451" s="19" t="s">
        <v>37</v>
      </c>
      <c r="L451" s="19" t="s">
        <v>45</v>
      </c>
      <c r="M451" s="8">
        <v>2</v>
      </c>
      <c r="N451" s="33">
        <f t="shared" si="56"/>
        <v>0</v>
      </c>
      <c r="O451" s="23">
        <f t="shared" si="57"/>
        <v>5.5232936078006493E-2</v>
      </c>
      <c r="P451" s="59">
        <f t="shared" si="58"/>
        <v>8.3185628022951916E-2</v>
      </c>
      <c r="Q451" s="30">
        <f t="shared" si="59"/>
        <v>0</v>
      </c>
      <c r="R451" s="30">
        <f t="shared" si="60"/>
        <v>-1</v>
      </c>
      <c r="S451" s="12">
        <f t="shared" si="61"/>
        <v>0</v>
      </c>
      <c r="T451" s="30">
        <f t="shared" si="62"/>
        <v>0</v>
      </c>
      <c r="U451" s="9" t="str">
        <f t="shared" ref="U451:U514" si="63">IF(J451&lt;25,"18-24",IF(J451&lt;35,"25-34",IF(J451&lt;45,"35-44",IF(J451&lt;55,"45-54","55+"))))</f>
        <v>45-54</v>
      </c>
    </row>
    <row r="452" spans="1:21">
      <c r="A452" t="s">
        <v>484</v>
      </c>
      <c r="B452" s="8">
        <v>9977</v>
      </c>
      <c r="C452" s="23">
        <v>0</v>
      </c>
      <c r="D452" s="19" t="s">
        <v>32</v>
      </c>
      <c r="E452" s="21">
        <v>31.477</v>
      </c>
      <c r="F452" s="21">
        <v>7.157</v>
      </c>
      <c r="G452" s="23">
        <v>0</v>
      </c>
      <c r="H452" s="26">
        <v>0</v>
      </c>
      <c r="I452" s="19" t="s">
        <v>29</v>
      </c>
      <c r="J452" s="8">
        <v>19</v>
      </c>
      <c r="K452" s="19" t="s">
        <v>22</v>
      </c>
      <c r="L452" s="19" t="s">
        <v>32</v>
      </c>
      <c r="M452" s="8">
        <v>5</v>
      </c>
      <c r="N452" s="33">
        <f t="shared" si="56"/>
        <v>0</v>
      </c>
      <c r="O452" s="23">
        <f t="shared" si="57"/>
        <v>0</v>
      </c>
      <c r="P452" s="59">
        <f t="shared" si="58"/>
        <v>0.22737236712520253</v>
      </c>
      <c r="Q452" s="30">
        <f t="shared" si="59"/>
        <v>0</v>
      </c>
      <c r="R452" s="30">
        <f t="shared" si="60"/>
        <v>0</v>
      </c>
      <c r="S452" s="12">
        <f t="shared" si="61"/>
        <v>0</v>
      </c>
      <c r="T452" s="30">
        <f t="shared" si="62"/>
        <v>0</v>
      </c>
      <c r="U452" s="9" t="str">
        <f t="shared" si="63"/>
        <v>18-24</v>
      </c>
    </row>
    <row r="453" spans="1:21">
      <c r="A453" t="s">
        <v>485</v>
      </c>
      <c r="B453" s="8">
        <v>4372</v>
      </c>
      <c r="C453" s="23">
        <v>0</v>
      </c>
      <c r="D453" s="19" t="s">
        <v>32</v>
      </c>
      <c r="E453" s="21">
        <v>69.055999999999997</v>
      </c>
      <c r="F453" s="21">
        <v>4.5860000000000003</v>
      </c>
      <c r="G453" s="23">
        <v>0</v>
      </c>
      <c r="H453" s="26">
        <v>0</v>
      </c>
      <c r="I453" s="19" t="s">
        <v>26</v>
      </c>
      <c r="J453" s="8">
        <v>41</v>
      </c>
      <c r="K453" s="19" t="s">
        <v>22</v>
      </c>
      <c r="L453" s="19" t="s">
        <v>23</v>
      </c>
      <c r="M453" s="8">
        <v>1</v>
      </c>
      <c r="N453" s="33">
        <f t="shared" si="56"/>
        <v>0</v>
      </c>
      <c r="O453" s="23">
        <f t="shared" si="57"/>
        <v>0</v>
      </c>
      <c r="P453" s="59">
        <f t="shared" si="58"/>
        <v>6.6409870250231706E-2</v>
      </c>
      <c r="Q453" s="30">
        <f t="shared" si="59"/>
        <v>0</v>
      </c>
      <c r="R453" s="30">
        <f t="shared" si="60"/>
        <v>0</v>
      </c>
      <c r="S453" s="12">
        <f t="shared" si="61"/>
        <v>0</v>
      </c>
      <c r="T453" s="30">
        <f t="shared" si="62"/>
        <v>0</v>
      </c>
      <c r="U453" s="9" t="str">
        <f t="shared" si="63"/>
        <v>35-44</v>
      </c>
    </row>
    <row r="454" spans="1:21">
      <c r="A454" t="s">
        <v>486</v>
      </c>
      <c r="B454" s="8">
        <v>5532</v>
      </c>
      <c r="C454" s="23">
        <v>9.8099999999999993E-3</v>
      </c>
      <c r="D454" s="19" t="s">
        <v>40</v>
      </c>
      <c r="E454" s="21">
        <v>87.4</v>
      </c>
      <c r="F454" s="21">
        <v>9.3460000000000001</v>
      </c>
      <c r="G454" s="23">
        <v>0</v>
      </c>
      <c r="H454" s="26">
        <v>0</v>
      </c>
      <c r="I454" s="19" t="s">
        <v>34</v>
      </c>
      <c r="J454" s="8">
        <v>64</v>
      </c>
      <c r="K454" s="19" t="s">
        <v>18</v>
      </c>
      <c r="L454" s="19" t="s">
        <v>38</v>
      </c>
      <c r="M454" s="8">
        <v>3</v>
      </c>
      <c r="N454" s="33">
        <f t="shared" si="56"/>
        <v>0</v>
      </c>
      <c r="O454" s="23">
        <f t="shared" si="57"/>
        <v>1.0496469077680289E-3</v>
      </c>
      <c r="P454" s="59">
        <f t="shared" si="58"/>
        <v>0.10693363844393593</v>
      </c>
      <c r="Q454" s="30">
        <f t="shared" si="59"/>
        <v>0</v>
      </c>
      <c r="R454" s="30">
        <f t="shared" si="60"/>
        <v>-1</v>
      </c>
      <c r="S454" s="12">
        <f t="shared" si="61"/>
        <v>0</v>
      </c>
      <c r="T454" s="30">
        <f t="shared" si="62"/>
        <v>0</v>
      </c>
      <c r="U454" s="9" t="str">
        <f t="shared" si="63"/>
        <v>55+</v>
      </c>
    </row>
    <row r="455" spans="1:21">
      <c r="A455" t="s">
        <v>487</v>
      </c>
      <c r="B455" s="8">
        <v>7871</v>
      </c>
      <c r="C455" s="23">
        <v>0</v>
      </c>
      <c r="D455" s="19" t="s">
        <v>25</v>
      </c>
      <c r="E455" s="21">
        <v>89.040999999999997</v>
      </c>
      <c r="F455" s="21">
        <v>5.3289999999999997</v>
      </c>
      <c r="G455" s="23">
        <v>0</v>
      </c>
      <c r="H455" s="26">
        <v>0</v>
      </c>
      <c r="I455" s="19" t="s">
        <v>26</v>
      </c>
      <c r="J455" s="8">
        <v>41</v>
      </c>
      <c r="K455" s="19" t="s">
        <v>22</v>
      </c>
      <c r="L455" s="19" t="s">
        <v>19</v>
      </c>
      <c r="M455" s="8">
        <v>3</v>
      </c>
      <c r="N455" s="33">
        <f t="shared" si="56"/>
        <v>0</v>
      </c>
      <c r="O455" s="23">
        <f t="shared" si="57"/>
        <v>0</v>
      </c>
      <c r="P455" s="59">
        <f t="shared" si="58"/>
        <v>5.9848833683359352E-2</v>
      </c>
      <c r="Q455" s="30">
        <f t="shared" si="59"/>
        <v>0</v>
      </c>
      <c r="R455" s="30">
        <f t="shared" si="60"/>
        <v>0</v>
      </c>
      <c r="S455" s="12">
        <f t="shared" si="61"/>
        <v>0</v>
      </c>
      <c r="T455" s="30">
        <f t="shared" si="62"/>
        <v>0</v>
      </c>
      <c r="U455" s="9" t="str">
        <f t="shared" si="63"/>
        <v>35-44</v>
      </c>
    </row>
    <row r="456" spans="1:21">
      <c r="A456" t="s">
        <v>488</v>
      </c>
      <c r="B456" s="8">
        <v>4850</v>
      </c>
      <c r="C456" s="23">
        <v>0.18759999999999999</v>
      </c>
      <c r="D456" s="19" t="s">
        <v>40</v>
      </c>
      <c r="E456" s="21">
        <v>56.845999999999997</v>
      </c>
      <c r="F456" s="21">
        <v>5.84</v>
      </c>
      <c r="G456" s="23">
        <v>0.433</v>
      </c>
      <c r="H456" s="26">
        <v>1</v>
      </c>
      <c r="I456" s="19" t="s">
        <v>21</v>
      </c>
      <c r="J456" s="8">
        <v>57</v>
      </c>
      <c r="K456" s="19" t="s">
        <v>37</v>
      </c>
      <c r="L456" s="19" t="s">
        <v>45</v>
      </c>
      <c r="M456" s="8">
        <v>3</v>
      </c>
      <c r="N456" s="33">
        <f t="shared" si="56"/>
        <v>0.17123287671232876</v>
      </c>
      <c r="O456" s="23">
        <f t="shared" si="57"/>
        <v>3.2123287671232875E-2</v>
      </c>
      <c r="P456" s="59">
        <f t="shared" si="58"/>
        <v>0.10273370157970659</v>
      </c>
      <c r="Q456" s="30">
        <f t="shared" si="59"/>
        <v>0.18759999999999999</v>
      </c>
      <c r="R456" s="30">
        <f t="shared" si="60"/>
        <v>1.3081023454157783</v>
      </c>
      <c r="S456" s="12">
        <f t="shared" si="61"/>
        <v>2.3081023454157785</v>
      </c>
      <c r="T456" s="30">
        <f t="shared" si="62"/>
        <v>7.4143835616438364E-2</v>
      </c>
      <c r="U456" s="9" t="str">
        <f t="shared" si="63"/>
        <v>55+</v>
      </c>
    </row>
    <row r="457" spans="1:21">
      <c r="A457" t="s">
        <v>489</v>
      </c>
      <c r="B457" s="8">
        <v>3230</v>
      </c>
      <c r="C457" s="23">
        <v>0.16361000000000001</v>
      </c>
      <c r="D457" s="19" t="s">
        <v>28</v>
      </c>
      <c r="E457" s="21">
        <v>26.442</v>
      </c>
      <c r="F457" s="21">
        <v>8.9939999999999998</v>
      </c>
      <c r="G457" s="23">
        <v>0.11330999999999999</v>
      </c>
      <c r="H457" s="26">
        <v>1</v>
      </c>
      <c r="I457" s="19" t="s">
        <v>21</v>
      </c>
      <c r="J457" s="8">
        <v>41</v>
      </c>
      <c r="K457" s="19" t="s">
        <v>22</v>
      </c>
      <c r="L457" s="19" t="s">
        <v>45</v>
      </c>
      <c r="M457" s="8">
        <v>1</v>
      </c>
      <c r="N457" s="33">
        <f t="shared" si="56"/>
        <v>0.11118523460084501</v>
      </c>
      <c r="O457" s="23">
        <f t="shared" si="57"/>
        <v>1.8191016233044251E-2</v>
      </c>
      <c r="P457" s="59">
        <f t="shared" si="58"/>
        <v>0.34014068527342861</v>
      </c>
      <c r="Q457" s="30">
        <f t="shared" si="59"/>
        <v>0.16361000000000001</v>
      </c>
      <c r="R457" s="30">
        <f t="shared" si="60"/>
        <v>-0.30743842063443561</v>
      </c>
      <c r="S457" s="12">
        <f t="shared" si="61"/>
        <v>0.69256157936556439</v>
      </c>
      <c r="T457" s="30">
        <f t="shared" si="62"/>
        <v>1.2598398932621747E-2</v>
      </c>
      <c r="U457" s="9" t="str">
        <f t="shared" si="63"/>
        <v>35-44</v>
      </c>
    </row>
    <row r="458" spans="1:21">
      <c r="A458" t="s">
        <v>490</v>
      </c>
      <c r="B458" s="8">
        <v>4423</v>
      </c>
      <c r="C458" s="23">
        <v>0</v>
      </c>
      <c r="D458" s="19" t="s">
        <v>25</v>
      </c>
      <c r="E458" s="21">
        <v>1.409</v>
      </c>
      <c r="F458" s="21">
        <v>2.7930000000000001</v>
      </c>
      <c r="G458" s="23">
        <v>0</v>
      </c>
      <c r="H458" s="26">
        <v>0</v>
      </c>
      <c r="I458" s="19" t="s">
        <v>26</v>
      </c>
      <c r="J458" s="8">
        <v>27</v>
      </c>
      <c r="K458" s="19" t="s">
        <v>37</v>
      </c>
      <c r="L458" s="19" t="s">
        <v>19</v>
      </c>
      <c r="M458" s="8">
        <v>2</v>
      </c>
      <c r="N458" s="33">
        <f t="shared" si="56"/>
        <v>0</v>
      </c>
      <c r="O458" s="23">
        <f t="shared" si="57"/>
        <v>0</v>
      </c>
      <c r="P458" s="59">
        <f t="shared" si="58"/>
        <v>1.9822569198012776</v>
      </c>
      <c r="Q458" s="30">
        <f t="shared" si="59"/>
        <v>0</v>
      </c>
      <c r="R458" s="30">
        <f t="shared" si="60"/>
        <v>0</v>
      </c>
      <c r="S458" s="12">
        <f t="shared" si="61"/>
        <v>0</v>
      </c>
      <c r="T458" s="30">
        <f t="shared" si="62"/>
        <v>0</v>
      </c>
      <c r="U458" s="9" t="str">
        <f t="shared" si="63"/>
        <v>25-34</v>
      </c>
    </row>
    <row r="459" spans="1:21">
      <c r="A459" t="s">
        <v>491</v>
      </c>
      <c r="B459" s="8">
        <v>1353</v>
      </c>
      <c r="C459" s="23">
        <v>8.992E-2</v>
      </c>
      <c r="D459" s="19" t="s">
        <v>45</v>
      </c>
      <c r="E459" s="21">
        <v>11.308</v>
      </c>
      <c r="F459" s="21">
        <v>4.8499999999999996</v>
      </c>
      <c r="G459" s="23">
        <v>0</v>
      </c>
      <c r="H459" s="26">
        <v>0</v>
      </c>
      <c r="I459" s="19" t="s">
        <v>17</v>
      </c>
      <c r="J459" s="8">
        <v>58</v>
      </c>
      <c r="K459" s="19" t="s">
        <v>31</v>
      </c>
      <c r="L459" s="19" t="s">
        <v>23</v>
      </c>
      <c r="M459" s="8">
        <v>5</v>
      </c>
      <c r="N459" s="33">
        <f t="shared" si="56"/>
        <v>0</v>
      </c>
      <c r="O459" s="23">
        <f t="shared" si="57"/>
        <v>1.8540206185567013E-2</v>
      </c>
      <c r="P459" s="59">
        <f t="shared" si="58"/>
        <v>0.42889989388043859</v>
      </c>
      <c r="Q459" s="30">
        <f t="shared" si="59"/>
        <v>0</v>
      </c>
      <c r="R459" s="30">
        <f t="shared" si="60"/>
        <v>-1</v>
      </c>
      <c r="S459" s="12">
        <f t="shared" si="61"/>
        <v>0</v>
      </c>
      <c r="T459" s="30">
        <f t="shared" si="62"/>
        <v>0</v>
      </c>
      <c r="U459" s="9" t="str">
        <f t="shared" si="63"/>
        <v>55+</v>
      </c>
    </row>
    <row r="460" spans="1:21">
      <c r="A460" t="s">
        <v>492</v>
      </c>
      <c r="B460" s="8">
        <v>5466</v>
      </c>
      <c r="C460" s="23">
        <v>7.3010000000000005E-2</v>
      </c>
      <c r="D460" s="19" t="s">
        <v>15</v>
      </c>
      <c r="E460" s="21">
        <v>73.072000000000003</v>
      </c>
      <c r="F460" s="21">
        <v>5.3659999999999997</v>
      </c>
      <c r="G460" s="23">
        <v>0</v>
      </c>
      <c r="H460" s="26">
        <v>0</v>
      </c>
      <c r="I460" s="19" t="s">
        <v>17</v>
      </c>
      <c r="J460" s="8">
        <v>19</v>
      </c>
      <c r="K460" s="19" t="s">
        <v>37</v>
      </c>
      <c r="L460" s="19" t="s">
        <v>32</v>
      </c>
      <c r="M460" s="8">
        <v>1</v>
      </c>
      <c r="N460" s="33">
        <f t="shared" si="56"/>
        <v>0</v>
      </c>
      <c r="O460" s="23">
        <f t="shared" si="57"/>
        <v>1.3606038017144989E-2</v>
      </c>
      <c r="P460" s="59">
        <f t="shared" si="58"/>
        <v>7.3434420845193776E-2</v>
      </c>
      <c r="Q460" s="30">
        <f t="shared" si="59"/>
        <v>0</v>
      </c>
      <c r="R460" s="30">
        <f t="shared" si="60"/>
        <v>-1</v>
      </c>
      <c r="S460" s="12">
        <f t="shared" si="61"/>
        <v>0</v>
      </c>
      <c r="T460" s="30">
        <f t="shared" si="62"/>
        <v>0</v>
      </c>
      <c r="U460" s="9" t="str">
        <f t="shared" si="63"/>
        <v>18-24</v>
      </c>
    </row>
    <row r="461" spans="1:21">
      <c r="A461" t="s">
        <v>493</v>
      </c>
      <c r="B461" s="8">
        <v>9379</v>
      </c>
      <c r="C461" s="23">
        <v>2.767E-2</v>
      </c>
      <c r="D461" s="19" t="s">
        <v>40</v>
      </c>
      <c r="E461" s="21">
        <v>33.972000000000001</v>
      </c>
      <c r="F461" s="21">
        <v>0</v>
      </c>
      <c r="G461" s="23">
        <v>0</v>
      </c>
      <c r="H461" s="26">
        <v>0</v>
      </c>
      <c r="I461" s="19" t="s">
        <v>21</v>
      </c>
      <c r="J461" s="8">
        <v>61</v>
      </c>
      <c r="K461" s="19" t="s">
        <v>18</v>
      </c>
      <c r="L461" s="19" t="s">
        <v>45</v>
      </c>
      <c r="M461" s="8">
        <v>1</v>
      </c>
      <c r="N461" s="33">
        <f t="shared" si="56"/>
        <v>0</v>
      </c>
      <c r="O461" s="23">
        <f t="shared" si="57"/>
        <v>0</v>
      </c>
      <c r="P461" s="59">
        <f t="shared" si="58"/>
        <v>0</v>
      </c>
      <c r="Q461" s="30">
        <f t="shared" si="59"/>
        <v>0</v>
      </c>
      <c r="R461" s="30">
        <f t="shared" si="60"/>
        <v>-1</v>
      </c>
      <c r="S461" s="12">
        <f t="shared" si="61"/>
        <v>0</v>
      </c>
      <c r="T461" s="30">
        <f t="shared" si="62"/>
        <v>0</v>
      </c>
      <c r="U461" s="9" t="str">
        <f t="shared" si="63"/>
        <v>55+</v>
      </c>
    </row>
    <row r="462" spans="1:21">
      <c r="A462" t="s">
        <v>494</v>
      </c>
      <c r="B462" s="8">
        <v>6035</v>
      </c>
      <c r="C462" s="23">
        <v>6.6449999999999995E-2</v>
      </c>
      <c r="D462" s="19" t="s">
        <v>25</v>
      </c>
      <c r="E462" s="21">
        <v>71.605000000000004</v>
      </c>
      <c r="F462" s="21">
        <v>6.8449999999999998</v>
      </c>
      <c r="G462" s="23">
        <v>0</v>
      </c>
      <c r="H462" s="26">
        <v>0</v>
      </c>
      <c r="I462" s="19" t="s">
        <v>34</v>
      </c>
      <c r="J462" s="8">
        <v>61</v>
      </c>
      <c r="K462" s="19" t="s">
        <v>31</v>
      </c>
      <c r="L462" s="19" t="s">
        <v>45</v>
      </c>
      <c r="M462" s="8">
        <v>3</v>
      </c>
      <c r="N462" s="33">
        <f t="shared" si="56"/>
        <v>0</v>
      </c>
      <c r="O462" s="23">
        <f t="shared" si="57"/>
        <v>9.7078159240321406E-3</v>
      </c>
      <c r="P462" s="59">
        <f t="shared" si="58"/>
        <v>9.5593883108721453E-2</v>
      </c>
      <c r="Q462" s="30">
        <f t="shared" si="59"/>
        <v>0</v>
      </c>
      <c r="R462" s="30">
        <f t="shared" si="60"/>
        <v>-1</v>
      </c>
      <c r="S462" s="12">
        <f t="shared" si="61"/>
        <v>0</v>
      </c>
      <c r="T462" s="30">
        <f t="shared" si="62"/>
        <v>0</v>
      </c>
      <c r="U462" s="9" t="str">
        <f t="shared" si="63"/>
        <v>55+</v>
      </c>
    </row>
    <row r="463" spans="1:21">
      <c r="A463" t="s">
        <v>495</v>
      </c>
      <c r="B463" s="8">
        <v>2380</v>
      </c>
      <c r="C463" s="23">
        <v>0.18398</v>
      </c>
      <c r="D463" s="19" t="s">
        <v>28</v>
      </c>
      <c r="E463" s="21">
        <v>78.738</v>
      </c>
      <c r="F463" s="21">
        <v>7.6029999999999998</v>
      </c>
      <c r="G463" s="23">
        <v>0</v>
      </c>
      <c r="H463" s="26">
        <v>0</v>
      </c>
      <c r="I463" s="19" t="s">
        <v>34</v>
      </c>
      <c r="J463" s="8">
        <v>52</v>
      </c>
      <c r="K463" s="19" t="s">
        <v>18</v>
      </c>
      <c r="L463" s="19" t="s">
        <v>19</v>
      </c>
      <c r="M463" s="8">
        <v>1</v>
      </c>
      <c r="N463" s="33">
        <f t="shared" si="56"/>
        <v>0</v>
      </c>
      <c r="O463" s="23">
        <f t="shared" si="57"/>
        <v>2.4198342759437066E-2</v>
      </c>
      <c r="P463" s="59">
        <f t="shared" si="58"/>
        <v>9.6560745764433936E-2</v>
      </c>
      <c r="Q463" s="30">
        <f t="shared" si="59"/>
        <v>0</v>
      </c>
      <c r="R463" s="30">
        <f t="shared" si="60"/>
        <v>-1</v>
      </c>
      <c r="S463" s="12">
        <f t="shared" si="61"/>
        <v>0</v>
      </c>
      <c r="T463" s="30">
        <f t="shared" si="62"/>
        <v>0</v>
      </c>
      <c r="U463" s="9" t="str">
        <f t="shared" si="63"/>
        <v>45-54</v>
      </c>
    </row>
    <row r="464" spans="1:21">
      <c r="A464" t="s">
        <v>496</v>
      </c>
      <c r="B464" s="8">
        <v>3419</v>
      </c>
      <c r="C464" s="23">
        <v>3.9480000000000001E-2</v>
      </c>
      <c r="D464" s="19" t="s">
        <v>32</v>
      </c>
      <c r="E464" s="21">
        <v>33.848999999999997</v>
      </c>
      <c r="F464" s="21">
        <v>1.9630000000000001</v>
      </c>
      <c r="G464" s="23">
        <v>0</v>
      </c>
      <c r="H464" s="26">
        <v>0</v>
      </c>
      <c r="I464" s="19" t="s">
        <v>34</v>
      </c>
      <c r="J464" s="8">
        <v>47</v>
      </c>
      <c r="K464" s="19" t="s">
        <v>22</v>
      </c>
      <c r="L464" s="19" t="s">
        <v>38</v>
      </c>
      <c r="M464" s="8">
        <v>1</v>
      </c>
      <c r="N464" s="33">
        <f t="shared" si="56"/>
        <v>0</v>
      </c>
      <c r="O464" s="23">
        <f t="shared" si="57"/>
        <v>2.0112073357106471E-2</v>
      </c>
      <c r="P464" s="59">
        <f t="shared" si="58"/>
        <v>5.799285060119945E-2</v>
      </c>
      <c r="Q464" s="30">
        <f t="shared" si="59"/>
        <v>0</v>
      </c>
      <c r="R464" s="30">
        <f t="shared" si="60"/>
        <v>-1</v>
      </c>
      <c r="S464" s="12">
        <f t="shared" si="61"/>
        <v>0</v>
      </c>
      <c r="T464" s="30">
        <f t="shared" si="62"/>
        <v>0</v>
      </c>
      <c r="U464" s="9" t="str">
        <f t="shared" si="63"/>
        <v>45-54</v>
      </c>
    </row>
    <row r="465" spans="1:21">
      <c r="A465" t="s">
        <v>497</v>
      </c>
      <c r="B465" s="8">
        <v>7405</v>
      </c>
      <c r="C465" s="23">
        <v>0.13435</v>
      </c>
      <c r="D465" s="19" t="s">
        <v>28</v>
      </c>
      <c r="E465" s="21">
        <v>21.143999999999998</v>
      </c>
      <c r="F465" s="21">
        <v>3.2450000000000001</v>
      </c>
      <c r="G465" s="23">
        <v>2.9319999999999999E-2</v>
      </c>
      <c r="H465" s="26">
        <v>1</v>
      </c>
      <c r="I465" s="19" t="s">
        <v>34</v>
      </c>
      <c r="J465" s="8">
        <v>19</v>
      </c>
      <c r="K465" s="19" t="s">
        <v>18</v>
      </c>
      <c r="L465" s="19" t="s">
        <v>38</v>
      </c>
      <c r="M465" s="8">
        <v>5</v>
      </c>
      <c r="N465" s="33">
        <f t="shared" si="56"/>
        <v>0.3081664098613251</v>
      </c>
      <c r="O465" s="23">
        <f t="shared" si="57"/>
        <v>4.140215716486903E-2</v>
      </c>
      <c r="P465" s="59">
        <f t="shared" si="58"/>
        <v>0.15347143397654184</v>
      </c>
      <c r="Q465" s="30">
        <f t="shared" si="59"/>
        <v>0.13435</v>
      </c>
      <c r="R465" s="30">
        <f t="shared" si="60"/>
        <v>-0.78176404912541864</v>
      </c>
      <c r="S465" s="12">
        <f t="shared" si="61"/>
        <v>0.21823595087458131</v>
      </c>
      <c r="T465" s="30">
        <f t="shared" si="62"/>
        <v>9.0354391371340517E-3</v>
      </c>
      <c r="U465" s="9" t="str">
        <f t="shared" si="63"/>
        <v>18-24</v>
      </c>
    </row>
    <row r="466" spans="1:21">
      <c r="A466" t="s">
        <v>498</v>
      </c>
      <c r="B466" s="8">
        <v>4424</v>
      </c>
      <c r="C466" s="23">
        <v>1.2409999999999999E-2</v>
      </c>
      <c r="D466" s="19" t="s">
        <v>32</v>
      </c>
      <c r="E466" s="21">
        <v>89.471000000000004</v>
      </c>
      <c r="F466" s="21">
        <v>1.2689999999999999</v>
      </c>
      <c r="G466" s="23">
        <v>0</v>
      </c>
      <c r="H466" s="26">
        <v>0</v>
      </c>
      <c r="I466" s="19" t="s">
        <v>26</v>
      </c>
      <c r="J466" s="8">
        <v>42</v>
      </c>
      <c r="K466" s="19" t="s">
        <v>22</v>
      </c>
      <c r="L466" s="19" t="s">
        <v>23</v>
      </c>
      <c r="M466" s="8">
        <v>4</v>
      </c>
      <c r="N466" s="33">
        <f t="shared" si="56"/>
        <v>0</v>
      </c>
      <c r="O466" s="23">
        <f t="shared" si="57"/>
        <v>9.779353821907014E-3</v>
      </c>
      <c r="P466" s="59">
        <f t="shared" si="58"/>
        <v>1.418336667747091E-2</v>
      </c>
      <c r="Q466" s="30">
        <f t="shared" si="59"/>
        <v>0</v>
      </c>
      <c r="R466" s="30">
        <f t="shared" si="60"/>
        <v>-1</v>
      </c>
      <c r="S466" s="12">
        <f t="shared" si="61"/>
        <v>0</v>
      </c>
      <c r="T466" s="30">
        <f t="shared" si="62"/>
        <v>0</v>
      </c>
      <c r="U466" s="9" t="str">
        <f t="shared" si="63"/>
        <v>35-44</v>
      </c>
    </row>
    <row r="467" spans="1:21">
      <c r="A467" t="s">
        <v>499</v>
      </c>
      <c r="B467" s="8">
        <v>9243</v>
      </c>
      <c r="C467" s="23">
        <v>0</v>
      </c>
      <c r="D467" s="19" t="s">
        <v>40</v>
      </c>
      <c r="E467" s="21">
        <v>15.016</v>
      </c>
      <c r="F467" s="21">
        <v>0</v>
      </c>
      <c r="G467" s="23">
        <v>0.24193000000000001</v>
      </c>
      <c r="H467" s="26">
        <v>1</v>
      </c>
      <c r="I467" s="19" t="s">
        <v>21</v>
      </c>
      <c r="J467" s="8">
        <v>50</v>
      </c>
      <c r="K467" s="19" t="s">
        <v>18</v>
      </c>
      <c r="L467" s="19" t="s">
        <v>45</v>
      </c>
      <c r="M467" s="8" t="s">
        <v>1065</v>
      </c>
      <c r="N467" s="33">
        <f t="shared" si="56"/>
        <v>0</v>
      </c>
      <c r="O467" s="23">
        <f t="shared" si="57"/>
        <v>0</v>
      </c>
      <c r="P467" s="59">
        <f t="shared" si="58"/>
        <v>0</v>
      </c>
      <c r="Q467" s="30">
        <f t="shared" si="59"/>
        <v>0</v>
      </c>
      <c r="R467" s="30">
        <f t="shared" si="60"/>
        <v>0</v>
      </c>
      <c r="S467" s="12" t="e">
        <f t="shared" si="61"/>
        <v>#DIV/0!</v>
      </c>
      <c r="T467" s="30">
        <f t="shared" si="62"/>
        <v>0</v>
      </c>
      <c r="U467" s="9" t="str">
        <f t="shared" si="63"/>
        <v>45-54</v>
      </c>
    </row>
    <row r="468" spans="1:21">
      <c r="A468" t="s">
        <v>500</v>
      </c>
      <c r="B468" s="8">
        <v>1342</v>
      </c>
      <c r="C468" s="23">
        <v>5.1639999999999998E-2</v>
      </c>
      <c r="D468" s="19" t="s">
        <v>45</v>
      </c>
      <c r="E468" s="21">
        <v>32.82</v>
      </c>
      <c r="F468" s="21">
        <v>7.3129999999999997</v>
      </c>
      <c r="G468" s="23">
        <v>0.13522000000000001</v>
      </c>
      <c r="H468" s="26">
        <v>1</v>
      </c>
      <c r="I468" s="19" t="s">
        <v>1067</v>
      </c>
      <c r="J468" s="8">
        <v>23</v>
      </c>
      <c r="K468" s="19" t="s">
        <v>37</v>
      </c>
      <c r="L468" s="19" t="s">
        <v>32</v>
      </c>
      <c r="M468" s="8">
        <v>3</v>
      </c>
      <c r="N468" s="33">
        <f t="shared" si="56"/>
        <v>0.13674278681799534</v>
      </c>
      <c r="O468" s="23">
        <f t="shared" si="57"/>
        <v>7.06139751128128E-3</v>
      </c>
      <c r="P468" s="59">
        <f t="shared" si="58"/>
        <v>0.22282145033516149</v>
      </c>
      <c r="Q468" s="30">
        <f t="shared" si="59"/>
        <v>5.1639999999999998E-2</v>
      </c>
      <c r="R468" s="30">
        <f t="shared" si="60"/>
        <v>1.6185127807900856</v>
      </c>
      <c r="S468" s="12">
        <f t="shared" si="61"/>
        <v>2.6185127807900854</v>
      </c>
      <c r="T468" s="30">
        <f t="shared" si="62"/>
        <v>1.8490359633529335E-2</v>
      </c>
      <c r="U468" s="9" t="str">
        <f t="shared" si="63"/>
        <v>18-24</v>
      </c>
    </row>
    <row r="469" spans="1:21">
      <c r="A469" t="s">
        <v>501</v>
      </c>
      <c r="B469" s="8">
        <v>3340</v>
      </c>
      <c r="C469" s="23">
        <v>0</v>
      </c>
      <c r="D469" s="19" t="s">
        <v>32</v>
      </c>
      <c r="E469" s="21">
        <v>51.375999999999998</v>
      </c>
      <c r="F469" s="21">
        <v>0.64500000000000002</v>
      </c>
      <c r="G469" s="23">
        <v>0.35837000000000002</v>
      </c>
      <c r="H469" s="26">
        <v>1</v>
      </c>
      <c r="I469" s="19" t="s">
        <v>21</v>
      </c>
      <c r="J469" s="8">
        <v>25</v>
      </c>
      <c r="K469" s="19" t="s">
        <v>31</v>
      </c>
      <c r="L469" s="19" t="s">
        <v>45</v>
      </c>
      <c r="M469" s="8" t="s">
        <v>1065</v>
      </c>
      <c r="N469" s="33">
        <f t="shared" si="56"/>
        <v>1.5503875968992247</v>
      </c>
      <c r="O469" s="23">
        <f t="shared" si="57"/>
        <v>0</v>
      </c>
      <c r="P469" s="59">
        <f t="shared" si="58"/>
        <v>1.2554500155714731E-2</v>
      </c>
      <c r="Q469" s="30">
        <f t="shared" si="59"/>
        <v>0</v>
      </c>
      <c r="R469" s="30">
        <f t="shared" si="60"/>
        <v>0</v>
      </c>
      <c r="S469" s="12" t="e">
        <f t="shared" si="61"/>
        <v>#DIV/0!</v>
      </c>
      <c r="T469" s="30">
        <f t="shared" si="62"/>
        <v>0.5556124031007752</v>
      </c>
      <c r="U469" s="9" t="str">
        <f t="shared" si="63"/>
        <v>25-34</v>
      </c>
    </row>
    <row r="470" spans="1:21">
      <c r="A470" t="s">
        <v>502</v>
      </c>
      <c r="B470" s="8">
        <v>5994</v>
      </c>
      <c r="C470" s="23">
        <v>5.457E-2</v>
      </c>
      <c r="D470" s="19" t="s">
        <v>28</v>
      </c>
      <c r="E470" s="21">
        <v>9.4689999999999994</v>
      </c>
      <c r="F470" s="21">
        <v>8.5980000000000008</v>
      </c>
      <c r="G470" s="23">
        <v>0.41650999999999999</v>
      </c>
      <c r="H470" s="26">
        <v>1</v>
      </c>
      <c r="I470" s="19" t="s">
        <v>34</v>
      </c>
      <c r="J470" s="8">
        <v>58</v>
      </c>
      <c r="K470" s="19" t="s">
        <v>18</v>
      </c>
      <c r="L470" s="19" t="s">
        <v>38</v>
      </c>
      <c r="M470" s="8">
        <v>4</v>
      </c>
      <c r="N470" s="33">
        <f t="shared" si="56"/>
        <v>0.1163061177017911</v>
      </c>
      <c r="O470" s="23">
        <f t="shared" si="57"/>
        <v>6.3468248429867404E-3</v>
      </c>
      <c r="P470" s="59">
        <f t="shared" si="58"/>
        <v>0.90801562995036444</v>
      </c>
      <c r="Q470" s="30">
        <f t="shared" si="59"/>
        <v>5.457E-2</v>
      </c>
      <c r="R470" s="30">
        <f t="shared" si="60"/>
        <v>6.6325820047645223</v>
      </c>
      <c r="S470" s="12">
        <f t="shared" si="61"/>
        <v>7.6325820047645223</v>
      </c>
      <c r="T470" s="30">
        <f t="shared" si="62"/>
        <v>4.8442661083973014E-2</v>
      </c>
      <c r="U470" s="9" t="str">
        <f t="shared" si="63"/>
        <v>55+</v>
      </c>
    </row>
    <row r="471" spans="1:21">
      <c r="A471" t="s">
        <v>503</v>
      </c>
      <c r="B471" s="8">
        <v>3281</v>
      </c>
      <c r="C471" s="23">
        <v>0</v>
      </c>
      <c r="D471" s="19" t="s">
        <v>45</v>
      </c>
      <c r="E471" s="21">
        <v>98.798000000000002</v>
      </c>
      <c r="F471" s="21">
        <v>9.1120000000000001</v>
      </c>
      <c r="G471" s="23">
        <v>0</v>
      </c>
      <c r="H471" s="26">
        <v>0</v>
      </c>
      <c r="I471" s="19" t="s">
        <v>26</v>
      </c>
      <c r="J471" s="8">
        <v>22</v>
      </c>
      <c r="K471" s="19" t="s">
        <v>22</v>
      </c>
      <c r="L471" s="19" t="s">
        <v>32</v>
      </c>
      <c r="M471" s="8">
        <v>3</v>
      </c>
      <c r="N471" s="33">
        <f t="shared" si="56"/>
        <v>0</v>
      </c>
      <c r="O471" s="23">
        <f t="shared" si="57"/>
        <v>0</v>
      </c>
      <c r="P471" s="59">
        <f t="shared" si="58"/>
        <v>9.2228587623231245E-2</v>
      </c>
      <c r="Q471" s="30">
        <f t="shared" si="59"/>
        <v>0</v>
      </c>
      <c r="R471" s="30">
        <f t="shared" si="60"/>
        <v>0</v>
      </c>
      <c r="S471" s="12">
        <f t="shared" si="61"/>
        <v>0</v>
      </c>
      <c r="T471" s="30">
        <f t="shared" si="62"/>
        <v>0</v>
      </c>
      <c r="U471" s="9" t="str">
        <f t="shared" si="63"/>
        <v>18-24</v>
      </c>
    </row>
    <row r="472" spans="1:21">
      <c r="A472" t="s">
        <v>504</v>
      </c>
      <c r="B472" s="8">
        <v>3505</v>
      </c>
      <c r="C472" s="23">
        <v>0.14752000000000001</v>
      </c>
      <c r="D472" s="19" t="s">
        <v>28</v>
      </c>
      <c r="E472" s="21">
        <v>8.6850000000000005</v>
      </c>
      <c r="F472" s="21">
        <v>6.9039999999999999</v>
      </c>
      <c r="G472" s="23">
        <v>0</v>
      </c>
      <c r="H472" s="26">
        <v>0</v>
      </c>
      <c r="I472" s="19" t="s">
        <v>29</v>
      </c>
      <c r="J472" s="8">
        <v>58</v>
      </c>
      <c r="K472" s="19" t="s">
        <v>31</v>
      </c>
      <c r="L472" s="19" t="s">
        <v>32</v>
      </c>
      <c r="M472" s="8">
        <v>3</v>
      </c>
      <c r="N472" s="33">
        <f t="shared" si="56"/>
        <v>0</v>
      </c>
      <c r="O472" s="23">
        <f t="shared" si="57"/>
        <v>2.136732329084589E-2</v>
      </c>
      <c r="P472" s="59">
        <f t="shared" si="58"/>
        <v>0.79493379389752439</v>
      </c>
      <c r="Q472" s="30">
        <f t="shared" si="59"/>
        <v>0</v>
      </c>
      <c r="R472" s="30">
        <f t="shared" si="60"/>
        <v>-1</v>
      </c>
      <c r="S472" s="12">
        <f t="shared" si="61"/>
        <v>0</v>
      </c>
      <c r="T472" s="30">
        <f t="shared" si="62"/>
        <v>0</v>
      </c>
      <c r="U472" s="9" t="str">
        <f t="shared" si="63"/>
        <v>55+</v>
      </c>
    </row>
    <row r="473" spans="1:21">
      <c r="A473" t="s">
        <v>505</v>
      </c>
      <c r="B473" s="8">
        <v>7334</v>
      </c>
      <c r="C473" s="23">
        <v>0.11698</v>
      </c>
      <c r="D473" s="19" t="s">
        <v>32</v>
      </c>
      <c r="E473" s="21">
        <v>99.103999999999999</v>
      </c>
      <c r="F473" s="21">
        <v>0.54500000000000004</v>
      </c>
      <c r="G473" s="23">
        <v>0</v>
      </c>
      <c r="H473" s="26">
        <v>0</v>
      </c>
      <c r="I473" s="19" t="s">
        <v>21</v>
      </c>
      <c r="J473" s="8">
        <v>45</v>
      </c>
      <c r="K473" s="19" t="s">
        <v>31</v>
      </c>
      <c r="L473" s="19" t="s">
        <v>23</v>
      </c>
      <c r="M473" s="8">
        <v>2</v>
      </c>
      <c r="N473" s="33">
        <f t="shared" si="56"/>
        <v>0</v>
      </c>
      <c r="O473" s="23">
        <f t="shared" si="57"/>
        <v>0.21464220183486238</v>
      </c>
      <c r="P473" s="59">
        <f t="shared" si="58"/>
        <v>5.4992734904746529E-3</v>
      </c>
      <c r="Q473" s="30">
        <f t="shared" si="59"/>
        <v>0</v>
      </c>
      <c r="R473" s="30">
        <f t="shared" si="60"/>
        <v>-1</v>
      </c>
      <c r="S473" s="12">
        <f t="shared" si="61"/>
        <v>0</v>
      </c>
      <c r="T473" s="30">
        <f t="shared" si="62"/>
        <v>0</v>
      </c>
      <c r="U473" s="9" t="str">
        <f t="shared" si="63"/>
        <v>45-54</v>
      </c>
    </row>
    <row r="474" spans="1:21">
      <c r="A474" t="s">
        <v>506</v>
      </c>
      <c r="B474" s="8">
        <v>7028</v>
      </c>
      <c r="C474" s="23">
        <v>0.15789</v>
      </c>
      <c r="D474" s="19" t="s">
        <v>25</v>
      </c>
      <c r="E474" s="21">
        <v>25.776</v>
      </c>
      <c r="F474" s="21">
        <v>6.9459999999999997</v>
      </c>
      <c r="G474" s="23">
        <v>0</v>
      </c>
      <c r="H474" s="26">
        <v>0</v>
      </c>
      <c r="I474" s="19" t="s">
        <v>29</v>
      </c>
      <c r="J474" s="8">
        <v>32</v>
      </c>
      <c r="K474" s="19" t="s">
        <v>22</v>
      </c>
      <c r="L474" s="19" t="s">
        <v>45</v>
      </c>
      <c r="M474" s="8">
        <v>3</v>
      </c>
      <c r="N474" s="33">
        <f t="shared" si="56"/>
        <v>0</v>
      </c>
      <c r="O474" s="23">
        <f t="shared" si="57"/>
        <v>2.2731068240714081E-2</v>
      </c>
      <c r="P474" s="59">
        <f t="shared" si="58"/>
        <v>0.26947548106765984</v>
      </c>
      <c r="Q474" s="30">
        <f t="shared" si="59"/>
        <v>0</v>
      </c>
      <c r="R474" s="30">
        <f t="shared" si="60"/>
        <v>-1</v>
      </c>
      <c r="S474" s="12">
        <f t="shared" si="61"/>
        <v>0</v>
      </c>
      <c r="T474" s="30">
        <f t="shared" si="62"/>
        <v>0</v>
      </c>
      <c r="U474" s="9" t="str">
        <f t="shared" si="63"/>
        <v>25-34</v>
      </c>
    </row>
    <row r="475" spans="1:21">
      <c r="A475" t="s">
        <v>507</v>
      </c>
      <c r="B475" s="8">
        <v>2874</v>
      </c>
      <c r="C475" s="23">
        <v>8.8330000000000006E-2</v>
      </c>
      <c r="D475" s="19" t="s">
        <v>15</v>
      </c>
      <c r="E475" s="21">
        <v>88.126000000000005</v>
      </c>
      <c r="F475" s="21">
        <v>3.0489999999999999</v>
      </c>
      <c r="G475" s="23">
        <v>0</v>
      </c>
      <c r="H475" s="26">
        <v>0</v>
      </c>
      <c r="I475" s="19" t="s">
        <v>1067</v>
      </c>
      <c r="J475" s="8">
        <v>22</v>
      </c>
      <c r="K475" s="19" t="s">
        <v>18</v>
      </c>
      <c r="L475" s="19" t="s">
        <v>45</v>
      </c>
      <c r="M475" s="8" t="s">
        <v>1065</v>
      </c>
      <c r="N475" s="33">
        <f t="shared" si="56"/>
        <v>0</v>
      </c>
      <c r="O475" s="23">
        <f t="shared" si="57"/>
        <v>2.8970154148901282E-2</v>
      </c>
      <c r="P475" s="59">
        <f t="shared" si="58"/>
        <v>3.4598188956721058E-2</v>
      </c>
      <c r="Q475" s="30">
        <f t="shared" si="59"/>
        <v>0</v>
      </c>
      <c r="R475" s="30">
        <f t="shared" si="60"/>
        <v>-1</v>
      </c>
      <c r="S475" s="12">
        <f t="shared" si="61"/>
        <v>0</v>
      </c>
      <c r="T475" s="30">
        <f t="shared" si="62"/>
        <v>0</v>
      </c>
      <c r="U475" s="9" t="str">
        <f t="shared" si="63"/>
        <v>18-24</v>
      </c>
    </row>
    <row r="476" spans="1:21">
      <c r="A476" t="s">
        <v>508</v>
      </c>
      <c r="B476" s="8">
        <v>1452</v>
      </c>
      <c r="C476" s="23">
        <v>0.19785</v>
      </c>
      <c r="D476" s="19" t="s">
        <v>15</v>
      </c>
      <c r="E476" s="21">
        <v>5.7130000000000001</v>
      </c>
      <c r="F476" s="21">
        <v>0.78100000000000003</v>
      </c>
      <c r="G476" s="23">
        <v>8.9190000000000005E-2</v>
      </c>
      <c r="H476" s="26">
        <v>1</v>
      </c>
      <c r="I476" s="19" t="s">
        <v>26</v>
      </c>
      <c r="J476" s="8">
        <v>28</v>
      </c>
      <c r="K476" s="19" t="s">
        <v>18</v>
      </c>
      <c r="L476" s="19" t="s">
        <v>32</v>
      </c>
      <c r="M476" s="8">
        <v>5</v>
      </c>
      <c r="N476" s="33">
        <f t="shared" si="56"/>
        <v>1.2804097311139564</v>
      </c>
      <c r="O476" s="23">
        <f t="shared" si="57"/>
        <v>0.25332906530089627</v>
      </c>
      <c r="P476" s="59">
        <f t="shared" si="58"/>
        <v>0.13670575879572905</v>
      </c>
      <c r="Q476" s="30">
        <f t="shared" si="59"/>
        <v>0.19785</v>
      </c>
      <c r="R476" s="30">
        <f t="shared" si="60"/>
        <v>-0.54920394238059134</v>
      </c>
      <c r="S476" s="12">
        <f t="shared" si="61"/>
        <v>0.45079605761940866</v>
      </c>
      <c r="T476" s="30">
        <f t="shared" si="62"/>
        <v>0.11419974391805378</v>
      </c>
      <c r="U476" s="9" t="str">
        <f t="shared" si="63"/>
        <v>25-34</v>
      </c>
    </row>
    <row r="477" spans="1:21">
      <c r="A477" t="s">
        <v>509</v>
      </c>
      <c r="B477" s="8">
        <v>4344</v>
      </c>
      <c r="C477" s="23">
        <v>0.10489</v>
      </c>
      <c r="D477" s="19" t="s">
        <v>15</v>
      </c>
      <c r="E477" s="21">
        <v>45.808</v>
      </c>
      <c r="F477" s="21">
        <v>0.86099999999999999</v>
      </c>
      <c r="G477" s="23">
        <v>0</v>
      </c>
      <c r="H477" s="26">
        <v>0</v>
      </c>
      <c r="I477" s="19" t="s">
        <v>29</v>
      </c>
      <c r="J477" s="8">
        <v>33</v>
      </c>
      <c r="K477" s="19" t="s">
        <v>22</v>
      </c>
      <c r="L477" s="19" t="s">
        <v>32</v>
      </c>
      <c r="M477" s="8">
        <v>2</v>
      </c>
      <c r="N477" s="33">
        <f t="shared" si="56"/>
        <v>0</v>
      </c>
      <c r="O477" s="23">
        <f t="shared" si="57"/>
        <v>0.12182346109175378</v>
      </c>
      <c r="P477" s="59">
        <f t="shared" si="58"/>
        <v>1.8795843520782396E-2</v>
      </c>
      <c r="Q477" s="30">
        <f t="shared" si="59"/>
        <v>0</v>
      </c>
      <c r="R477" s="30">
        <f t="shared" si="60"/>
        <v>-1</v>
      </c>
      <c r="S477" s="12">
        <f t="shared" si="61"/>
        <v>0</v>
      </c>
      <c r="T477" s="30">
        <f t="shared" si="62"/>
        <v>0</v>
      </c>
      <c r="U477" s="9" t="str">
        <f t="shared" si="63"/>
        <v>25-34</v>
      </c>
    </row>
    <row r="478" spans="1:21">
      <c r="A478" t="s">
        <v>510</v>
      </c>
      <c r="B478" s="8">
        <v>5187</v>
      </c>
      <c r="C478" s="23">
        <v>0.11854000000000001</v>
      </c>
      <c r="D478" s="19" t="s">
        <v>15</v>
      </c>
      <c r="E478" s="21">
        <v>85.817999999999998</v>
      </c>
      <c r="F478" s="21">
        <v>3.3860000000000001</v>
      </c>
      <c r="G478" s="23">
        <v>0</v>
      </c>
      <c r="H478" s="26">
        <v>0</v>
      </c>
      <c r="I478" s="19" t="s">
        <v>21</v>
      </c>
      <c r="J478" s="8">
        <v>58</v>
      </c>
      <c r="K478" s="19" t="s">
        <v>37</v>
      </c>
      <c r="L478" s="19" t="s">
        <v>32</v>
      </c>
      <c r="M478" s="8">
        <v>4</v>
      </c>
      <c r="N478" s="33">
        <f t="shared" si="56"/>
        <v>0</v>
      </c>
      <c r="O478" s="23">
        <f t="shared" si="57"/>
        <v>3.5008860011813352E-2</v>
      </c>
      <c r="P478" s="59">
        <f t="shared" si="58"/>
        <v>3.9455592066932346E-2</v>
      </c>
      <c r="Q478" s="30">
        <f t="shared" si="59"/>
        <v>0</v>
      </c>
      <c r="R478" s="30">
        <f t="shared" si="60"/>
        <v>-1</v>
      </c>
      <c r="S478" s="12">
        <f t="shared" si="61"/>
        <v>0</v>
      </c>
      <c r="T478" s="30">
        <f t="shared" si="62"/>
        <v>0</v>
      </c>
      <c r="U478" s="9" t="str">
        <f t="shared" si="63"/>
        <v>55+</v>
      </c>
    </row>
    <row r="479" spans="1:21">
      <c r="A479" t="s">
        <v>511</v>
      </c>
      <c r="B479" s="8">
        <v>4077</v>
      </c>
      <c r="C479" s="23">
        <v>3.7629999999999997E-2</v>
      </c>
      <c r="D479" s="19" t="s">
        <v>15</v>
      </c>
      <c r="E479" s="21">
        <v>12.785</v>
      </c>
      <c r="F479" s="21">
        <v>8.58</v>
      </c>
      <c r="G479" s="23">
        <v>0</v>
      </c>
      <c r="H479" s="26">
        <v>0</v>
      </c>
      <c r="I479" s="19" t="s">
        <v>26</v>
      </c>
      <c r="J479" s="8">
        <v>45</v>
      </c>
      <c r="K479" s="19" t="s">
        <v>18</v>
      </c>
      <c r="L479" s="19" t="s">
        <v>38</v>
      </c>
      <c r="M479" s="8">
        <v>2</v>
      </c>
      <c r="N479" s="33">
        <f t="shared" si="56"/>
        <v>0</v>
      </c>
      <c r="O479" s="23">
        <f t="shared" si="57"/>
        <v>4.385780885780885E-3</v>
      </c>
      <c r="P479" s="59">
        <f t="shared" si="58"/>
        <v>0.67109894407508797</v>
      </c>
      <c r="Q479" s="30">
        <f t="shared" si="59"/>
        <v>0</v>
      </c>
      <c r="R479" s="30">
        <f t="shared" si="60"/>
        <v>-1</v>
      </c>
      <c r="S479" s="12">
        <f t="shared" si="61"/>
        <v>0</v>
      </c>
      <c r="T479" s="30">
        <f t="shared" si="62"/>
        <v>0</v>
      </c>
      <c r="U479" s="9" t="str">
        <f t="shared" si="63"/>
        <v>45-54</v>
      </c>
    </row>
    <row r="480" spans="1:21">
      <c r="A480" t="s">
        <v>512</v>
      </c>
      <c r="B480" s="8">
        <v>1012</v>
      </c>
      <c r="C480" s="23">
        <v>8.0750000000000002E-2</v>
      </c>
      <c r="D480" s="19" t="s">
        <v>28</v>
      </c>
      <c r="E480" s="21">
        <v>75.763000000000005</v>
      </c>
      <c r="F480" s="21">
        <v>6.843</v>
      </c>
      <c r="G480" s="23">
        <v>0</v>
      </c>
      <c r="H480" s="26">
        <v>0</v>
      </c>
      <c r="I480" s="19" t="s">
        <v>26</v>
      </c>
      <c r="J480" s="8">
        <v>63</v>
      </c>
      <c r="K480" s="19" t="s">
        <v>18</v>
      </c>
      <c r="L480" s="19" t="s">
        <v>23</v>
      </c>
      <c r="M480" s="8" t="s">
        <v>1065</v>
      </c>
      <c r="N480" s="33">
        <f t="shared" si="56"/>
        <v>0</v>
      </c>
      <c r="O480" s="23">
        <f t="shared" si="57"/>
        <v>1.180037995031419E-2</v>
      </c>
      <c r="P480" s="59">
        <f t="shared" si="58"/>
        <v>9.0321133006876705E-2</v>
      </c>
      <c r="Q480" s="30">
        <f t="shared" si="59"/>
        <v>0</v>
      </c>
      <c r="R480" s="30">
        <f t="shared" si="60"/>
        <v>-1</v>
      </c>
      <c r="S480" s="12">
        <f t="shared" si="61"/>
        <v>0</v>
      </c>
      <c r="T480" s="30">
        <f t="shared" si="62"/>
        <v>0</v>
      </c>
      <c r="U480" s="9" t="str">
        <f t="shared" si="63"/>
        <v>55+</v>
      </c>
    </row>
    <row r="481" spans="1:21">
      <c r="A481" t="s">
        <v>513</v>
      </c>
      <c r="B481" s="8">
        <v>9765</v>
      </c>
      <c r="C481" s="23">
        <v>0.154</v>
      </c>
      <c r="D481" s="19" t="s">
        <v>28</v>
      </c>
      <c r="E481" s="21">
        <v>87.591999999999999</v>
      </c>
      <c r="F481" s="21">
        <v>4.1059999999999999</v>
      </c>
      <c r="G481" s="23">
        <v>0</v>
      </c>
      <c r="H481" s="26">
        <v>0</v>
      </c>
      <c r="I481" s="19" t="s">
        <v>17</v>
      </c>
      <c r="J481" s="8">
        <v>56</v>
      </c>
      <c r="K481" s="19" t="s">
        <v>37</v>
      </c>
      <c r="L481" s="19" t="s">
        <v>23</v>
      </c>
      <c r="M481" s="8" t="s">
        <v>1065</v>
      </c>
      <c r="N481" s="33">
        <f t="shared" si="56"/>
        <v>0</v>
      </c>
      <c r="O481" s="23">
        <f t="shared" si="57"/>
        <v>3.7506088650754991E-2</v>
      </c>
      <c r="P481" s="59">
        <f t="shared" si="58"/>
        <v>4.6876427070965385E-2</v>
      </c>
      <c r="Q481" s="30">
        <f t="shared" si="59"/>
        <v>0</v>
      </c>
      <c r="R481" s="30">
        <f t="shared" si="60"/>
        <v>-1</v>
      </c>
      <c r="S481" s="12">
        <f t="shared" si="61"/>
        <v>0</v>
      </c>
      <c r="T481" s="30">
        <f t="shared" si="62"/>
        <v>0</v>
      </c>
      <c r="U481" s="9" t="str">
        <f t="shared" si="63"/>
        <v>55+</v>
      </c>
    </row>
    <row r="482" spans="1:21">
      <c r="A482" t="s">
        <v>514</v>
      </c>
      <c r="B482" s="8">
        <v>2361</v>
      </c>
      <c r="C482" s="23">
        <v>0.15858</v>
      </c>
      <c r="D482" s="19" t="s">
        <v>32</v>
      </c>
      <c r="E482" s="21">
        <v>68.159000000000006</v>
      </c>
      <c r="F482" s="21">
        <v>7.7140000000000004</v>
      </c>
      <c r="G482" s="23">
        <v>0.20061000000000001</v>
      </c>
      <c r="H482" s="26">
        <v>1</v>
      </c>
      <c r="I482" s="19" t="s">
        <v>1067</v>
      </c>
      <c r="J482" s="8">
        <v>28</v>
      </c>
      <c r="K482" s="19" t="s">
        <v>31</v>
      </c>
      <c r="L482" s="19" t="s">
        <v>45</v>
      </c>
      <c r="M482" s="8">
        <v>3</v>
      </c>
      <c r="N482" s="33">
        <f t="shared" si="56"/>
        <v>0.12963443090484833</v>
      </c>
      <c r="O482" s="23">
        <f t="shared" si="57"/>
        <v>2.0557428052890847E-2</v>
      </c>
      <c r="P482" s="59">
        <f t="shared" si="58"/>
        <v>0.11317654308308514</v>
      </c>
      <c r="Q482" s="30">
        <f t="shared" si="59"/>
        <v>0.15858</v>
      </c>
      <c r="R482" s="30">
        <f t="shared" si="60"/>
        <v>0.26503972758229294</v>
      </c>
      <c r="S482" s="12">
        <f t="shared" si="61"/>
        <v>1.2650397275822929</v>
      </c>
      <c r="T482" s="30">
        <f t="shared" si="62"/>
        <v>2.6005963183821625E-2</v>
      </c>
      <c r="U482" s="9" t="str">
        <f t="shared" si="63"/>
        <v>25-34</v>
      </c>
    </row>
    <row r="483" spans="1:21">
      <c r="A483" t="s">
        <v>515</v>
      </c>
      <c r="B483" s="8">
        <v>4923</v>
      </c>
      <c r="C483" s="23">
        <v>0.12978999999999999</v>
      </c>
      <c r="D483" s="19" t="s">
        <v>28</v>
      </c>
      <c r="E483" s="21">
        <v>29.734000000000002</v>
      </c>
      <c r="F483" s="21">
        <v>7.6609999999999996</v>
      </c>
      <c r="G483" s="23">
        <v>0</v>
      </c>
      <c r="H483" s="26">
        <v>1</v>
      </c>
      <c r="I483" s="19" t="s">
        <v>17</v>
      </c>
      <c r="J483" s="8">
        <v>41</v>
      </c>
      <c r="K483" s="19" t="s">
        <v>31</v>
      </c>
      <c r="L483" s="19" t="s">
        <v>23</v>
      </c>
      <c r="M483" s="8">
        <v>5</v>
      </c>
      <c r="N483" s="33">
        <f t="shared" si="56"/>
        <v>0.13053126223730585</v>
      </c>
      <c r="O483" s="23">
        <f t="shared" si="57"/>
        <v>1.6941652525779925E-2</v>
      </c>
      <c r="P483" s="59">
        <f t="shared" si="58"/>
        <v>0.25765117374049906</v>
      </c>
      <c r="Q483" s="30">
        <f t="shared" si="59"/>
        <v>0.12978999999999999</v>
      </c>
      <c r="R483" s="30">
        <f t="shared" si="60"/>
        <v>-1</v>
      </c>
      <c r="S483" s="12">
        <f t="shared" si="61"/>
        <v>0</v>
      </c>
      <c r="T483" s="30">
        <f t="shared" si="62"/>
        <v>0</v>
      </c>
      <c r="U483" s="9" t="str">
        <f t="shared" si="63"/>
        <v>35-44</v>
      </c>
    </row>
    <row r="484" spans="1:21">
      <c r="A484" t="s">
        <v>516</v>
      </c>
      <c r="B484" s="8">
        <v>2340</v>
      </c>
      <c r="C484" s="23">
        <v>9.3649999999999997E-2</v>
      </c>
      <c r="D484" s="19" t="s">
        <v>40</v>
      </c>
      <c r="E484" s="21">
        <v>67.222999999999999</v>
      </c>
      <c r="F484" s="21">
        <v>4.6609999999999996</v>
      </c>
      <c r="G484" s="23">
        <v>0.14024</v>
      </c>
      <c r="H484" s="26">
        <v>1</v>
      </c>
      <c r="I484" s="19" t="s">
        <v>21</v>
      </c>
      <c r="J484" s="8">
        <v>54</v>
      </c>
      <c r="K484" s="19" t="s">
        <v>22</v>
      </c>
      <c r="L484" s="19" t="s">
        <v>32</v>
      </c>
      <c r="M484" s="8" t="s">
        <v>1065</v>
      </c>
      <c r="N484" s="33">
        <f t="shared" si="56"/>
        <v>0.21454623471358081</v>
      </c>
      <c r="O484" s="23">
        <f t="shared" si="57"/>
        <v>2.0092254880926842E-2</v>
      </c>
      <c r="P484" s="59">
        <f t="shared" si="58"/>
        <v>6.9336387843446437E-2</v>
      </c>
      <c r="Q484" s="30">
        <f t="shared" si="59"/>
        <v>9.3649999999999997E-2</v>
      </c>
      <c r="R484" s="30">
        <f t="shared" si="60"/>
        <v>0.49749065670048059</v>
      </c>
      <c r="S484" s="12">
        <f t="shared" si="61"/>
        <v>1.4974906567004806</v>
      </c>
      <c r="T484" s="30">
        <f t="shared" si="62"/>
        <v>3.0087963956232571E-2</v>
      </c>
      <c r="U484" s="9" t="str">
        <f t="shared" si="63"/>
        <v>45-54</v>
      </c>
    </row>
    <row r="485" spans="1:21">
      <c r="A485" t="s">
        <v>517</v>
      </c>
      <c r="B485" s="8">
        <v>7768</v>
      </c>
      <c r="C485" s="23">
        <v>0.17813999999999999</v>
      </c>
      <c r="D485" s="19" t="s">
        <v>32</v>
      </c>
      <c r="E485" s="21">
        <v>55.322000000000003</v>
      </c>
      <c r="F485" s="21">
        <v>2.5329999999999999</v>
      </c>
      <c r="G485" s="23">
        <v>0</v>
      </c>
      <c r="H485" s="26">
        <v>0</v>
      </c>
      <c r="I485" s="19" t="s">
        <v>17</v>
      </c>
      <c r="J485" s="8">
        <v>38</v>
      </c>
      <c r="K485" s="19" t="s">
        <v>22</v>
      </c>
      <c r="L485" s="19" t="s">
        <v>23</v>
      </c>
      <c r="M485" s="8">
        <v>3</v>
      </c>
      <c r="N485" s="33">
        <f t="shared" si="56"/>
        <v>0</v>
      </c>
      <c r="O485" s="23">
        <f t="shared" si="57"/>
        <v>7.0327674694038694E-2</v>
      </c>
      <c r="P485" s="59">
        <f t="shared" si="58"/>
        <v>4.578648638877842E-2</v>
      </c>
      <c r="Q485" s="30">
        <f t="shared" si="59"/>
        <v>0</v>
      </c>
      <c r="R485" s="30">
        <f t="shared" si="60"/>
        <v>-1</v>
      </c>
      <c r="S485" s="12">
        <f t="shared" si="61"/>
        <v>0</v>
      </c>
      <c r="T485" s="30">
        <f t="shared" si="62"/>
        <v>0</v>
      </c>
      <c r="U485" s="9" t="str">
        <f t="shared" si="63"/>
        <v>35-44</v>
      </c>
    </row>
    <row r="486" spans="1:21">
      <c r="A486" t="s">
        <v>518</v>
      </c>
      <c r="B486" s="8">
        <v>2023</v>
      </c>
      <c r="C486" s="23">
        <v>9.0900000000000009E-3</v>
      </c>
      <c r="D486" s="19" t="s">
        <v>25</v>
      </c>
      <c r="E486" s="21">
        <v>11.673</v>
      </c>
      <c r="F486" s="21">
        <v>1.4410000000000001</v>
      </c>
      <c r="G486" s="23">
        <v>0</v>
      </c>
      <c r="H486" s="26">
        <v>0</v>
      </c>
      <c r="I486" s="19" t="s">
        <v>29</v>
      </c>
      <c r="J486" s="8">
        <v>24</v>
      </c>
      <c r="K486" s="19" t="s">
        <v>37</v>
      </c>
      <c r="L486" s="19" t="s">
        <v>38</v>
      </c>
      <c r="M486" s="8">
        <v>1</v>
      </c>
      <c r="N486" s="33">
        <f t="shared" si="56"/>
        <v>0</v>
      </c>
      <c r="O486" s="23">
        <f t="shared" si="57"/>
        <v>6.3081193615544765E-3</v>
      </c>
      <c r="P486" s="59">
        <f t="shared" si="58"/>
        <v>0.12344727148119593</v>
      </c>
      <c r="Q486" s="30">
        <f t="shared" si="59"/>
        <v>0</v>
      </c>
      <c r="R486" s="30">
        <f t="shared" si="60"/>
        <v>-1</v>
      </c>
      <c r="S486" s="12">
        <f t="shared" si="61"/>
        <v>0</v>
      </c>
      <c r="T486" s="30">
        <f t="shared" si="62"/>
        <v>0</v>
      </c>
      <c r="U486" s="9" t="str">
        <f t="shared" si="63"/>
        <v>18-24</v>
      </c>
    </row>
    <row r="487" spans="1:21">
      <c r="A487" t="s">
        <v>519</v>
      </c>
      <c r="B487" s="8">
        <v>5180</v>
      </c>
      <c r="C487" s="23">
        <v>2.6110000000000001E-2</v>
      </c>
      <c r="D487" s="19" t="s">
        <v>40</v>
      </c>
      <c r="E487" s="21">
        <v>44.499000000000002</v>
      </c>
      <c r="F487" s="21">
        <v>6.5709999999999997</v>
      </c>
      <c r="G487" s="23">
        <v>0</v>
      </c>
      <c r="H487" s="26">
        <v>0</v>
      </c>
      <c r="I487" s="19" t="s">
        <v>26</v>
      </c>
      <c r="J487" s="8">
        <v>44</v>
      </c>
      <c r="K487" s="19" t="s">
        <v>18</v>
      </c>
      <c r="L487" s="19" t="s">
        <v>19</v>
      </c>
      <c r="M487" s="8">
        <v>2</v>
      </c>
      <c r="N487" s="33">
        <f t="shared" si="56"/>
        <v>0</v>
      </c>
      <c r="O487" s="23">
        <f t="shared" si="57"/>
        <v>3.9735200121747078E-3</v>
      </c>
      <c r="P487" s="59">
        <f t="shared" si="58"/>
        <v>0.14766623969077955</v>
      </c>
      <c r="Q487" s="30">
        <f t="shared" si="59"/>
        <v>0</v>
      </c>
      <c r="R487" s="30">
        <f t="shared" si="60"/>
        <v>-1</v>
      </c>
      <c r="S487" s="12">
        <f t="shared" si="61"/>
        <v>0</v>
      </c>
      <c r="T487" s="30">
        <f t="shared" si="62"/>
        <v>0</v>
      </c>
      <c r="U487" s="9" t="str">
        <f t="shared" si="63"/>
        <v>35-44</v>
      </c>
    </row>
    <row r="488" spans="1:21">
      <c r="A488" t="s">
        <v>520</v>
      </c>
      <c r="B488" s="8">
        <v>7731</v>
      </c>
      <c r="C488" s="23">
        <v>0.16064000000000001</v>
      </c>
      <c r="D488" s="19" t="s">
        <v>28</v>
      </c>
      <c r="E488" s="21">
        <v>68.849000000000004</v>
      </c>
      <c r="F488" s="21">
        <v>1.2070000000000001</v>
      </c>
      <c r="G488" s="23">
        <v>0.16128000000000001</v>
      </c>
      <c r="H488" s="26">
        <v>1</v>
      </c>
      <c r="I488" s="19" t="s">
        <v>26</v>
      </c>
      <c r="J488" s="8">
        <v>23</v>
      </c>
      <c r="K488" s="19" t="s">
        <v>18</v>
      </c>
      <c r="L488" s="19" t="s">
        <v>38</v>
      </c>
      <c r="M488" s="8">
        <v>3</v>
      </c>
      <c r="N488" s="33">
        <f t="shared" si="56"/>
        <v>0.82850041425020704</v>
      </c>
      <c r="O488" s="23">
        <f t="shared" si="57"/>
        <v>0.13309030654515328</v>
      </c>
      <c r="P488" s="59">
        <f t="shared" si="58"/>
        <v>1.7531118825255269E-2</v>
      </c>
      <c r="Q488" s="30">
        <f t="shared" si="59"/>
        <v>0.16064000000000001</v>
      </c>
      <c r="R488" s="30">
        <f t="shared" si="60"/>
        <v>3.9840637450199307E-3</v>
      </c>
      <c r="S488" s="12">
        <f t="shared" si="61"/>
        <v>1.0039840637450199</v>
      </c>
      <c r="T488" s="30">
        <f t="shared" si="62"/>
        <v>0.13362054681027341</v>
      </c>
      <c r="U488" s="9" t="str">
        <f t="shared" si="63"/>
        <v>18-24</v>
      </c>
    </row>
    <row r="489" spans="1:21">
      <c r="A489" t="s">
        <v>521</v>
      </c>
      <c r="B489" s="8">
        <v>7085</v>
      </c>
      <c r="C489" s="23">
        <v>0</v>
      </c>
      <c r="D489" s="19" t="s">
        <v>25</v>
      </c>
      <c r="E489" s="21">
        <v>15.359</v>
      </c>
      <c r="F489" s="21">
        <v>7.0250000000000004</v>
      </c>
      <c r="G489" s="23">
        <v>0</v>
      </c>
      <c r="H489" s="26">
        <v>0</v>
      </c>
      <c r="I489" s="19" t="s">
        <v>26</v>
      </c>
      <c r="J489" s="8">
        <v>35</v>
      </c>
      <c r="K489" s="19" t="s">
        <v>31</v>
      </c>
      <c r="L489" s="19" t="s">
        <v>38</v>
      </c>
      <c r="M489" s="8">
        <v>5</v>
      </c>
      <c r="N489" s="33">
        <f t="shared" si="56"/>
        <v>0</v>
      </c>
      <c r="O489" s="23">
        <f t="shared" si="57"/>
        <v>0</v>
      </c>
      <c r="P489" s="59">
        <f t="shared" si="58"/>
        <v>0.4573865486034247</v>
      </c>
      <c r="Q489" s="30">
        <f t="shared" si="59"/>
        <v>0</v>
      </c>
      <c r="R489" s="30">
        <f t="shared" si="60"/>
        <v>0</v>
      </c>
      <c r="S489" s="12">
        <f t="shared" si="61"/>
        <v>0</v>
      </c>
      <c r="T489" s="30">
        <f t="shared" si="62"/>
        <v>0</v>
      </c>
      <c r="U489" s="9" t="str">
        <f t="shared" si="63"/>
        <v>35-44</v>
      </c>
    </row>
    <row r="490" spans="1:21">
      <c r="A490" t="s">
        <v>522</v>
      </c>
      <c r="B490" s="8">
        <v>8265</v>
      </c>
      <c r="C490" s="23">
        <v>1.8970000000000001E-2</v>
      </c>
      <c r="D490" s="19" t="s">
        <v>28</v>
      </c>
      <c r="E490" s="21">
        <v>5.8920000000000003</v>
      </c>
      <c r="F490" s="21">
        <v>2.7770000000000001</v>
      </c>
      <c r="G490" s="23">
        <v>0.33096999999999999</v>
      </c>
      <c r="H490" s="26">
        <v>1</v>
      </c>
      <c r="I490" s="19" t="s">
        <v>26</v>
      </c>
      <c r="J490" s="8">
        <v>19</v>
      </c>
      <c r="K490" s="19" t="s">
        <v>18</v>
      </c>
      <c r="L490" s="19" t="s">
        <v>23</v>
      </c>
      <c r="M490" s="8">
        <v>1</v>
      </c>
      <c r="N490" s="33">
        <f t="shared" si="56"/>
        <v>0.36010082823190492</v>
      </c>
      <c r="O490" s="23">
        <f t="shared" si="57"/>
        <v>6.8311127115592363E-3</v>
      </c>
      <c r="P490" s="59">
        <f t="shared" si="58"/>
        <v>0.47131704005431091</v>
      </c>
      <c r="Q490" s="30">
        <f t="shared" si="59"/>
        <v>1.8970000000000001E-2</v>
      </c>
      <c r="R490" s="30">
        <f t="shared" si="60"/>
        <v>16.447021613073272</v>
      </c>
      <c r="S490" s="12">
        <f t="shared" si="61"/>
        <v>17.447021613073272</v>
      </c>
      <c r="T490" s="30">
        <f t="shared" si="62"/>
        <v>0.11918257111991357</v>
      </c>
      <c r="U490" s="9" t="str">
        <f t="shared" si="63"/>
        <v>18-24</v>
      </c>
    </row>
    <row r="491" spans="1:21">
      <c r="A491" t="s">
        <v>523</v>
      </c>
      <c r="B491" s="8">
        <v>2660</v>
      </c>
      <c r="C491" s="23">
        <v>0.11889</v>
      </c>
      <c r="D491" s="19" t="s">
        <v>28</v>
      </c>
      <c r="E491" s="21">
        <v>32.142000000000003</v>
      </c>
      <c r="F491" s="21">
        <v>6.0369999999999999</v>
      </c>
      <c r="G491" s="23">
        <v>0</v>
      </c>
      <c r="H491" s="26">
        <v>0</v>
      </c>
      <c r="I491" s="19" t="s">
        <v>26</v>
      </c>
      <c r="J491" s="8">
        <v>18</v>
      </c>
      <c r="K491" s="19" t="s">
        <v>37</v>
      </c>
      <c r="L491" s="19" t="s">
        <v>45</v>
      </c>
      <c r="M491" s="8">
        <v>1</v>
      </c>
      <c r="N491" s="33">
        <f t="shared" si="56"/>
        <v>0</v>
      </c>
      <c r="O491" s="23">
        <f t="shared" si="57"/>
        <v>1.9693556402186518E-2</v>
      </c>
      <c r="P491" s="59">
        <f t="shared" si="58"/>
        <v>0.18782278638541469</v>
      </c>
      <c r="Q491" s="30">
        <f t="shared" si="59"/>
        <v>0</v>
      </c>
      <c r="R491" s="30">
        <f t="shared" si="60"/>
        <v>-1</v>
      </c>
      <c r="S491" s="12">
        <f t="shared" si="61"/>
        <v>0</v>
      </c>
      <c r="T491" s="30">
        <f t="shared" si="62"/>
        <v>0</v>
      </c>
      <c r="U491" s="9" t="str">
        <f t="shared" si="63"/>
        <v>18-24</v>
      </c>
    </row>
    <row r="492" spans="1:21">
      <c r="A492" t="s">
        <v>524</v>
      </c>
      <c r="B492" s="8">
        <v>5189</v>
      </c>
      <c r="C492" s="23">
        <v>0.11266</v>
      </c>
      <c r="D492" s="19" t="s">
        <v>45</v>
      </c>
      <c r="E492" s="21">
        <v>18.126999999999999</v>
      </c>
      <c r="F492" s="21">
        <v>1.228</v>
      </c>
      <c r="G492" s="23">
        <v>0</v>
      </c>
      <c r="H492" s="26">
        <v>0</v>
      </c>
      <c r="I492" s="19" t="s">
        <v>21</v>
      </c>
      <c r="J492" s="8">
        <v>50</v>
      </c>
      <c r="K492" s="19" t="s">
        <v>31</v>
      </c>
      <c r="L492" s="19" t="s">
        <v>45</v>
      </c>
      <c r="M492" s="8">
        <v>1</v>
      </c>
      <c r="N492" s="33">
        <f t="shared" si="56"/>
        <v>0</v>
      </c>
      <c r="O492" s="23">
        <f t="shared" si="57"/>
        <v>9.1742671009771987E-2</v>
      </c>
      <c r="P492" s="59">
        <f t="shared" si="58"/>
        <v>6.7744248910465057E-2</v>
      </c>
      <c r="Q492" s="30">
        <f t="shared" si="59"/>
        <v>0</v>
      </c>
      <c r="R492" s="30">
        <f t="shared" si="60"/>
        <v>-1</v>
      </c>
      <c r="S492" s="12">
        <f t="shared" si="61"/>
        <v>0</v>
      </c>
      <c r="T492" s="30">
        <f t="shared" si="62"/>
        <v>0</v>
      </c>
      <c r="U492" s="9" t="str">
        <f t="shared" si="63"/>
        <v>45-54</v>
      </c>
    </row>
    <row r="493" spans="1:21">
      <c r="A493" t="s">
        <v>525</v>
      </c>
      <c r="B493" s="8">
        <v>7324</v>
      </c>
      <c r="C493" s="23">
        <v>0.19742999999999999</v>
      </c>
      <c r="D493" s="19" t="s">
        <v>15</v>
      </c>
      <c r="E493" s="21">
        <v>22.385999999999999</v>
      </c>
      <c r="F493" s="21">
        <v>8.2799999999999994</v>
      </c>
      <c r="G493" s="23">
        <v>0</v>
      </c>
      <c r="H493" s="26">
        <v>0</v>
      </c>
      <c r="I493" s="19" t="s">
        <v>26</v>
      </c>
      <c r="J493" s="8">
        <v>26</v>
      </c>
      <c r="K493" s="19" t="s">
        <v>37</v>
      </c>
      <c r="L493" s="19" t="s">
        <v>32</v>
      </c>
      <c r="M493" s="8">
        <v>2</v>
      </c>
      <c r="N493" s="33">
        <f t="shared" si="56"/>
        <v>0</v>
      </c>
      <c r="O493" s="23">
        <f t="shared" si="57"/>
        <v>2.3844202898550725E-2</v>
      </c>
      <c r="P493" s="59">
        <f t="shared" si="58"/>
        <v>0.36987402841061379</v>
      </c>
      <c r="Q493" s="30">
        <f t="shared" si="59"/>
        <v>0</v>
      </c>
      <c r="R493" s="30">
        <f t="shared" si="60"/>
        <v>-1</v>
      </c>
      <c r="S493" s="12">
        <f t="shared" si="61"/>
        <v>0</v>
      </c>
      <c r="T493" s="30">
        <f t="shared" si="62"/>
        <v>0</v>
      </c>
      <c r="U493" s="9" t="str">
        <f t="shared" si="63"/>
        <v>25-34</v>
      </c>
    </row>
    <row r="494" spans="1:21">
      <c r="A494" t="s">
        <v>526</v>
      </c>
      <c r="B494" s="8">
        <v>1908</v>
      </c>
      <c r="C494" s="23">
        <v>0</v>
      </c>
      <c r="D494" s="19" t="s">
        <v>25</v>
      </c>
      <c r="E494" s="21">
        <v>34.212000000000003</v>
      </c>
      <c r="F494" s="21">
        <v>5.1520000000000001</v>
      </c>
      <c r="G494" s="23">
        <v>0</v>
      </c>
      <c r="H494" s="26">
        <v>0</v>
      </c>
      <c r="I494" s="19" t="s">
        <v>21</v>
      </c>
      <c r="J494" s="8">
        <v>41</v>
      </c>
      <c r="K494" s="19" t="s">
        <v>31</v>
      </c>
      <c r="L494" s="19" t="s">
        <v>38</v>
      </c>
      <c r="M494" s="8">
        <v>1</v>
      </c>
      <c r="N494" s="33">
        <f t="shared" si="56"/>
        <v>0</v>
      </c>
      <c r="O494" s="23">
        <f t="shared" si="57"/>
        <v>0</v>
      </c>
      <c r="P494" s="59">
        <f t="shared" si="58"/>
        <v>0.15059043610429088</v>
      </c>
      <c r="Q494" s="30">
        <f t="shared" si="59"/>
        <v>0</v>
      </c>
      <c r="R494" s="30">
        <f t="shared" si="60"/>
        <v>0</v>
      </c>
      <c r="S494" s="12">
        <f t="shared" si="61"/>
        <v>0</v>
      </c>
      <c r="T494" s="30">
        <f t="shared" si="62"/>
        <v>0</v>
      </c>
      <c r="U494" s="9" t="str">
        <f t="shared" si="63"/>
        <v>35-44</v>
      </c>
    </row>
    <row r="495" spans="1:21">
      <c r="A495" t="s">
        <v>527</v>
      </c>
      <c r="B495" s="8">
        <v>5808</v>
      </c>
      <c r="C495" s="23">
        <v>7.5999999999999998E-2</v>
      </c>
      <c r="D495" s="19" t="s">
        <v>40</v>
      </c>
      <c r="E495" s="21">
        <v>89.944999999999993</v>
      </c>
      <c r="F495" s="21">
        <v>4.1520000000000001</v>
      </c>
      <c r="G495" s="23">
        <v>0</v>
      </c>
      <c r="H495" s="26">
        <v>0</v>
      </c>
      <c r="I495" s="19" t="s">
        <v>17</v>
      </c>
      <c r="J495" s="8">
        <v>28</v>
      </c>
      <c r="K495" s="19" t="s">
        <v>22</v>
      </c>
      <c r="L495" s="19" t="s">
        <v>23</v>
      </c>
      <c r="M495" s="8">
        <v>3</v>
      </c>
      <c r="N495" s="33">
        <f t="shared" si="56"/>
        <v>0</v>
      </c>
      <c r="O495" s="23">
        <f t="shared" si="57"/>
        <v>1.8304431599229287E-2</v>
      </c>
      <c r="P495" s="59">
        <f t="shared" si="58"/>
        <v>4.6161543165267667E-2</v>
      </c>
      <c r="Q495" s="30">
        <f t="shared" si="59"/>
        <v>0</v>
      </c>
      <c r="R495" s="30">
        <f t="shared" si="60"/>
        <v>-1</v>
      </c>
      <c r="S495" s="12">
        <f t="shared" si="61"/>
        <v>0</v>
      </c>
      <c r="T495" s="30">
        <f t="shared" si="62"/>
        <v>0</v>
      </c>
      <c r="U495" s="9" t="str">
        <f t="shared" si="63"/>
        <v>25-34</v>
      </c>
    </row>
    <row r="496" spans="1:21">
      <c r="A496" t="s">
        <v>528</v>
      </c>
      <c r="B496" s="8">
        <v>7735</v>
      </c>
      <c r="C496" s="23">
        <v>0.12255000000000001</v>
      </c>
      <c r="D496" s="19" t="s">
        <v>40</v>
      </c>
      <c r="E496" s="21">
        <v>8.1379999999999999</v>
      </c>
      <c r="F496" s="21">
        <v>8.9390000000000001</v>
      </c>
      <c r="G496" s="23">
        <v>0</v>
      </c>
      <c r="H496" s="26">
        <v>0</v>
      </c>
      <c r="I496" s="19" t="s">
        <v>29</v>
      </c>
      <c r="J496" s="8">
        <v>53</v>
      </c>
      <c r="K496" s="19" t="s">
        <v>18</v>
      </c>
      <c r="L496" s="19" t="s">
        <v>23</v>
      </c>
      <c r="M496" s="8">
        <v>1</v>
      </c>
      <c r="N496" s="33">
        <f t="shared" si="56"/>
        <v>0</v>
      </c>
      <c r="O496" s="23">
        <f t="shared" si="57"/>
        <v>1.3709587202147893E-2</v>
      </c>
      <c r="P496" s="59">
        <f t="shared" si="58"/>
        <v>1.098427131973458</v>
      </c>
      <c r="Q496" s="30">
        <f t="shared" si="59"/>
        <v>0</v>
      </c>
      <c r="R496" s="30">
        <f t="shared" si="60"/>
        <v>-1</v>
      </c>
      <c r="S496" s="12">
        <f t="shared" si="61"/>
        <v>0</v>
      </c>
      <c r="T496" s="30">
        <f t="shared" si="62"/>
        <v>0</v>
      </c>
      <c r="U496" s="9" t="str">
        <f t="shared" si="63"/>
        <v>45-54</v>
      </c>
    </row>
    <row r="497" spans="1:21">
      <c r="A497" t="s">
        <v>529</v>
      </c>
      <c r="B497" s="8">
        <v>2086</v>
      </c>
      <c r="C497" s="23">
        <v>0.1142</v>
      </c>
      <c r="D497" s="19" t="s">
        <v>40</v>
      </c>
      <c r="E497" s="21">
        <v>87.415999999999997</v>
      </c>
      <c r="F497" s="21">
        <v>3.431</v>
      </c>
      <c r="G497" s="23">
        <v>0</v>
      </c>
      <c r="H497" s="26">
        <v>0</v>
      </c>
      <c r="I497" s="19" t="s">
        <v>1067</v>
      </c>
      <c r="J497" s="8">
        <v>27</v>
      </c>
      <c r="K497" s="19" t="s">
        <v>18</v>
      </c>
      <c r="L497" s="19" t="s">
        <v>19</v>
      </c>
      <c r="M497" s="8">
        <v>1</v>
      </c>
      <c r="N497" s="33">
        <f t="shared" si="56"/>
        <v>0</v>
      </c>
      <c r="O497" s="23">
        <f t="shared" si="57"/>
        <v>3.3284756630719906E-2</v>
      </c>
      <c r="P497" s="59">
        <f t="shared" si="58"/>
        <v>3.9249107714834815E-2</v>
      </c>
      <c r="Q497" s="30">
        <f t="shared" si="59"/>
        <v>0</v>
      </c>
      <c r="R497" s="30">
        <f t="shared" si="60"/>
        <v>-1</v>
      </c>
      <c r="S497" s="12">
        <f t="shared" si="61"/>
        <v>0</v>
      </c>
      <c r="T497" s="30">
        <f t="shared" si="62"/>
        <v>0</v>
      </c>
      <c r="U497" s="9" t="str">
        <f t="shared" si="63"/>
        <v>25-34</v>
      </c>
    </row>
    <row r="498" spans="1:21">
      <c r="A498" t="s">
        <v>530</v>
      </c>
      <c r="B498" s="8">
        <v>1202</v>
      </c>
      <c r="C498" s="23">
        <v>7.9829999999999998E-2</v>
      </c>
      <c r="D498" s="19" t="s">
        <v>25</v>
      </c>
      <c r="E498" s="21">
        <v>74.376999999999995</v>
      </c>
      <c r="F498" s="21">
        <v>0.30599999999999999</v>
      </c>
      <c r="G498" s="23">
        <v>0</v>
      </c>
      <c r="H498" s="26">
        <v>0</v>
      </c>
      <c r="I498" s="19" t="s">
        <v>34</v>
      </c>
      <c r="J498" s="8">
        <v>22</v>
      </c>
      <c r="K498" s="19" t="s">
        <v>18</v>
      </c>
      <c r="L498" s="19" t="s">
        <v>23</v>
      </c>
      <c r="M498" s="8">
        <v>5</v>
      </c>
      <c r="N498" s="33">
        <f t="shared" si="56"/>
        <v>0</v>
      </c>
      <c r="O498" s="23">
        <f t="shared" si="57"/>
        <v>0.26088235294117645</v>
      </c>
      <c r="P498" s="59">
        <f t="shared" si="58"/>
        <v>4.1141750810062255E-3</v>
      </c>
      <c r="Q498" s="30">
        <f t="shared" si="59"/>
        <v>0</v>
      </c>
      <c r="R498" s="30">
        <f t="shared" si="60"/>
        <v>-1</v>
      </c>
      <c r="S498" s="12">
        <f t="shared" si="61"/>
        <v>0</v>
      </c>
      <c r="T498" s="30">
        <f t="shared" si="62"/>
        <v>0</v>
      </c>
      <c r="U498" s="9" t="str">
        <f t="shared" si="63"/>
        <v>18-24</v>
      </c>
    </row>
    <row r="499" spans="1:21">
      <c r="A499" t="s">
        <v>531</v>
      </c>
      <c r="B499" s="8">
        <v>2857</v>
      </c>
      <c r="C499" s="23">
        <v>4.002E-2</v>
      </c>
      <c r="D499" s="19" t="s">
        <v>40</v>
      </c>
      <c r="E499" s="21">
        <v>55.908999999999999</v>
      </c>
      <c r="F499" s="21">
        <v>1.839</v>
      </c>
      <c r="G499" s="23">
        <v>8.5500000000000007E-2</v>
      </c>
      <c r="H499" s="26">
        <v>1</v>
      </c>
      <c r="I499" s="19" t="s">
        <v>34</v>
      </c>
      <c r="J499" s="8">
        <v>61</v>
      </c>
      <c r="K499" s="19" t="s">
        <v>22</v>
      </c>
      <c r="L499" s="19" t="s">
        <v>32</v>
      </c>
      <c r="M499" s="8">
        <v>5</v>
      </c>
      <c r="N499" s="33">
        <f t="shared" si="56"/>
        <v>0.54377379010331706</v>
      </c>
      <c r="O499" s="23">
        <f t="shared" si="57"/>
        <v>2.1761827079934747E-2</v>
      </c>
      <c r="P499" s="59">
        <f t="shared" si="58"/>
        <v>3.2892736410953513E-2</v>
      </c>
      <c r="Q499" s="30">
        <f t="shared" si="59"/>
        <v>4.002E-2</v>
      </c>
      <c r="R499" s="30">
        <f t="shared" si="60"/>
        <v>1.1364317841079461</v>
      </c>
      <c r="S499" s="12">
        <f t="shared" si="61"/>
        <v>2.1364317841079461</v>
      </c>
      <c r="T499" s="30">
        <f t="shared" si="62"/>
        <v>4.649265905383361E-2</v>
      </c>
      <c r="U499" s="9" t="str">
        <f t="shared" si="63"/>
        <v>55+</v>
      </c>
    </row>
    <row r="500" spans="1:21">
      <c r="A500" t="s">
        <v>532</v>
      </c>
      <c r="B500" s="8">
        <v>7399</v>
      </c>
      <c r="C500" s="23">
        <v>2.5430000000000001E-2</v>
      </c>
      <c r="D500" s="19" t="s">
        <v>25</v>
      </c>
      <c r="E500" s="21">
        <v>92.647999999999996</v>
      </c>
      <c r="F500" s="21">
        <v>1.9350000000000001</v>
      </c>
      <c r="G500" s="23">
        <v>0</v>
      </c>
      <c r="H500" s="26">
        <v>0</v>
      </c>
      <c r="I500" s="19" t="s">
        <v>21</v>
      </c>
      <c r="J500" s="8">
        <v>36</v>
      </c>
      <c r="K500" s="19" t="s">
        <v>18</v>
      </c>
      <c r="L500" s="19" t="s">
        <v>38</v>
      </c>
      <c r="M500" s="8">
        <v>4</v>
      </c>
      <c r="N500" s="33">
        <f t="shared" si="56"/>
        <v>0</v>
      </c>
      <c r="O500" s="23">
        <f t="shared" si="57"/>
        <v>1.3142118863049095E-2</v>
      </c>
      <c r="P500" s="59">
        <f t="shared" si="58"/>
        <v>2.0885502115534065E-2</v>
      </c>
      <c r="Q500" s="30">
        <f t="shared" si="59"/>
        <v>0</v>
      </c>
      <c r="R500" s="30">
        <f t="shared" si="60"/>
        <v>-1</v>
      </c>
      <c r="S500" s="12">
        <f t="shared" si="61"/>
        <v>0</v>
      </c>
      <c r="T500" s="30">
        <f t="shared" si="62"/>
        <v>0</v>
      </c>
      <c r="U500" s="9" t="str">
        <f t="shared" si="63"/>
        <v>35-44</v>
      </c>
    </row>
    <row r="501" spans="1:21">
      <c r="A501" t="s">
        <v>533</v>
      </c>
      <c r="B501" s="8">
        <v>7505</v>
      </c>
      <c r="C501" s="23">
        <v>0.19639999999999999</v>
      </c>
      <c r="D501" s="19" t="s">
        <v>45</v>
      </c>
      <c r="E501" s="21">
        <v>87.656999999999996</v>
      </c>
      <c r="F501" s="21">
        <v>7.9720000000000004</v>
      </c>
      <c r="G501" s="23">
        <v>0</v>
      </c>
      <c r="H501" s="26">
        <v>0</v>
      </c>
      <c r="I501" s="19" t="s">
        <v>17</v>
      </c>
      <c r="J501" s="8">
        <v>57</v>
      </c>
      <c r="K501" s="19" t="s">
        <v>22</v>
      </c>
      <c r="L501" s="19" t="s">
        <v>38</v>
      </c>
      <c r="M501" s="8" t="s">
        <v>1065</v>
      </c>
      <c r="N501" s="33">
        <f t="shared" si="56"/>
        <v>0</v>
      </c>
      <c r="O501" s="23">
        <f t="shared" si="57"/>
        <v>2.4636226793778221E-2</v>
      </c>
      <c r="P501" s="59">
        <f t="shared" si="58"/>
        <v>9.0945389415562947E-2</v>
      </c>
      <c r="Q501" s="30">
        <f t="shared" si="59"/>
        <v>0</v>
      </c>
      <c r="R501" s="30">
        <f t="shared" si="60"/>
        <v>-1</v>
      </c>
      <c r="S501" s="12">
        <f t="shared" si="61"/>
        <v>0</v>
      </c>
      <c r="T501" s="30">
        <f t="shared" si="62"/>
        <v>0</v>
      </c>
      <c r="U501" s="9" t="str">
        <f t="shared" si="63"/>
        <v>55+</v>
      </c>
    </row>
    <row r="502" spans="1:21">
      <c r="A502" t="s">
        <v>534</v>
      </c>
      <c r="B502" s="8">
        <v>7121</v>
      </c>
      <c r="C502" s="23">
        <v>8.0180000000000001E-2</v>
      </c>
      <c r="D502" s="19" t="s">
        <v>32</v>
      </c>
      <c r="E502" s="21">
        <v>19.661000000000001</v>
      </c>
      <c r="F502" s="21">
        <v>5.0570000000000004</v>
      </c>
      <c r="G502" s="23">
        <v>0</v>
      </c>
      <c r="H502" s="26">
        <v>0</v>
      </c>
      <c r="I502" s="19" t="s">
        <v>26</v>
      </c>
      <c r="J502" s="8">
        <v>65</v>
      </c>
      <c r="K502" s="19" t="s">
        <v>18</v>
      </c>
      <c r="L502" s="19" t="s">
        <v>23</v>
      </c>
      <c r="M502" s="8">
        <v>5</v>
      </c>
      <c r="N502" s="33">
        <f t="shared" si="56"/>
        <v>0</v>
      </c>
      <c r="O502" s="23">
        <f t="shared" si="57"/>
        <v>1.5855250148309272E-2</v>
      </c>
      <c r="P502" s="59">
        <f t="shared" si="58"/>
        <v>0.25720970449112457</v>
      </c>
      <c r="Q502" s="30">
        <f t="shared" si="59"/>
        <v>0</v>
      </c>
      <c r="R502" s="30">
        <f t="shared" si="60"/>
        <v>-1</v>
      </c>
      <c r="S502" s="12">
        <f t="shared" si="61"/>
        <v>0</v>
      </c>
      <c r="T502" s="30">
        <f t="shared" si="62"/>
        <v>0</v>
      </c>
      <c r="U502" s="9" t="str">
        <f t="shared" si="63"/>
        <v>55+</v>
      </c>
    </row>
    <row r="503" spans="1:21">
      <c r="A503" t="s">
        <v>535</v>
      </c>
      <c r="B503" s="8">
        <v>3076</v>
      </c>
      <c r="C503" s="23">
        <v>0.15848000000000001</v>
      </c>
      <c r="D503" s="19" t="s">
        <v>15</v>
      </c>
      <c r="E503" s="21">
        <v>55.722000000000001</v>
      </c>
      <c r="F503" s="21">
        <v>1.7430000000000001</v>
      </c>
      <c r="G503" s="23">
        <v>0</v>
      </c>
      <c r="H503" s="26">
        <v>0</v>
      </c>
      <c r="I503" s="19" t="s">
        <v>26</v>
      </c>
      <c r="J503" s="8">
        <v>24</v>
      </c>
      <c r="K503" s="19" t="s">
        <v>22</v>
      </c>
      <c r="L503" s="19" t="s">
        <v>38</v>
      </c>
      <c r="M503" s="8">
        <v>3</v>
      </c>
      <c r="N503" s="33">
        <f t="shared" si="56"/>
        <v>0</v>
      </c>
      <c r="O503" s="23">
        <f t="shared" si="57"/>
        <v>9.0923694779116465E-2</v>
      </c>
      <c r="P503" s="59">
        <f t="shared" si="58"/>
        <v>3.1280284268332077E-2</v>
      </c>
      <c r="Q503" s="30">
        <f t="shared" si="59"/>
        <v>0</v>
      </c>
      <c r="R503" s="30">
        <f t="shared" si="60"/>
        <v>-1</v>
      </c>
      <c r="S503" s="12">
        <f t="shared" si="61"/>
        <v>0</v>
      </c>
      <c r="T503" s="30">
        <f t="shared" si="62"/>
        <v>0</v>
      </c>
      <c r="U503" s="9" t="str">
        <f t="shared" si="63"/>
        <v>18-24</v>
      </c>
    </row>
    <row r="504" spans="1:21">
      <c r="A504" t="s">
        <v>536</v>
      </c>
      <c r="B504" s="8">
        <v>6066</v>
      </c>
      <c r="C504" s="23">
        <v>0.10241</v>
      </c>
      <c r="D504" s="19" t="s">
        <v>40</v>
      </c>
      <c r="E504" s="21">
        <v>12.445</v>
      </c>
      <c r="F504" s="21">
        <v>1.7230000000000001</v>
      </c>
      <c r="G504" s="23">
        <v>0</v>
      </c>
      <c r="H504" s="26">
        <v>0</v>
      </c>
      <c r="I504" s="19" t="s">
        <v>29</v>
      </c>
      <c r="J504" s="8">
        <v>27</v>
      </c>
      <c r="K504" s="19" t="s">
        <v>31</v>
      </c>
      <c r="L504" s="19" t="s">
        <v>23</v>
      </c>
      <c r="M504" s="8">
        <v>4</v>
      </c>
      <c r="N504" s="33">
        <f t="shared" si="56"/>
        <v>0</v>
      </c>
      <c r="O504" s="23">
        <f t="shared" si="57"/>
        <v>5.9437028438769586E-2</v>
      </c>
      <c r="P504" s="59">
        <f t="shared" si="58"/>
        <v>0.13844917637605464</v>
      </c>
      <c r="Q504" s="30">
        <f t="shared" si="59"/>
        <v>0</v>
      </c>
      <c r="R504" s="30">
        <f t="shared" si="60"/>
        <v>-1</v>
      </c>
      <c r="S504" s="12">
        <f t="shared" si="61"/>
        <v>0</v>
      </c>
      <c r="T504" s="30">
        <f t="shared" si="62"/>
        <v>0</v>
      </c>
      <c r="U504" s="9" t="str">
        <f t="shared" si="63"/>
        <v>25-34</v>
      </c>
    </row>
    <row r="505" spans="1:21">
      <c r="A505" t="s">
        <v>537</v>
      </c>
      <c r="B505" s="8">
        <v>6571</v>
      </c>
      <c r="C505" s="23">
        <v>0.16339999999999999</v>
      </c>
      <c r="D505" s="19" t="s">
        <v>15</v>
      </c>
      <c r="E505" s="21">
        <v>94.587000000000003</v>
      </c>
      <c r="F505" s="21">
        <v>1.0389999999999999</v>
      </c>
      <c r="G505" s="23">
        <v>0.27717000000000003</v>
      </c>
      <c r="H505" s="26">
        <v>1</v>
      </c>
      <c r="I505" s="19" t="s">
        <v>34</v>
      </c>
      <c r="J505" s="8">
        <v>38</v>
      </c>
      <c r="K505" s="19" t="s">
        <v>18</v>
      </c>
      <c r="L505" s="19" t="s">
        <v>45</v>
      </c>
      <c r="M505" s="8">
        <v>3</v>
      </c>
      <c r="N505" s="33">
        <f t="shared" si="56"/>
        <v>0.9624639076034649</v>
      </c>
      <c r="O505" s="23">
        <f t="shared" si="57"/>
        <v>0.15726660250240615</v>
      </c>
      <c r="P505" s="59">
        <f t="shared" si="58"/>
        <v>1.0984596191865689E-2</v>
      </c>
      <c r="Q505" s="30">
        <f t="shared" si="59"/>
        <v>0.16339999999999999</v>
      </c>
      <c r="R505" s="30">
        <f t="shared" si="60"/>
        <v>0.69626682986536137</v>
      </c>
      <c r="S505" s="12">
        <f t="shared" si="61"/>
        <v>1.6962668298653614</v>
      </c>
      <c r="T505" s="30">
        <f t="shared" si="62"/>
        <v>0.26676612127045241</v>
      </c>
      <c r="U505" s="9" t="str">
        <f t="shared" si="63"/>
        <v>35-44</v>
      </c>
    </row>
    <row r="506" spans="1:21">
      <c r="A506" t="s">
        <v>538</v>
      </c>
      <c r="B506" s="8">
        <v>5286</v>
      </c>
      <c r="C506" s="23">
        <v>0</v>
      </c>
      <c r="D506" s="19" t="s">
        <v>25</v>
      </c>
      <c r="E506" s="21">
        <v>80.227999999999994</v>
      </c>
      <c r="F506" s="21">
        <v>8.5060000000000002</v>
      </c>
      <c r="G506" s="23">
        <v>0</v>
      </c>
      <c r="H506" s="26">
        <v>0</v>
      </c>
      <c r="I506" s="19" t="s">
        <v>29</v>
      </c>
      <c r="J506" s="8">
        <v>37</v>
      </c>
      <c r="K506" s="19" t="s">
        <v>37</v>
      </c>
      <c r="L506" s="19" t="s">
        <v>23</v>
      </c>
      <c r="M506" s="8">
        <v>4</v>
      </c>
      <c r="N506" s="33">
        <f t="shared" si="56"/>
        <v>0</v>
      </c>
      <c r="O506" s="23">
        <f t="shared" si="57"/>
        <v>0</v>
      </c>
      <c r="P506" s="59">
        <f t="shared" si="58"/>
        <v>0.10602283492047665</v>
      </c>
      <c r="Q506" s="30">
        <f t="shared" si="59"/>
        <v>0</v>
      </c>
      <c r="R506" s="30">
        <f t="shared" si="60"/>
        <v>0</v>
      </c>
      <c r="S506" s="12">
        <f t="shared" si="61"/>
        <v>0</v>
      </c>
      <c r="T506" s="30">
        <f t="shared" si="62"/>
        <v>0</v>
      </c>
      <c r="U506" s="9" t="str">
        <f t="shared" si="63"/>
        <v>35-44</v>
      </c>
    </row>
    <row r="507" spans="1:21">
      <c r="A507" t="s">
        <v>539</v>
      </c>
      <c r="B507" s="8">
        <v>5315</v>
      </c>
      <c r="C507" s="23">
        <v>0.12275</v>
      </c>
      <c r="D507" s="19" t="s">
        <v>28</v>
      </c>
      <c r="E507" s="21">
        <v>20.161999999999999</v>
      </c>
      <c r="F507" s="21">
        <v>0.66500000000000004</v>
      </c>
      <c r="G507" s="23">
        <v>0</v>
      </c>
      <c r="H507" s="26">
        <v>0</v>
      </c>
      <c r="I507" s="19" t="s">
        <v>34</v>
      </c>
      <c r="J507" s="8">
        <v>41</v>
      </c>
      <c r="K507" s="19" t="s">
        <v>18</v>
      </c>
      <c r="L507" s="19" t="s">
        <v>19</v>
      </c>
      <c r="M507" s="8">
        <v>5</v>
      </c>
      <c r="N507" s="33">
        <f t="shared" si="56"/>
        <v>0</v>
      </c>
      <c r="O507" s="23">
        <f t="shared" si="57"/>
        <v>0.18458646616541352</v>
      </c>
      <c r="P507" s="59">
        <f t="shared" si="58"/>
        <v>3.2982839004067059E-2</v>
      </c>
      <c r="Q507" s="30">
        <f t="shared" si="59"/>
        <v>0</v>
      </c>
      <c r="R507" s="30">
        <f t="shared" si="60"/>
        <v>-1</v>
      </c>
      <c r="S507" s="12">
        <f t="shared" si="61"/>
        <v>0</v>
      </c>
      <c r="T507" s="30">
        <f t="shared" si="62"/>
        <v>0</v>
      </c>
      <c r="U507" s="9" t="str">
        <f t="shared" si="63"/>
        <v>35-44</v>
      </c>
    </row>
    <row r="508" spans="1:21">
      <c r="A508" t="s">
        <v>540</v>
      </c>
      <c r="B508" s="8">
        <v>9253</v>
      </c>
      <c r="C508" s="23">
        <v>0.10759000000000001</v>
      </c>
      <c r="D508" s="19" t="s">
        <v>32</v>
      </c>
      <c r="E508" s="21">
        <v>42.378999999999998</v>
      </c>
      <c r="F508" s="21">
        <v>3.7490000000000001</v>
      </c>
      <c r="G508" s="23">
        <v>0</v>
      </c>
      <c r="H508" s="26">
        <v>0</v>
      </c>
      <c r="I508" s="19" t="s">
        <v>17</v>
      </c>
      <c r="J508" s="8">
        <v>44</v>
      </c>
      <c r="K508" s="19" t="s">
        <v>18</v>
      </c>
      <c r="L508" s="19" t="s">
        <v>23</v>
      </c>
      <c r="M508" s="8">
        <v>4</v>
      </c>
      <c r="N508" s="33">
        <f t="shared" si="56"/>
        <v>0</v>
      </c>
      <c r="O508" s="23">
        <f t="shared" si="57"/>
        <v>2.8698319551880503E-2</v>
      </c>
      <c r="P508" s="59">
        <f t="shared" si="58"/>
        <v>8.8463625852426911E-2</v>
      </c>
      <c r="Q508" s="30">
        <f t="shared" si="59"/>
        <v>0</v>
      </c>
      <c r="R508" s="30">
        <f t="shared" si="60"/>
        <v>-1</v>
      </c>
      <c r="S508" s="12">
        <f t="shared" si="61"/>
        <v>0</v>
      </c>
      <c r="T508" s="30">
        <f t="shared" si="62"/>
        <v>0</v>
      </c>
      <c r="U508" s="9" t="str">
        <f t="shared" si="63"/>
        <v>35-44</v>
      </c>
    </row>
    <row r="509" spans="1:21">
      <c r="A509" t="s">
        <v>541</v>
      </c>
      <c r="B509" s="8">
        <v>5665</v>
      </c>
      <c r="C509" s="23">
        <v>4.4699999999999997E-2</v>
      </c>
      <c r="D509" s="19" t="s">
        <v>28</v>
      </c>
      <c r="E509" s="21">
        <v>78.908000000000001</v>
      </c>
      <c r="F509" s="21">
        <v>4.8449999999999998</v>
      </c>
      <c r="G509" s="23">
        <v>0</v>
      </c>
      <c r="H509" s="26">
        <v>0</v>
      </c>
      <c r="I509" s="19" t="s">
        <v>17</v>
      </c>
      <c r="J509" s="8">
        <v>60</v>
      </c>
      <c r="K509" s="19" t="s">
        <v>31</v>
      </c>
      <c r="L509" s="19" t="s">
        <v>19</v>
      </c>
      <c r="M509" s="8" t="s">
        <v>1065</v>
      </c>
      <c r="N509" s="33">
        <f t="shared" si="56"/>
        <v>0</v>
      </c>
      <c r="O509" s="23">
        <f t="shared" si="57"/>
        <v>9.2260061919504643E-3</v>
      </c>
      <c r="P509" s="59">
        <f t="shared" si="58"/>
        <v>6.1400618441729608E-2</v>
      </c>
      <c r="Q509" s="30">
        <f t="shared" si="59"/>
        <v>0</v>
      </c>
      <c r="R509" s="30">
        <f t="shared" si="60"/>
        <v>-1</v>
      </c>
      <c r="S509" s="12">
        <f t="shared" si="61"/>
        <v>0</v>
      </c>
      <c r="T509" s="30">
        <f t="shared" si="62"/>
        <v>0</v>
      </c>
      <c r="U509" s="9" t="str">
        <f t="shared" si="63"/>
        <v>55+</v>
      </c>
    </row>
    <row r="510" spans="1:21">
      <c r="A510" t="s">
        <v>542</v>
      </c>
      <c r="B510" s="8">
        <v>8545</v>
      </c>
      <c r="C510" s="23">
        <v>0.16772999999999999</v>
      </c>
      <c r="D510" s="19" t="s">
        <v>25</v>
      </c>
      <c r="E510" s="21">
        <v>29.795000000000002</v>
      </c>
      <c r="F510" s="21">
        <v>2.9969999999999999</v>
      </c>
      <c r="G510" s="23">
        <v>0</v>
      </c>
      <c r="H510" s="26">
        <v>0</v>
      </c>
      <c r="I510" s="19" t="s">
        <v>17</v>
      </c>
      <c r="J510" s="8">
        <v>51</v>
      </c>
      <c r="K510" s="19" t="s">
        <v>31</v>
      </c>
      <c r="L510" s="19" t="s">
        <v>38</v>
      </c>
      <c r="M510" s="8">
        <v>4</v>
      </c>
      <c r="N510" s="33">
        <f t="shared" si="56"/>
        <v>0</v>
      </c>
      <c r="O510" s="23">
        <f t="shared" si="57"/>
        <v>5.5965965965965966E-2</v>
      </c>
      <c r="P510" s="59">
        <f t="shared" si="58"/>
        <v>0.10058734687028024</v>
      </c>
      <c r="Q510" s="30">
        <f t="shared" si="59"/>
        <v>0</v>
      </c>
      <c r="R510" s="30">
        <f t="shared" si="60"/>
        <v>-1</v>
      </c>
      <c r="S510" s="12">
        <f t="shared" si="61"/>
        <v>0</v>
      </c>
      <c r="T510" s="30">
        <f t="shared" si="62"/>
        <v>0</v>
      </c>
      <c r="U510" s="9" t="str">
        <f t="shared" si="63"/>
        <v>45-54</v>
      </c>
    </row>
    <row r="511" spans="1:21">
      <c r="A511" t="s">
        <v>543</v>
      </c>
      <c r="B511" s="8">
        <v>7834</v>
      </c>
      <c r="C511" s="23">
        <v>0.17269000000000001</v>
      </c>
      <c r="D511" s="19" t="s">
        <v>32</v>
      </c>
      <c r="E511" s="21">
        <v>16.177</v>
      </c>
      <c r="F511" s="21">
        <v>8.3260000000000005</v>
      </c>
      <c r="G511" s="23">
        <v>0.18725</v>
      </c>
      <c r="H511" s="26">
        <v>1</v>
      </c>
      <c r="I511" s="19" t="s">
        <v>21</v>
      </c>
      <c r="J511" s="8">
        <v>41</v>
      </c>
      <c r="K511" s="19" t="s">
        <v>22</v>
      </c>
      <c r="L511" s="19" t="s">
        <v>45</v>
      </c>
      <c r="M511" s="8">
        <v>4</v>
      </c>
      <c r="N511" s="33">
        <f t="shared" si="56"/>
        <v>0.12010569300984866</v>
      </c>
      <c r="O511" s="23">
        <f t="shared" si="57"/>
        <v>2.0741052125870765E-2</v>
      </c>
      <c r="P511" s="59">
        <f t="shared" si="58"/>
        <v>0.51468133770167523</v>
      </c>
      <c r="Q511" s="30">
        <f t="shared" si="59"/>
        <v>0.17269000000000001</v>
      </c>
      <c r="R511" s="30">
        <f t="shared" si="60"/>
        <v>8.4312930685042503E-2</v>
      </c>
      <c r="S511" s="12">
        <f t="shared" si="61"/>
        <v>1.0843129306850425</v>
      </c>
      <c r="T511" s="30">
        <f t="shared" si="62"/>
        <v>2.2489791016094163E-2</v>
      </c>
      <c r="U511" s="9" t="str">
        <f t="shared" si="63"/>
        <v>35-44</v>
      </c>
    </row>
    <row r="512" spans="1:21">
      <c r="A512" t="s">
        <v>544</v>
      </c>
      <c r="B512" s="8">
        <v>9293</v>
      </c>
      <c r="C512" s="23">
        <v>6.7739999999999995E-2</v>
      </c>
      <c r="D512" s="19" t="s">
        <v>15</v>
      </c>
      <c r="E512" s="21">
        <v>3.54</v>
      </c>
      <c r="F512" s="21">
        <v>0.89800000000000002</v>
      </c>
      <c r="G512" s="23">
        <v>0</v>
      </c>
      <c r="H512" s="26">
        <v>0</v>
      </c>
      <c r="I512" s="19" t="s">
        <v>34</v>
      </c>
      <c r="J512" s="8">
        <v>59</v>
      </c>
      <c r="K512" s="19" t="s">
        <v>37</v>
      </c>
      <c r="L512" s="19" t="s">
        <v>32</v>
      </c>
      <c r="M512" s="8">
        <v>2</v>
      </c>
      <c r="N512" s="33">
        <f t="shared" si="56"/>
        <v>0</v>
      </c>
      <c r="O512" s="23">
        <f t="shared" si="57"/>
        <v>7.5434298440979944E-2</v>
      </c>
      <c r="P512" s="59">
        <f t="shared" si="58"/>
        <v>0.25367231638418081</v>
      </c>
      <c r="Q512" s="30">
        <f t="shared" si="59"/>
        <v>0</v>
      </c>
      <c r="R512" s="30">
        <f t="shared" si="60"/>
        <v>-1</v>
      </c>
      <c r="S512" s="12">
        <f t="shared" si="61"/>
        <v>0</v>
      </c>
      <c r="T512" s="30">
        <f t="shared" si="62"/>
        <v>0</v>
      </c>
      <c r="U512" s="9" t="str">
        <f t="shared" si="63"/>
        <v>55+</v>
      </c>
    </row>
    <row r="513" spans="1:21">
      <c r="A513" t="s">
        <v>545</v>
      </c>
      <c r="B513" s="8">
        <v>1959</v>
      </c>
      <c r="C513" s="23">
        <v>0</v>
      </c>
      <c r="D513" s="19" t="s">
        <v>15</v>
      </c>
      <c r="E513" s="21">
        <v>84.447000000000003</v>
      </c>
      <c r="F513" s="21">
        <v>0.17399999999999999</v>
      </c>
      <c r="G513" s="23">
        <v>0</v>
      </c>
      <c r="H513" s="26">
        <v>0</v>
      </c>
      <c r="I513" s="19" t="s">
        <v>26</v>
      </c>
      <c r="J513" s="8">
        <v>24</v>
      </c>
      <c r="K513" s="19" t="s">
        <v>22</v>
      </c>
      <c r="L513" s="19" t="s">
        <v>19</v>
      </c>
      <c r="M513" s="8" t="s">
        <v>1065</v>
      </c>
      <c r="N513" s="33">
        <f t="shared" si="56"/>
        <v>0</v>
      </c>
      <c r="O513" s="23">
        <f t="shared" si="57"/>
        <v>0</v>
      </c>
      <c r="P513" s="59">
        <f t="shared" si="58"/>
        <v>2.0604639596433264E-3</v>
      </c>
      <c r="Q513" s="30">
        <f t="shared" si="59"/>
        <v>0</v>
      </c>
      <c r="R513" s="30">
        <f t="shared" si="60"/>
        <v>0</v>
      </c>
      <c r="S513" s="12">
        <f t="shared" si="61"/>
        <v>0</v>
      </c>
      <c r="T513" s="30">
        <f t="shared" si="62"/>
        <v>0</v>
      </c>
      <c r="U513" s="9" t="str">
        <f t="shared" si="63"/>
        <v>18-24</v>
      </c>
    </row>
    <row r="514" spans="1:21">
      <c r="A514" t="s">
        <v>546</v>
      </c>
      <c r="B514" s="8">
        <v>9389</v>
      </c>
      <c r="C514" s="23">
        <v>0.10605000000000001</v>
      </c>
      <c r="D514" s="19" t="s">
        <v>25</v>
      </c>
      <c r="E514" s="21">
        <v>92.983000000000004</v>
      </c>
      <c r="F514" s="21">
        <v>1.002</v>
      </c>
      <c r="G514" s="23">
        <v>0</v>
      </c>
      <c r="H514" s="26">
        <v>0</v>
      </c>
      <c r="I514" s="19" t="s">
        <v>1067</v>
      </c>
      <c r="J514" s="8">
        <v>45</v>
      </c>
      <c r="K514" s="19" t="s">
        <v>22</v>
      </c>
      <c r="L514" s="19" t="s">
        <v>23</v>
      </c>
      <c r="M514" s="8" t="s">
        <v>1065</v>
      </c>
      <c r="N514" s="33">
        <f t="shared" ref="N514:N577" si="64">IF(F514=0,0,H514/F514)</f>
        <v>0</v>
      </c>
      <c r="O514" s="23">
        <f t="shared" ref="O514:O577" si="65">IF(F514=0,0,C514/F514)</f>
        <v>0.10583832335329342</v>
      </c>
      <c r="P514" s="59">
        <f t="shared" ref="P514:P577" si="66">IF(E514=0,0,F514/E514)</f>
        <v>1.077616338470473E-2</v>
      </c>
      <c r="Q514" s="30">
        <f t="shared" ref="Q514:Q577" si="67">IF(H514=0,0,C514/H514)</f>
        <v>0</v>
      </c>
      <c r="R514" s="30">
        <f t="shared" ref="R514:R577" si="68">IF(C514=0,0,(G514-C514)/C514)</f>
        <v>-1</v>
      </c>
      <c r="S514" s="12">
        <f t="shared" ref="S514:S577" si="69">IF(G514=0,0,G514/C514)</f>
        <v>0</v>
      </c>
      <c r="T514" s="30">
        <f t="shared" ref="T514:T577" si="70">IF(F514=0,0,G514/F514)</f>
        <v>0</v>
      </c>
      <c r="U514" s="9" t="str">
        <f t="shared" si="63"/>
        <v>45-54</v>
      </c>
    </row>
    <row r="515" spans="1:21">
      <c r="A515" t="s">
        <v>547</v>
      </c>
      <c r="B515" s="8">
        <v>4109</v>
      </c>
      <c r="C515" s="23">
        <v>0</v>
      </c>
      <c r="D515" s="19" t="s">
        <v>25</v>
      </c>
      <c r="E515" s="21">
        <v>79.864000000000004</v>
      </c>
      <c r="F515" s="21">
        <v>6.2320000000000002</v>
      </c>
      <c r="G515" s="23">
        <v>0</v>
      </c>
      <c r="H515" s="26">
        <v>0</v>
      </c>
      <c r="I515" s="19" t="s">
        <v>29</v>
      </c>
      <c r="J515" s="8">
        <v>39</v>
      </c>
      <c r="K515" s="19" t="s">
        <v>18</v>
      </c>
      <c r="L515" s="19" t="s">
        <v>19</v>
      </c>
      <c r="M515" s="8">
        <v>5</v>
      </c>
      <c r="N515" s="33">
        <f t="shared" si="64"/>
        <v>0</v>
      </c>
      <c r="O515" s="23">
        <f t="shared" si="65"/>
        <v>0</v>
      </c>
      <c r="P515" s="59">
        <f t="shared" si="66"/>
        <v>7.8032655514374438E-2</v>
      </c>
      <c r="Q515" s="30">
        <f t="shared" si="67"/>
        <v>0</v>
      </c>
      <c r="R515" s="30">
        <f t="shared" si="68"/>
        <v>0</v>
      </c>
      <c r="S515" s="12">
        <f t="shared" si="69"/>
        <v>0</v>
      </c>
      <c r="T515" s="30">
        <f t="shared" si="70"/>
        <v>0</v>
      </c>
      <c r="U515" s="9" t="str">
        <f t="shared" ref="U515:U578" si="71">IF(J515&lt;25,"18-24",IF(J515&lt;35,"25-34",IF(J515&lt;45,"35-44",IF(J515&lt;55,"45-54","55+"))))</f>
        <v>35-44</v>
      </c>
    </row>
    <row r="516" spans="1:21">
      <c r="A516" t="s">
        <v>548</v>
      </c>
      <c r="B516" s="8">
        <v>3866</v>
      </c>
      <c r="C516" s="23">
        <v>6.3399999999999998E-2</v>
      </c>
      <c r="D516" s="19" t="s">
        <v>25</v>
      </c>
      <c r="E516" s="21">
        <v>29.812000000000001</v>
      </c>
      <c r="F516" s="21">
        <v>5.1859999999999999</v>
      </c>
      <c r="G516" s="23">
        <v>0</v>
      </c>
      <c r="H516" s="26">
        <v>0</v>
      </c>
      <c r="I516" s="19" t="s">
        <v>21</v>
      </c>
      <c r="J516" s="8">
        <v>22</v>
      </c>
      <c r="K516" s="19" t="s">
        <v>37</v>
      </c>
      <c r="L516" s="19" t="s">
        <v>19</v>
      </c>
      <c r="M516" s="8">
        <v>4</v>
      </c>
      <c r="N516" s="33">
        <f t="shared" si="64"/>
        <v>0</v>
      </c>
      <c r="O516" s="23">
        <f t="shared" si="65"/>
        <v>1.222522175086772E-2</v>
      </c>
      <c r="P516" s="59">
        <f t="shared" si="66"/>
        <v>0.17395679592110558</v>
      </c>
      <c r="Q516" s="30">
        <f t="shared" si="67"/>
        <v>0</v>
      </c>
      <c r="R516" s="30">
        <f t="shared" si="68"/>
        <v>-1</v>
      </c>
      <c r="S516" s="12">
        <f t="shared" si="69"/>
        <v>0</v>
      </c>
      <c r="T516" s="30">
        <f t="shared" si="70"/>
        <v>0</v>
      </c>
      <c r="U516" s="9" t="str">
        <f t="shared" si="71"/>
        <v>18-24</v>
      </c>
    </row>
    <row r="517" spans="1:21">
      <c r="A517" t="s">
        <v>549</v>
      </c>
      <c r="B517" s="8">
        <v>8157</v>
      </c>
      <c r="C517" s="23">
        <v>2.4289999999999999E-2</v>
      </c>
      <c r="D517" s="19" t="s">
        <v>40</v>
      </c>
      <c r="E517" s="21">
        <v>93.244</v>
      </c>
      <c r="F517" s="21">
        <v>2.569</v>
      </c>
      <c r="G517" s="23">
        <v>0</v>
      </c>
      <c r="H517" s="26">
        <v>0</v>
      </c>
      <c r="I517" s="19" t="s">
        <v>1067</v>
      </c>
      <c r="J517" s="8">
        <v>19</v>
      </c>
      <c r="K517" s="19" t="s">
        <v>31</v>
      </c>
      <c r="L517" s="19" t="s">
        <v>38</v>
      </c>
      <c r="M517" s="8">
        <v>3</v>
      </c>
      <c r="N517" s="33">
        <f t="shared" si="64"/>
        <v>0</v>
      </c>
      <c r="O517" s="23">
        <f t="shared" si="65"/>
        <v>9.455040871934604E-3</v>
      </c>
      <c r="P517" s="59">
        <f t="shared" si="66"/>
        <v>2.7551370597571963E-2</v>
      </c>
      <c r="Q517" s="30">
        <f t="shared" si="67"/>
        <v>0</v>
      </c>
      <c r="R517" s="30">
        <f t="shared" si="68"/>
        <v>-1</v>
      </c>
      <c r="S517" s="12">
        <f t="shared" si="69"/>
        <v>0</v>
      </c>
      <c r="T517" s="30">
        <f t="shared" si="70"/>
        <v>0</v>
      </c>
      <c r="U517" s="9" t="str">
        <f t="shared" si="71"/>
        <v>18-24</v>
      </c>
    </row>
    <row r="518" spans="1:21">
      <c r="A518" t="s">
        <v>550</v>
      </c>
      <c r="B518" s="8">
        <v>3299</v>
      </c>
      <c r="C518" s="23">
        <v>0</v>
      </c>
      <c r="D518" s="19" t="s">
        <v>45</v>
      </c>
      <c r="E518" s="21">
        <v>65.460999999999999</v>
      </c>
      <c r="F518" s="21">
        <v>0.95299999999999996</v>
      </c>
      <c r="G518" s="23">
        <v>0</v>
      </c>
      <c r="H518" s="26">
        <v>0</v>
      </c>
      <c r="I518" s="19" t="s">
        <v>26</v>
      </c>
      <c r="J518" s="8">
        <v>21</v>
      </c>
      <c r="K518" s="19" t="s">
        <v>22</v>
      </c>
      <c r="L518" s="19" t="s">
        <v>19</v>
      </c>
      <c r="M518" s="8" t="s">
        <v>1065</v>
      </c>
      <c r="N518" s="33">
        <f t="shared" si="64"/>
        <v>0</v>
      </c>
      <c r="O518" s="23">
        <f t="shared" si="65"/>
        <v>0</v>
      </c>
      <c r="P518" s="59">
        <f t="shared" si="66"/>
        <v>1.4558286613403399E-2</v>
      </c>
      <c r="Q518" s="30">
        <f t="shared" si="67"/>
        <v>0</v>
      </c>
      <c r="R518" s="30">
        <f t="shared" si="68"/>
        <v>0</v>
      </c>
      <c r="S518" s="12">
        <f t="shared" si="69"/>
        <v>0</v>
      </c>
      <c r="T518" s="30">
        <f t="shared" si="70"/>
        <v>0</v>
      </c>
      <c r="U518" s="9" t="str">
        <f t="shared" si="71"/>
        <v>18-24</v>
      </c>
    </row>
    <row r="519" spans="1:21">
      <c r="A519" t="s">
        <v>551</v>
      </c>
      <c r="B519" s="8">
        <v>6588</v>
      </c>
      <c r="C519" s="23">
        <v>0.12625</v>
      </c>
      <c r="D519" s="19" t="s">
        <v>28</v>
      </c>
      <c r="E519" s="21">
        <v>78.658000000000001</v>
      </c>
      <c r="F519" s="21">
        <v>4.8659999999999997</v>
      </c>
      <c r="G519" s="23">
        <v>0</v>
      </c>
      <c r="H519" s="26">
        <v>1</v>
      </c>
      <c r="I519" s="19" t="s">
        <v>26</v>
      </c>
      <c r="J519" s="8">
        <v>51</v>
      </c>
      <c r="K519" s="19" t="s">
        <v>18</v>
      </c>
      <c r="L519" s="19" t="s">
        <v>32</v>
      </c>
      <c r="M519" s="8">
        <v>4</v>
      </c>
      <c r="N519" s="33">
        <f t="shared" si="64"/>
        <v>0.20550760378133992</v>
      </c>
      <c r="O519" s="23">
        <f t="shared" si="65"/>
        <v>2.5945334977394166E-2</v>
      </c>
      <c r="P519" s="59">
        <f t="shared" si="66"/>
        <v>6.1862747590836271E-2</v>
      </c>
      <c r="Q519" s="30">
        <f t="shared" si="67"/>
        <v>0.12625</v>
      </c>
      <c r="R519" s="30">
        <f t="shared" si="68"/>
        <v>-1</v>
      </c>
      <c r="S519" s="12">
        <f t="shared" si="69"/>
        <v>0</v>
      </c>
      <c r="T519" s="30">
        <f t="shared" si="70"/>
        <v>0</v>
      </c>
      <c r="U519" s="9" t="str">
        <f t="shared" si="71"/>
        <v>45-54</v>
      </c>
    </row>
    <row r="520" spans="1:21">
      <c r="A520" t="s">
        <v>552</v>
      </c>
      <c r="B520" s="8">
        <v>8189</v>
      </c>
      <c r="C520" s="23">
        <v>0.14627999999999999</v>
      </c>
      <c r="D520" s="19" t="s">
        <v>40</v>
      </c>
      <c r="E520" s="21">
        <v>48.972999999999999</v>
      </c>
      <c r="F520" s="21">
        <v>0.31900000000000001</v>
      </c>
      <c r="G520" s="23">
        <v>0</v>
      </c>
      <c r="H520" s="26">
        <v>0</v>
      </c>
      <c r="I520" s="19" t="s">
        <v>34</v>
      </c>
      <c r="J520" s="8">
        <v>39</v>
      </c>
      <c r="K520" s="19" t="s">
        <v>18</v>
      </c>
      <c r="L520" s="19" t="s">
        <v>38</v>
      </c>
      <c r="M520" s="8">
        <v>3</v>
      </c>
      <c r="N520" s="33">
        <f t="shared" si="64"/>
        <v>0</v>
      </c>
      <c r="O520" s="23">
        <f t="shared" si="65"/>
        <v>0.45855799373040751</v>
      </c>
      <c r="P520" s="59">
        <f t="shared" si="66"/>
        <v>6.5137933146836016E-3</v>
      </c>
      <c r="Q520" s="30">
        <f t="shared" si="67"/>
        <v>0</v>
      </c>
      <c r="R520" s="30">
        <f t="shared" si="68"/>
        <v>-1</v>
      </c>
      <c r="S520" s="12">
        <f t="shared" si="69"/>
        <v>0</v>
      </c>
      <c r="T520" s="30">
        <f t="shared" si="70"/>
        <v>0</v>
      </c>
      <c r="U520" s="9" t="str">
        <f t="shared" si="71"/>
        <v>35-44</v>
      </c>
    </row>
    <row r="521" spans="1:21">
      <c r="A521" t="s">
        <v>553</v>
      </c>
      <c r="B521" s="8">
        <v>9845</v>
      </c>
      <c r="C521" s="23">
        <v>0</v>
      </c>
      <c r="D521" s="19" t="s">
        <v>40</v>
      </c>
      <c r="E521" s="21">
        <v>99.881</v>
      </c>
      <c r="F521" s="21">
        <v>6.6959999999999997</v>
      </c>
      <c r="G521" s="23">
        <v>0</v>
      </c>
      <c r="H521" s="26">
        <v>0</v>
      </c>
      <c r="I521" s="19" t="s">
        <v>17</v>
      </c>
      <c r="J521" s="8">
        <v>53</v>
      </c>
      <c r="K521" s="19" t="s">
        <v>18</v>
      </c>
      <c r="L521" s="19" t="s">
        <v>19</v>
      </c>
      <c r="M521" s="8">
        <v>3</v>
      </c>
      <c r="N521" s="33">
        <f t="shared" si="64"/>
        <v>0</v>
      </c>
      <c r="O521" s="23">
        <f t="shared" si="65"/>
        <v>0</v>
      </c>
      <c r="P521" s="59">
        <f t="shared" si="66"/>
        <v>6.703977733502868E-2</v>
      </c>
      <c r="Q521" s="30">
        <f t="shared" si="67"/>
        <v>0</v>
      </c>
      <c r="R521" s="30">
        <f t="shared" si="68"/>
        <v>0</v>
      </c>
      <c r="S521" s="12">
        <f t="shared" si="69"/>
        <v>0</v>
      </c>
      <c r="T521" s="30">
        <f t="shared" si="70"/>
        <v>0</v>
      </c>
      <c r="U521" s="9" t="str">
        <f t="shared" si="71"/>
        <v>45-54</v>
      </c>
    </row>
    <row r="522" spans="1:21">
      <c r="A522" t="s">
        <v>554</v>
      </c>
      <c r="B522" s="8">
        <v>4425</v>
      </c>
      <c r="C522" s="23">
        <v>0.16879</v>
      </c>
      <c r="D522" s="19" t="s">
        <v>28</v>
      </c>
      <c r="E522" s="21">
        <v>22.742000000000001</v>
      </c>
      <c r="F522" s="21">
        <v>3.8</v>
      </c>
      <c r="G522" s="23">
        <v>0</v>
      </c>
      <c r="H522" s="26">
        <v>0</v>
      </c>
      <c r="I522" s="19" t="s">
        <v>29</v>
      </c>
      <c r="J522" s="8">
        <v>45</v>
      </c>
      <c r="K522" s="19" t="s">
        <v>22</v>
      </c>
      <c r="L522" s="19" t="s">
        <v>23</v>
      </c>
      <c r="M522" s="8" t="s">
        <v>1065</v>
      </c>
      <c r="N522" s="33">
        <f t="shared" si="64"/>
        <v>0</v>
      </c>
      <c r="O522" s="23">
        <f t="shared" si="65"/>
        <v>4.4418421052631579E-2</v>
      </c>
      <c r="P522" s="59">
        <f t="shared" si="66"/>
        <v>0.1670917245624835</v>
      </c>
      <c r="Q522" s="30">
        <f t="shared" si="67"/>
        <v>0</v>
      </c>
      <c r="R522" s="30">
        <f t="shared" si="68"/>
        <v>-1</v>
      </c>
      <c r="S522" s="12">
        <f t="shared" si="69"/>
        <v>0</v>
      </c>
      <c r="T522" s="30">
        <f t="shared" si="70"/>
        <v>0</v>
      </c>
      <c r="U522" s="9" t="str">
        <f t="shared" si="71"/>
        <v>45-54</v>
      </c>
    </row>
    <row r="523" spans="1:21">
      <c r="A523" t="s">
        <v>555</v>
      </c>
      <c r="B523" s="8">
        <v>1753</v>
      </c>
      <c r="C523" s="23">
        <v>0.12639</v>
      </c>
      <c r="D523" s="19" t="s">
        <v>28</v>
      </c>
      <c r="E523" s="21">
        <v>20.021000000000001</v>
      </c>
      <c r="F523" s="21">
        <v>5.4029999999999996</v>
      </c>
      <c r="G523" s="23">
        <v>0</v>
      </c>
      <c r="H523" s="26">
        <v>0</v>
      </c>
      <c r="I523" s="19" t="s">
        <v>34</v>
      </c>
      <c r="J523" s="8">
        <v>23</v>
      </c>
      <c r="K523" s="19" t="s">
        <v>22</v>
      </c>
      <c r="L523" s="19" t="s">
        <v>38</v>
      </c>
      <c r="M523" s="8">
        <v>2</v>
      </c>
      <c r="N523" s="33">
        <f t="shared" si="64"/>
        <v>0</v>
      </c>
      <c r="O523" s="23">
        <f t="shared" si="65"/>
        <v>2.3392559689061634E-2</v>
      </c>
      <c r="P523" s="59">
        <f t="shared" si="66"/>
        <v>0.26986664002797062</v>
      </c>
      <c r="Q523" s="30">
        <f t="shared" si="67"/>
        <v>0</v>
      </c>
      <c r="R523" s="30">
        <f t="shared" si="68"/>
        <v>-1</v>
      </c>
      <c r="S523" s="12">
        <f t="shared" si="69"/>
        <v>0</v>
      </c>
      <c r="T523" s="30">
        <f t="shared" si="70"/>
        <v>0</v>
      </c>
      <c r="U523" s="9" t="str">
        <f t="shared" si="71"/>
        <v>18-24</v>
      </c>
    </row>
    <row r="524" spans="1:21">
      <c r="A524" t="s">
        <v>556</v>
      </c>
      <c r="B524" s="8">
        <v>2072</v>
      </c>
      <c r="C524" s="23">
        <v>0</v>
      </c>
      <c r="D524" s="19" t="s">
        <v>25</v>
      </c>
      <c r="E524" s="21">
        <v>4.3129999999999997</v>
      </c>
      <c r="F524" s="21">
        <v>5.819</v>
      </c>
      <c r="G524" s="23">
        <v>0</v>
      </c>
      <c r="H524" s="26">
        <v>0</v>
      </c>
      <c r="I524" s="19" t="s">
        <v>29</v>
      </c>
      <c r="J524" s="8">
        <v>31</v>
      </c>
      <c r="K524" s="19" t="s">
        <v>37</v>
      </c>
      <c r="L524" s="19" t="s">
        <v>45</v>
      </c>
      <c r="M524" s="8">
        <v>3</v>
      </c>
      <c r="N524" s="33">
        <f t="shared" si="64"/>
        <v>0</v>
      </c>
      <c r="O524" s="23">
        <f t="shared" si="65"/>
        <v>0</v>
      </c>
      <c r="P524" s="59">
        <f t="shared" si="66"/>
        <v>1.3491769070252726</v>
      </c>
      <c r="Q524" s="30">
        <f t="shared" si="67"/>
        <v>0</v>
      </c>
      <c r="R524" s="30">
        <f t="shared" si="68"/>
        <v>0</v>
      </c>
      <c r="S524" s="12">
        <f t="shared" si="69"/>
        <v>0</v>
      </c>
      <c r="T524" s="30">
        <f t="shared" si="70"/>
        <v>0</v>
      </c>
      <c r="U524" s="9" t="str">
        <f t="shared" si="71"/>
        <v>25-34</v>
      </c>
    </row>
    <row r="525" spans="1:21">
      <c r="A525" t="s">
        <v>557</v>
      </c>
      <c r="B525" s="8">
        <v>3994</v>
      </c>
      <c r="C525" s="23">
        <v>9.1109999999999997E-2</v>
      </c>
      <c r="D525" s="19" t="s">
        <v>32</v>
      </c>
      <c r="E525" s="21">
        <v>23.565000000000001</v>
      </c>
      <c r="F525" s="21">
        <v>8.57</v>
      </c>
      <c r="G525" s="23">
        <v>0</v>
      </c>
      <c r="H525" s="26">
        <v>0</v>
      </c>
      <c r="I525" s="19" t="s">
        <v>1067</v>
      </c>
      <c r="J525" s="8">
        <v>25</v>
      </c>
      <c r="K525" s="19" t="s">
        <v>18</v>
      </c>
      <c r="L525" s="19" t="s">
        <v>45</v>
      </c>
      <c r="M525" s="8">
        <v>5</v>
      </c>
      <c r="N525" s="33">
        <f t="shared" si="64"/>
        <v>0</v>
      </c>
      <c r="O525" s="23">
        <f t="shared" si="65"/>
        <v>1.063127187864644E-2</v>
      </c>
      <c r="P525" s="59">
        <f t="shared" si="66"/>
        <v>0.3636749416507532</v>
      </c>
      <c r="Q525" s="30">
        <f t="shared" si="67"/>
        <v>0</v>
      </c>
      <c r="R525" s="30">
        <f t="shared" si="68"/>
        <v>-1</v>
      </c>
      <c r="S525" s="12">
        <f t="shared" si="69"/>
        <v>0</v>
      </c>
      <c r="T525" s="30">
        <f t="shared" si="70"/>
        <v>0</v>
      </c>
      <c r="U525" s="9" t="str">
        <f t="shared" si="71"/>
        <v>25-34</v>
      </c>
    </row>
    <row r="526" spans="1:21">
      <c r="A526" t="s">
        <v>558</v>
      </c>
      <c r="B526" s="8">
        <v>9537</v>
      </c>
      <c r="C526" s="23">
        <v>0.15542</v>
      </c>
      <c r="D526" s="19" t="s">
        <v>25</v>
      </c>
      <c r="E526" s="21">
        <v>73.691999999999993</v>
      </c>
      <c r="F526" s="21">
        <v>3.379</v>
      </c>
      <c r="G526" s="23">
        <v>0</v>
      </c>
      <c r="H526" s="26">
        <v>0</v>
      </c>
      <c r="I526" s="19" t="s">
        <v>29</v>
      </c>
      <c r="J526" s="8">
        <v>49</v>
      </c>
      <c r="K526" s="19" t="s">
        <v>31</v>
      </c>
      <c r="L526" s="19" t="s">
        <v>19</v>
      </c>
      <c r="M526" s="8">
        <v>3</v>
      </c>
      <c r="N526" s="33">
        <f t="shared" si="64"/>
        <v>0</v>
      </c>
      <c r="O526" s="23">
        <f t="shared" si="65"/>
        <v>4.5995856762355729E-2</v>
      </c>
      <c r="P526" s="59">
        <f t="shared" si="66"/>
        <v>4.5853009824675682E-2</v>
      </c>
      <c r="Q526" s="30">
        <f t="shared" si="67"/>
        <v>0</v>
      </c>
      <c r="R526" s="30">
        <f t="shared" si="68"/>
        <v>-1</v>
      </c>
      <c r="S526" s="12">
        <f t="shared" si="69"/>
        <v>0</v>
      </c>
      <c r="T526" s="30">
        <f t="shared" si="70"/>
        <v>0</v>
      </c>
      <c r="U526" s="9" t="str">
        <f t="shared" si="71"/>
        <v>45-54</v>
      </c>
    </row>
    <row r="527" spans="1:21">
      <c r="A527" t="s">
        <v>559</v>
      </c>
      <c r="B527" s="8">
        <v>2117</v>
      </c>
      <c r="C527" s="23">
        <v>0.19173999999999999</v>
      </c>
      <c r="D527" s="19" t="s">
        <v>32</v>
      </c>
      <c r="E527" s="21">
        <v>94.308999999999997</v>
      </c>
      <c r="F527" s="21">
        <v>3.496</v>
      </c>
      <c r="G527" s="23">
        <v>0</v>
      </c>
      <c r="H527" s="26">
        <v>0</v>
      </c>
      <c r="I527" s="19" t="s">
        <v>34</v>
      </c>
      <c r="J527" s="8">
        <v>29</v>
      </c>
      <c r="K527" s="19" t="s">
        <v>22</v>
      </c>
      <c r="L527" s="19" t="s">
        <v>32</v>
      </c>
      <c r="M527" s="8">
        <v>1</v>
      </c>
      <c r="N527" s="33">
        <f t="shared" si="64"/>
        <v>0</v>
      </c>
      <c r="O527" s="23">
        <f t="shared" si="65"/>
        <v>5.4845537757437071E-2</v>
      </c>
      <c r="P527" s="59">
        <f t="shared" si="66"/>
        <v>3.7069632802807791E-2</v>
      </c>
      <c r="Q527" s="30">
        <f t="shared" si="67"/>
        <v>0</v>
      </c>
      <c r="R527" s="30">
        <f t="shared" si="68"/>
        <v>-1</v>
      </c>
      <c r="S527" s="12">
        <f t="shared" si="69"/>
        <v>0</v>
      </c>
      <c r="T527" s="30">
        <f t="shared" si="70"/>
        <v>0</v>
      </c>
      <c r="U527" s="9" t="str">
        <f t="shared" si="71"/>
        <v>25-34</v>
      </c>
    </row>
    <row r="528" spans="1:21">
      <c r="A528" t="s">
        <v>560</v>
      </c>
      <c r="B528" s="8">
        <v>9567</v>
      </c>
      <c r="C528" s="23">
        <v>0</v>
      </c>
      <c r="D528" s="19" t="s">
        <v>25</v>
      </c>
      <c r="E528" s="21">
        <v>45.185000000000002</v>
      </c>
      <c r="F528" s="21">
        <v>7.3550000000000004</v>
      </c>
      <c r="G528" s="23">
        <v>0</v>
      </c>
      <c r="H528" s="26">
        <v>0</v>
      </c>
      <c r="I528" s="19" t="s">
        <v>21</v>
      </c>
      <c r="J528" s="8">
        <v>41</v>
      </c>
      <c r="K528" s="19" t="s">
        <v>37</v>
      </c>
      <c r="L528" s="19" t="s">
        <v>38</v>
      </c>
      <c r="M528" s="8">
        <v>1</v>
      </c>
      <c r="N528" s="33">
        <f t="shared" si="64"/>
        <v>0</v>
      </c>
      <c r="O528" s="23">
        <f t="shared" si="65"/>
        <v>0</v>
      </c>
      <c r="P528" s="59">
        <f t="shared" si="66"/>
        <v>0.16277525727564457</v>
      </c>
      <c r="Q528" s="30">
        <f t="shared" si="67"/>
        <v>0</v>
      </c>
      <c r="R528" s="30">
        <f t="shared" si="68"/>
        <v>0</v>
      </c>
      <c r="S528" s="12">
        <f t="shared" si="69"/>
        <v>0</v>
      </c>
      <c r="T528" s="30">
        <f t="shared" si="70"/>
        <v>0</v>
      </c>
      <c r="U528" s="9" t="str">
        <f t="shared" si="71"/>
        <v>35-44</v>
      </c>
    </row>
    <row r="529" spans="1:21">
      <c r="A529" t="s">
        <v>561</v>
      </c>
      <c r="B529" s="8">
        <v>6329</v>
      </c>
      <c r="C529" s="23">
        <v>0.12916</v>
      </c>
      <c r="D529" s="19" t="s">
        <v>32</v>
      </c>
      <c r="E529" s="21">
        <v>51.439</v>
      </c>
      <c r="F529" s="21">
        <v>0.252</v>
      </c>
      <c r="G529" s="23">
        <v>0</v>
      </c>
      <c r="H529" s="26">
        <v>0</v>
      </c>
      <c r="I529" s="19" t="s">
        <v>17</v>
      </c>
      <c r="J529" s="8">
        <v>30</v>
      </c>
      <c r="K529" s="19" t="s">
        <v>31</v>
      </c>
      <c r="L529" s="19" t="s">
        <v>45</v>
      </c>
      <c r="M529" s="8">
        <v>5</v>
      </c>
      <c r="N529" s="33">
        <f t="shared" si="64"/>
        <v>0</v>
      </c>
      <c r="O529" s="23">
        <f t="shared" si="65"/>
        <v>0.51253968253968252</v>
      </c>
      <c r="P529" s="59">
        <f t="shared" si="66"/>
        <v>4.8990065903302942E-3</v>
      </c>
      <c r="Q529" s="30">
        <f t="shared" si="67"/>
        <v>0</v>
      </c>
      <c r="R529" s="30">
        <f t="shared" si="68"/>
        <v>-1</v>
      </c>
      <c r="S529" s="12">
        <f t="shared" si="69"/>
        <v>0</v>
      </c>
      <c r="T529" s="30">
        <f t="shared" si="70"/>
        <v>0</v>
      </c>
      <c r="U529" s="9" t="str">
        <f t="shared" si="71"/>
        <v>25-34</v>
      </c>
    </row>
    <row r="530" spans="1:21">
      <c r="A530" t="s">
        <v>562</v>
      </c>
      <c r="B530" s="8">
        <v>6655</v>
      </c>
      <c r="C530" s="23">
        <v>0</v>
      </c>
      <c r="D530" s="19" t="s">
        <v>15</v>
      </c>
      <c r="E530" s="21">
        <v>99.054000000000002</v>
      </c>
      <c r="F530" s="21">
        <v>8.0909999999999993</v>
      </c>
      <c r="G530" s="23">
        <v>3.4090000000000002E-2</v>
      </c>
      <c r="H530" s="26">
        <v>1</v>
      </c>
      <c r="I530" s="19" t="s">
        <v>21</v>
      </c>
      <c r="J530" s="8">
        <v>47</v>
      </c>
      <c r="K530" s="19" t="s">
        <v>31</v>
      </c>
      <c r="L530" s="19" t="s">
        <v>23</v>
      </c>
      <c r="M530" s="8" t="s">
        <v>1065</v>
      </c>
      <c r="N530" s="33">
        <f t="shared" si="64"/>
        <v>0.12359411692003462</v>
      </c>
      <c r="O530" s="23">
        <f t="shared" si="65"/>
        <v>0</v>
      </c>
      <c r="P530" s="59">
        <f t="shared" si="66"/>
        <v>8.1682718517172445E-2</v>
      </c>
      <c r="Q530" s="30">
        <f t="shared" si="67"/>
        <v>0</v>
      </c>
      <c r="R530" s="30">
        <f t="shared" si="68"/>
        <v>0</v>
      </c>
      <c r="S530" s="12" t="e">
        <f t="shared" si="69"/>
        <v>#DIV/0!</v>
      </c>
      <c r="T530" s="30">
        <f t="shared" si="70"/>
        <v>4.2133234458039803E-3</v>
      </c>
      <c r="U530" s="9" t="str">
        <f t="shared" si="71"/>
        <v>45-54</v>
      </c>
    </row>
    <row r="531" spans="1:21">
      <c r="A531" t="s">
        <v>563</v>
      </c>
      <c r="B531" s="8">
        <v>4990</v>
      </c>
      <c r="C531" s="23">
        <v>5.0860000000000002E-2</v>
      </c>
      <c r="D531" s="19" t="s">
        <v>32</v>
      </c>
      <c r="E531" s="21">
        <v>58.613999999999997</v>
      </c>
      <c r="F531" s="21">
        <v>0.59699999999999998</v>
      </c>
      <c r="G531" s="23">
        <v>0</v>
      </c>
      <c r="H531" s="26">
        <v>0</v>
      </c>
      <c r="I531" s="19" t="s">
        <v>34</v>
      </c>
      <c r="J531" s="8">
        <v>38</v>
      </c>
      <c r="K531" s="19" t="s">
        <v>31</v>
      </c>
      <c r="L531" s="19" t="s">
        <v>19</v>
      </c>
      <c r="M531" s="8">
        <v>2</v>
      </c>
      <c r="N531" s="33">
        <f t="shared" si="64"/>
        <v>0</v>
      </c>
      <c r="O531" s="23">
        <f t="shared" si="65"/>
        <v>8.5192629815745408E-2</v>
      </c>
      <c r="P531" s="59">
        <f t="shared" si="66"/>
        <v>1.018527996724332E-2</v>
      </c>
      <c r="Q531" s="30">
        <f t="shared" si="67"/>
        <v>0</v>
      </c>
      <c r="R531" s="30">
        <f t="shared" si="68"/>
        <v>-1</v>
      </c>
      <c r="S531" s="12">
        <f t="shared" si="69"/>
        <v>0</v>
      </c>
      <c r="T531" s="30">
        <f t="shared" si="70"/>
        <v>0</v>
      </c>
      <c r="U531" s="9" t="str">
        <f t="shared" si="71"/>
        <v>35-44</v>
      </c>
    </row>
    <row r="532" spans="1:21">
      <c r="A532" t="s">
        <v>564</v>
      </c>
      <c r="B532" s="8">
        <v>7319</v>
      </c>
      <c r="C532" s="23">
        <v>0.15583</v>
      </c>
      <c r="D532" s="19" t="s">
        <v>25</v>
      </c>
      <c r="E532" s="21">
        <v>29.276</v>
      </c>
      <c r="F532" s="21">
        <v>9.4740000000000002</v>
      </c>
      <c r="G532" s="23">
        <v>0</v>
      </c>
      <c r="H532" s="26">
        <v>0</v>
      </c>
      <c r="I532" s="19" t="s">
        <v>26</v>
      </c>
      <c r="J532" s="8">
        <v>60</v>
      </c>
      <c r="K532" s="19" t="s">
        <v>18</v>
      </c>
      <c r="L532" s="19" t="s">
        <v>19</v>
      </c>
      <c r="M532" s="8">
        <v>4</v>
      </c>
      <c r="N532" s="33">
        <f t="shared" si="64"/>
        <v>0</v>
      </c>
      <c r="O532" s="23">
        <f t="shared" si="65"/>
        <v>1.6448173949757231E-2</v>
      </c>
      <c r="P532" s="59">
        <f t="shared" si="66"/>
        <v>0.32360978275720725</v>
      </c>
      <c r="Q532" s="30">
        <f t="shared" si="67"/>
        <v>0</v>
      </c>
      <c r="R532" s="30">
        <f t="shared" si="68"/>
        <v>-1</v>
      </c>
      <c r="S532" s="12">
        <f t="shared" si="69"/>
        <v>0</v>
      </c>
      <c r="T532" s="30">
        <f t="shared" si="70"/>
        <v>0</v>
      </c>
      <c r="U532" s="9" t="str">
        <f t="shared" si="71"/>
        <v>55+</v>
      </c>
    </row>
    <row r="533" spans="1:21">
      <c r="A533" t="s">
        <v>565</v>
      </c>
      <c r="B533" s="8">
        <v>4017</v>
      </c>
      <c r="C533" s="23">
        <v>0.16658000000000001</v>
      </c>
      <c r="D533" s="19" t="s">
        <v>28</v>
      </c>
      <c r="E533" s="21">
        <v>37.960999999999999</v>
      </c>
      <c r="F533" s="21">
        <v>6.4009999999999998</v>
      </c>
      <c r="G533" s="23">
        <v>0.33917999999999998</v>
      </c>
      <c r="H533" s="26">
        <v>1</v>
      </c>
      <c r="I533" s="19" t="s">
        <v>21</v>
      </c>
      <c r="J533" s="8">
        <v>24</v>
      </c>
      <c r="K533" s="19" t="s">
        <v>37</v>
      </c>
      <c r="L533" s="19" t="s">
        <v>38</v>
      </c>
      <c r="M533" s="8">
        <v>3</v>
      </c>
      <c r="N533" s="33">
        <f t="shared" si="64"/>
        <v>0.15622558975160131</v>
      </c>
      <c r="O533" s="23">
        <f t="shared" si="65"/>
        <v>2.6024058740821747E-2</v>
      </c>
      <c r="P533" s="59">
        <f t="shared" si="66"/>
        <v>0.16862042622691711</v>
      </c>
      <c r="Q533" s="30">
        <f t="shared" si="67"/>
        <v>0.16658000000000001</v>
      </c>
      <c r="R533" s="30">
        <f t="shared" si="68"/>
        <v>1.0361387921719292</v>
      </c>
      <c r="S533" s="12">
        <f t="shared" si="69"/>
        <v>2.0361387921719292</v>
      </c>
      <c r="T533" s="30">
        <f t="shared" si="70"/>
        <v>5.2988595531948131E-2</v>
      </c>
      <c r="U533" s="9" t="str">
        <f t="shared" si="71"/>
        <v>18-24</v>
      </c>
    </row>
    <row r="534" spans="1:21">
      <c r="A534" t="s">
        <v>566</v>
      </c>
      <c r="B534" s="8">
        <v>1956</v>
      </c>
      <c r="C534" s="23">
        <v>0</v>
      </c>
      <c r="D534" s="19" t="s">
        <v>40</v>
      </c>
      <c r="E534" s="21">
        <v>64.236999999999995</v>
      </c>
      <c r="F534" s="21">
        <v>4.3970000000000002</v>
      </c>
      <c r="G534" s="23">
        <v>0</v>
      </c>
      <c r="H534" s="26">
        <v>0</v>
      </c>
      <c r="I534" s="19" t="s">
        <v>1067</v>
      </c>
      <c r="J534" s="8">
        <v>49</v>
      </c>
      <c r="K534" s="19" t="s">
        <v>18</v>
      </c>
      <c r="L534" s="19" t="s">
        <v>38</v>
      </c>
      <c r="M534" s="8">
        <v>2</v>
      </c>
      <c r="N534" s="33">
        <f t="shared" si="64"/>
        <v>0</v>
      </c>
      <c r="O534" s="23">
        <f t="shared" si="65"/>
        <v>0</v>
      </c>
      <c r="P534" s="59">
        <f t="shared" si="66"/>
        <v>6.8449647399473831E-2</v>
      </c>
      <c r="Q534" s="30">
        <f t="shared" si="67"/>
        <v>0</v>
      </c>
      <c r="R534" s="30">
        <f t="shared" si="68"/>
        <v>0</v>
      </c>
      <c r="S534" s="12">
        <f t="shared" si="69"/>
        <v>0</v>
      </c>
      <c r="T534" s="30">
        <f t="shared" si="70"/>
        <v>0</v>
      </c>
      <c r="U534" s="9" t="str">
        <f t="shared" si="71"/>
        <v>45-54</v>
      </c>
    </row>
    <row r="535" spans="1:21">
      <c r="A535" t="s">
        <v>567</v>
      </c>
      <c r="B535" s="8">
        <v>2791</v>
      </c>
      <c r="C535" s="23">
        <v>0</v>
      </c>
      <c r="D535" s="19" t="s">
        <v>28</v>
      </c>
      <c r="E535" s="21">
        <v>56.04</v>
      </c>
      <c r="F535" s="21">
        <v>5.8940000000000001</v>
      </c>
      <c r="G535" s="23">
        <v>0</v>
      </c>
      <c r="H535" s="26">
        <v>0</v>
      </c>
      <c r="I535" s="19" t="s">
        <v>29</v>
      </c>
      <c r="J535" s="8">
        <v>60</v>
      </c>
      <c r="K535" s="19" t="s">
        <v>31</v>
      </c>
      <c r="L535" s="19" t="s">
        <v>23</v>
      </c>
      <c r="M535" s="8">
        <v>2</v>
      </c>
      <c r="N535" s="33">
        <f t="shared" si="64"/>
        <v>0</v>
      </c>
      <c r="O535" s="23">
        <f t="shared" si="65"/>
        <v>0</v>
      </c>
      <c r="P535" s="59">
        <f t="shared" si="66"/>
        <v>0.10517487508922199</v>
      </c>
      <c r="Q535" s="30">
        <f t="shared" si="67"/>
        <v>0</v>
      </c>
      <c r="R535" s="30">
        <f t="shared" si="68"/>
        <v>0</v>
      </c>
      <c r="S535" s="12">
        <f t="shared" si="69"/>
        <v>0</v>
      </c>
      <c r="T535" s="30">
        <f t="shared" si="70"/>
        <v>0</v>
      </c>
      <c r="U535" s="9" t="str">
        <f t="shared" si="71"/>
        <v>55+</v>
      </c>
    </row>
    <row r="536" spans="1:21">
      <c r="A536" t="s">
        <v>568</v>
      </c>
      <c r="B536" s="8">
        <v>8851</v>
      </c>
      <c r="C536" s="23">
        <v>8.5639999999999994E-2</v>
      </c>
      <c r="D536" s="19" t="s">
        <v>32</v>
      </c>
      <c r="E536" s="21">
        <v>14.84</v>
      </c>
      <c r="F536" s="21">
        <v>0.81399999999999995</v>
      </c>
      <c r="G536" s="23">
        <v>0.32563999999999999</v>
      </c>
      <c r="H536" s="26">
        <v>1</v>
      </c>
      <c r="I536" s="19" t="s">
        <v>29</v>
      </c>
      <c r="J536" s="8">
        <v>31</v>
      </c>
      <c r="K536" s="19" t="s">
        <v>31</v>
      </c>
      <c r="L536" s="19" t="s">
        <v>23</v>
      </c>
      <c r="M536" s="8">
        <v>4</v>
      </c>
      <c r="N536" s="33">
        <f t="shared" si="64"/>
        <v>1.2285012285012287</v>
      </c>
      <c r="O536" s="23">
        <f t="shared" si="65"/>
        <v>0.10520884520884521</v>
      </c>
      <c r="P536" s="59">
        <f t="shared" si="66"/>
        <v>5.4851752021563338E-2</v>
      </c>
      <c r="Q536" s="30">
        <f t="shared" si="67"/>
        <v>8.5639999999999994E-2</v>
      </c>
      <c r="R536" s="30">
        <f t="shared" si="68"/>
        <v>2.8024287716020551</v>
      </c>
      <c r="S536" s="12">
        <f t="shared" si="69"/>
        <v>3.8024287716020551</v>
      </c>
      <c r="T536" s="30">
        <f t="shared" si="70"/>
        <v>0.40004914004914005</v>
      </c>
      <c r="U536" s="9" t="str">
        <f t="shared" si="71"/>
        <v>25-34</v>
      </c>
    </row>
    <row r="537" spans="1:21">
      <c r="A537" t="s">
        <v>569</v>
      </c>
      <c r="B537" s="8">
        <v>8179</v>
      </c>
      <c r="C537" s="23">
        <v>0</v>
      </c>
      <c r="D537" s="19" t="s">
        <v>40</v>
      </c>
      <c r="E537" s="21">
        <v>67.744</v>
      </c>
      <c r="F537" s="21">
        <v>6.4089999999999998</v>
      </c>
      <c r="G537" s="23">
        <v>0</v>
      </c>
      <c r="H537" s="26">
        <v>0</v>
      </c>
      <c r="I537" s="19" t="s">
        <v>34</v>
      </c>
      <c r="J537" s="8">
        <v>18</v>
      </c>
      <c r="K537" s="19" t="s">
        <v>31</v>
      </c>
      <c r="L537" s="19" t="s">
        <v>45</v>
      </c>
      <c r="M537" s="8">
        <v>5</v>
      </c>
      <c r="N537" s="33">
        <f t="shared" si="64"/>
        <v>0</v>
      </c>
      <c r="O537" s="23">
        <f t="shared" si="65"/>
        <v>0</v>
      </c>
      <c r="P537" s="59">
        <f t="shared" si="66"/>
        <v>9.4606164383561647E-2</v>
      </c>
      <c r="Q537" s="30">
        <f t="shared" si="67"/>
        <v>0</v>
      </c>
      <c r="R537" s="30">
        <f t="shared" si="68"/>
        <v>0</v>
      </c>
      <c r="S537" s="12">
        <f t="shared" si="69"/>
        <v>0</v>
      </c>
      <c r="T537" s="30">
        <f t="shared" si="70"/>
        <v>0</v>
      </c>
      <c r="U537" s="9" t="str">
        <f t="shared" si="71"/>
        <v>18-24</v>
      </c>
    </row>
    <row r="538" spans="1:21">
      <c r="A538" t="s">
        <v>570</v>
      </c>
      <c r="B538" s="8">
        <v>2577</v>
      </c>
      <c r="C538" s="23">
        <v>9.2179999999999998E-2</v>
      </c>
      <c r="D538" s="19" t="s">
        <v>15</v>
      </c>
      <c r="E538" s="21">
        <v>97.879000000000005</v>
      </c>
      <c r="F538" s="21">
        <v>2.7480000000000002</v>
      </c>
      <c r="G538" s="23">
        <v>0</v>
      </c>
      <c r="H538" s="26">
        <v>0</v>
      </c>
      <c r="I538" s="19" t="s">
        <v>26</v>
      </c>
      <c r="J538" s="8">
        <v>41</v>
      </c>
      <c r="K538" s="19" t="s">
        <v>22</v>
      </c>
      <c r="L538" s="19" t="s">
        <v>19</v>
      </c>
      <c r="M538" s="8">
        <v>2</v>
      </c>
      <c r="N538" s="33">
        <f t="shared" si="64"/>
        <v>0</v>
      </c>
      <c r="O538" s="23">
        <f t="shared" si="65"/>
        <v>3.3544395924308586E-2</v>
      </c>
      <c r="P538" s="59">
        <f t="shared" si="66"/>
        <v>2.8075480950970077E-2</v>
      </c>
      <c r="Q538" s="30">
        <f t="shared" si="67"/>
        <v>0</v>
      </c>
      <c r="R538" s="30">
        <f t="shared" si="68"/>
        <v>-1</v>
      </c>
      <c r="S538" s="12">
        <f t="shared" si="69"/>
        <v>0</v>
      </c>
      <c r="T538" s="30">
        <f t="shared" si="70"/>
        <v>0</v>
      </c>
      <c r="U538" s="9" t="str">
        <f t="shared" si="71"/>
        <v>35-44</v>
      </c>
    </row>
    <row r="539" spans="1:21">
      <c r="A539" t="s">
        <v>571</v>
      </c>
      <c r="B539" s="8">
        <v>7608</v>
      </c>
      <c r="C539" s="23">
        <v>0.14732999999999999</v>
      </c>
      <c r="D539" s="19" t="s">
        <v>28</v>
      </c>
      <c r="E539" s="21">
        <v>64.043999999999997</v>
      </c>
      <c r="F539" s="21">
        <v>1.5509999999999999</v>
      </c>
      <c r="G539" s="23">
        <v>0</v>
      </c>
      <c r="H539" s="26">
        <v>0</v>
      </c>
      <c r="I539" s="19" t="s">
        <v>17</v>
      </c>
      <c r="J539" s="8">
        <v>43</v>
      </c>
      <c r="K539" s="19" t="s">
        <v>22</v>
      </c>
      <c r="L539" s="19" t="s">
        <v>19</v>
      </c>
      <c r="M539" s="8">
        <v>5</v>
      </c>
      <c r="N539" s="33">
        <f t="shared" si="64"/>
        <v>0</v>
      </c>
      <c r="O539" s="23">
        <f t="shared" si="65"/>
        <v>9.4990328820116057E-2</v>
      </c>
      <c r="P539" s="59">
        <f t="shared" si="66"/>
        <v>2.4217725313846729E-2</v>
      </c>
      <c r="Q539" s="30">
        <f t="shared" si="67"/>
        <v>0</v>
      </c>
      <c r="R539" s="30">
        <f t="shared" si="68"/>
        <v>-1</v>
      </c>
      <c r="S539" s="12">
        <f t="shared" si="69"/>
        <v>0</v>
      </c>
      <c r="T539" s="30">
        <f t="shared" si="70"/>
        <v>0</v>
      </c>
      <c r="U539" s="9" t="str">
        <f t="shared" si="71"/>
        <v>35-44</v>
      </c>
    </row>
    <row r="540" spans="1:21">
      <c r="A540" t="s">
        <v>572</v>
      </c>
      <c r="B540" s="8">
        <v>7182</v>
      </c>
      <c r="C540" s="23">
        <v>0.11004</v>
      </c>
      <c r="D540" s="19" t="s">
        <v>45</v>
      </c>
      <c r="E540" s="21">
        <v>97.587999999999994</v>
      </c>
      <c r="F540" s="21">
        <v>6.952</v>
      </c>
      <c r="G540" s="23">
        <v>9.2130000000000004E-2</v>
      </c>
      <c r="H540" s="26">
        <v>1</v>
      </c>
      <c r="I540" s="19" t="s">
        <v>26</v>
      </c>
      <c r="J540" s="8">
        <v>63</v>
      </c>
      <c r="K540" s="19" t="s">
        <v>18</v>
      </c>
      <c r="L540" s="19" t="s">
        <v>19</v>
      </c>
      <c r="M540" s="8">
        <v>5</v>
      </c>
      <c r="N540" s="33">
        <f t="shared" si="64"/>
        <v>0.14384349827387802</v>
      </c>
      <c r="O540" s="23">
        <f t="shared" si="65"/>
        <v>1.5828538550057537E-2</v>
      </c>
      <c r="P540" s="59">
        <f t="shared" si="66"/>
        <v>7.1238267000040989E-2</v>
      </c>
      <c r="Q540" s="30">
        <f t="shared" si="67"/>
        <v>0.11004</v>
      </c>
      <c r="R540" s="30">
        <f t="shared" si="68"/>
        <v>-0.16275899672846234</v>
      </c>
      <c r="S540" s="12">
        <f t="shared" si="69"/>
        <v>0.83724100327153761</v>
      </c>
      <c r="T540" s="30">
        <f t="shared" si="70"/>
        <v>1.3252301495972382E-2</v>
      </c>
      <c r="U540" s="9" t="str">
        <f t="shared" si="71"/>
        <v>55+</v>
      </c>
    </row>
    <row r="541" spans="1:21">
      <c r="A541" t="s">
        <v>573</v>
      </c>
      <c r="B541" s="8">
        <v>2293</v>
      </c>
      <c r="C541" s="23">
        <v>8.5849999999999996E-2</v>
      </c>
      <c r="D541" s="19" t="s">
        <v>15</v>
      </c>
      <c r="E541" s="21">
        <v>7.34</v>
      </c>
      <c r="F541" s="21">
        <v>9.2319999999999993</v>
      </c>
      <c r="G541" s="23">
        <v>9.4189999999999996E-2</v>
      </c>
      <c r="H541" s="26">
        <v>1</v>
      </c>
      <c r="I541" s="19" t="s">
        <v>34</v>
      </c>
      <c r="J541" s="8">
        <v>33</v>
      </c>
      <c r="K541" s="19" t="s">
        <v>37</v>
      </c>
      <c r="L541" s="19" t="s">
        <v>19</v>
      </c>
      <c r="M541" s="8">
        <v>2</v>
      </c>
      <c r="N541" s="33">
        <f t="shared" si="64"/>
        <v>0.10831889081455806</v>
      </c>
      <c r="O541" s="23">
        <f t="shared" si="65"/>
        <v>9.2991767764298103E-3</v>
      </c>
      <c r="P541" s="59">
        <f t="shared" si="66"/>
        <v>1.2577656675749318</v>
      </c>
      <c r="Q541" s="30">
        <f t="shared" si="67"/>
        <v>8.5849999999999996E-2</v>
      </c>
      <c r="R541" s="30">
        <f t="shared" si="68"/>
        <v>9.7146185206755983E-2</v>
      </c>
      <c r="S541" s="12">
        <f t="shared" si="69"/>
        <v>1.0971461852067559</v>
      </c>
      <c r="T541" s="30">
        <f t="shared" si="70"/>
        <v>1.0202556325823224E-2</v>
      </c>
      <c r="U541" s="9" t="str">
        <f t="shared" si="71"/>
        <v>25-34</v>
      </c>
    </row>
    <row r="542" spans="1:21">
      <c r="A542" t="s">
        <v>574</v>
      </c>
      <c r="B542" s="8">
        <v>5239</v>
      </c>
      <c r="C542" s="23">
        <v>0.16303000000000001</v>
      </c>
      <c r="D542" s="19" t="s">
        <v>40</v>
      </c>
      <c r="E542" s="21">
        <v>70.566999999999993</v>
      </c>
      <c r="F542" s="21">
        <v>4.3979999999999997</v>
      </c>
      <c r="G542" s="23">
        <v>0</v>
      </c>
      <c r="H542" s="26">
        <v>0</v>
      </c>
      <c r="I542" s="19" t="s">
        <v>34</v>
      </c>
      <c r="J542" s="8">
        <v>41</v>
      </c>
      <c r="K542" s="19" t="s">
        <v>22</v>
      </c>
      <c r="L542" s="19" t="s">
        <v>32</v>
      </c>
      <c r="M542" s="8">
        <v>4</v>
      </c>
      <c r="N542" s="33">
        <f t="shared" si="64"/>
        <v>0</v>
      </c>
      <c r="O542" s="23">
        <f t="shared" si="65"/>
        <v>3.7069122328331067E-2</v>
      </c>
      <c r="P542" s="59">
        <f t="shared" si="66"/>
        <v>6.2323749061175902E-2</v>
      </c>
      <c r="Q542" s="30">
        <f t="shared" si="67"/>
        <v>0</v>
      </c>
      <c r="R542" s="30">
        <f t="shared" si="68"/>
        <v>-1</v>
      </c>
      <c r="S542" s="12">
        <f t="shared" si="69"/>
        <v>0</v>
      </c>
      <c r="T542" s="30">
        <f t="shared" si="70"/>
        <v>0</v>
      </c>
      <c r="U542" s="9" t="str">
        <f t="shared" si="71"/>
        <v>35-44</v>
      </c>
    </row>
    <row r="543" spans="1:21">
      <c r="A543" t="s">
        <v>575</v>
      </c>
      <c r="B543" s="8">
        <v>9333</v>
      </c>
      <c r="C543" s="23">
        <v>0.17202999999999999</v>
      </c>
      <c r="D543" s="19" t="s">
        <v>32</v>
      </c>
      <c r="E543" s="21">
        <v>93.433999999999997</v>
      </c>
      <c r="F543" s="21">
        <v>6.3150000000000004</v>
      </c>
      <c r="G543" s="23">
        <v>0</v>
      </c>
      <c r="H543" s="26">
        <v>0</v>
      </c>
      <c r="I543" s="19" t="s">
        <v>29</v>
      </c>
      <c r="J543" s="8">
        <v>56</v>
      </c>
      <c r="K543" s="19" t="s">
        <v>37</v>
      </c>
      <c r="L543" s="19" t="s">
        <v>23</v>
      </c>
      <c r="M543" s="8" t="s">
        <v>1065</v>
      </c>
      <c r="N543" s="33">
        <f t="shared" si="64"/>
        <v>0</v>
      </c>
      <c r="O543" s="23">
        <f t="shared" si="65"/>
        <v>2.7241488519398255E-2</v>
      </c>
      <c r="P543" s="59">
        <f t="shared" si="66"/>
        <v>6.7587815998458811E-2</v>
      </c>
      <c r="Q543" s="30">
        <f t="shared" si="67"/>
        <v>0</v>
      </c>
      <c r="R543" s="30">
        <f t="shared" si="68"/>
        <v>-1</v>
      </c>
      <c r="S543" s="12">
        <f t="shared" si="69"/>
        <v>0</v>
      </c>
      <c r="T543" s="30">
        <f t="shared" si="70"/>
        <v>0</v>
      </c>
      <c r="U543" s="9" t="str">
        <f t="shared" si="71"/>
        <v>55+</v>
      </c>
    </row>
    <row r="544" spans="1:21">
      <c r="A544" t="s">
        <v>576</v>
      </c>
      <c r="B544" s="8">
        <v>5947</v>
      </c>
      <c r="C544" s="23">
        <v>9.4869999999999996E-2</v>
      </c>
      <c r="D544" s="19" t="s">
        <v>15</v>
      </c>
      <c r="E544" s="21">
        <v>21.064</v>
      </c>
      <c r="F544" s="21">
        <v>1.5820000000000001</v>
      </c>
      <c r="G544" s="23">
        <v>0.25625999999999999</v>
      </c>
      <c r="H544" s="26">
        <v>1</v>
      </c>
      <c r="I544" s="19" t="s">
        <v>21</v>
      </c>
      <c r="J544" s="8">
        <v>20</v>
      </c>
      <c r="K544" s="19" t="s">
        <v>18</v>
      </c>
      <c r="L544" s="19" t="s">
        <v>38</v>
      </c>
      <c r="M544" s="8" t="s">
        <v>1065</v>
      </c>
      <c r="N544" s="33">
        <f t="shared" si="64"/>
        <v>0.63211125158027814</v>
      </c>
      <c r="O544" s="23">
        <f t="shared" si="65"/>
        <v>5.9968394437420983E-2</v>
      </c>
      <c r="P544" s="59">
        <f t="shared" si="66"/>
        <v>7.5104443600455761E-2</v>
      </c>
      <c r="Q544" s="30">
        <f t="shared" si="67"/>
        <v>9.4869999999999996E-2</v>
      </c>
      <c r="R544" s="30">
        <f t="shared" si="68"/>
        <v>1.7011700221355537</v>
      </c>
      <c r="S544" s="12">
        <f t="shared" si="69"/>
        <v>2.7011700221355537</v>
      </c>
      <c r="T544" s="30">
        <f t="shared" si="70"/>
        <v>0.16198482932996205</v>
      </c>
      <c r="U544" s="9" t="str">
        <f t="shared" si="71"/>
        <v>18-24</v>
      </c>
    </row>
    <row r="545" spans="1:21">
      <c r="A545" t="s">
        <v>577</v>
      </c>
      <c r="B545" s="8">
        <v>3771</v>
      </c>
      <c r="C545" s="23">
        <v>0.15770000000000001</v>
      </c>
      <c r="D545" s="19" t="s">
        <v>45</v>
      </c>
      <c r="E545" s="21">
        <v>6.7229999999999999</v>
      </c>
      <c r="F545" s="21">
        <v>4.7160000000000002</v>
      </c>
      <c r="G545" s="23">
        <v>0</v>
      </c>
      <c r="H545" s="26">
        <v>1</v>
      </c>
      <c r="I545" s="19" t="s">
        <v>17</v>
      </c>
      <c r="J545" s="8">
        <v>39</v>
      </c>
      <c r="K545" s="19" t="s">
        <v>18</v>
      </c>
      <c r="L545" s="19" t="s">
        <v>38</v>
      </c>
      <c r="M545" s="8">
        <v>4</v>
      </c>
      <c r="N545" s="33">
        <f t="shared" si="64"/>
        <v>0.21204410517387615</v>
      </c>
      <c r="O545" s="23">
        <f t="shared" si="65"/>
        <v>3.3439355385920272E-2</v>
      </c>
      <c r="P545" s="59">
        <f t="shared" si="66"/>
        <v>0.7014725568942437</v>
      </c>
      <c r="Q545" s="30">
        <f t="shared" si="67"/>
        <v>0.15770000000000001</v>
      </c>
      <c r="R545" s="30">
        <f t="shared" si="68"/>
        <v>-1</v>
      </c>
      <c r="S545" s="12">
        <f t="shared" si="69"/>
        <v>0</v>
      </c>
      <c r="T545" s="30">
        <f t="shared" si="70"/>
        <v>0</v>
      </c>
      <c r="U545" s="9" t="str">
        <f t="shared" si="71"/>
        <v>35-44</v>
      </c>
    </row>
    <row r="546" spans="1:21">
      <c r="A546" t="s">
        <v>578</v>
      </c>
      <c r="B546" s="8">
        <v>9981</v>
      </c>
      <c r="C546" s="23">
        <v>0.12126000000000001</v>
      </c>
      <c r="D546" s="19" t="s">
        <v>25</v>
      </c>
      <c r="E546" s="21">
        <v>84.138000000000005</v>
      </c>
      <c r="F546" s="21">
        <v>2.5750000000000002</v>
      </c>
      <c r="G546" s="23">
        <v>0</v>
      </c>
      <c r="H546" s="26">
        <v>0</v>
      </c>
      <c r="I546" s="19" t="s">
        <v>29</v>
      </c>
      <c r="J546" s="8">
        <v>41</v>
      </c>
      <c r="K546" s="19" t="s">
        <v>18</v>
      </c>
      <c r="L546" s="19" t="s">
        <v>32</v>
      </c>
      <c r="M546" s="8">
        <v>1</v>
      </c>
      <c r="N546" s="33">
        <f t="shared" si="64"/>
        <v>0</v>
      </c>
      <c r="O546" s="23">
        <f t="shared" si="65"/>
        <v>4.7091262135922331E-2</v>
      </c>
      <c r="P546" s="59">
        <f t="shared" si="66"/>
        <v>3.0604483111079418E-2</v>
      </c>
      <c r="Q546" s="30">
        <f t="shared" si="67"/>
        <v>0</v>
      </c>
      <c r="R546" s="30">
        <f t="shared" si="68"/>
        <v>-1</v>
      </c>
      <c r="S546" s="12">
        <f t="shared" si="69"/>
        <v>0</v>
      </c>
      <c r="T546" s="30">
        <f t="shared" si="70"/>
        <v>0</v>
      </c>
      <c r="U546" s="9" t="str">
        <f t="shared" si="71"/>
        <v>35-44</v>
      </c>
    </row>
    <row r="547" spans="1:21">
      <c r="A547" t="s">
        <v>579</v>
      </c>
      <c r="B547" s="8">
        <v>5775</v>
      </c>
      <c r="C547" s="23">
        <v>8.5169999999999996E-2</v>
      </c>
      <c r="D547" s="19" t="s">
        <v>32</v>
      </c>
      <c r="E547" s="21">
        <v>55.332000000000001</v>
      </c>
      <c r="F547" s="21">
        <v>5.6230000000000002</v>
      </c>
      <c r="G547" s="23">
        <v>0</v>
      </c>
      <c r="H547" s="26">
        <v>0</v>
      </c>
      <c r="I547" s="19" t="s">
        <v>26</v>
      </c>
      <c r="J547" s="8">
        <v>29</v>
      </c>
      <c r="K547" s="19" t="s">
        <v>18</v>
      </c>
      <c r="L547" s="19" t="s">
        <v>19</v>
      </c>
      <c r="M547" s="8">
        <v>5</v>
      </c>
      <c r="N547" s="33">
        <f t="shared" si="64"/>
        <v>0</v>
      </c>
      <c r="O547" s="23">
        <f t="shared" si="65"/>
        <v>1.5146718833362972E-2</v>
      </c>
      <c r="P547" s="59">
        <f t="shared" si="66"/>
        <v>0.10162293067302827</v>
      </c>
      <c r="Q547" s="30">
        <f t="shared" si="67"/>
        <v>0</v>
      </c>
      <c r="R547" s="30">
        <f t="shared" si="68"/>
        <v>-1</v>
      </c>
      <c r="S547" s="12">
        <f t="shared" si="69"/>
        <v>0</v>
      </c>
      <c r="T547" s="30">
        <f t="shared" si="70"/>
        <v>0</v>
      </c>
      <c r="U547" s="9" t="str">
        <f t="shared" si="71"/>
        <v>25-34</v>
      </c>
    </row>
    <row r="548" spans="1:21">
      <c r="A548" t="s">
        <v>580</v>
      </c>
      <c r="B548" s="8">
        <v>5022</v>
      </c>
      <c r="C548" s="23">
        <v>0.12659999999999999</v>
      </c>
      <c r="D548" s="19" t="s">
        <v>40</v>
      </c>
      <c r="E548" s="21">
        <v>17.562000000000001</v>
      </c>
      <c r="F548" s="21">
        <v>4.3220000000000001</v>
      </c>
      <c r="G548" s="23">
        <v>0</v>
      </c>
      <c r="H548" s="26">
        <v>0</v>
      </c>
      <c r="I548" s="19" t="s">
        <v>34</v>
      </c>
      <c r="J548" s="8">
        <v>24</v>
      </c>
      <c r="K548" s="19" t="s">
        <v>37</v>
      </c>
      <c r="L548" s="19" t="s">
        <v>19</v>
      </c>
      <c r="M548" s="8">
        <v>3</v>
      </c>
      <c r="N548" s="33">
        <f t="shared" si="64"/>
        <v>0</v>
      </c>
      <c r="O548" s="23">
        <f t="shared" si="65"/>
        <v>2.9291994447015267E-2</v>
      </c>
      <c r="P548" s="59">
        <f t="shared" si="66"/>
        <v>0.24609953308279239</v>
      </c>
      <c r="Q548" s="30">
        <f t="shared" si="67"/>
        <v>0</v>
      </c>
      <c r="R548" s="30">
        <f t="shared" si="68"/>
        <v>-1</v>
      </c>
      <c r="S548" s="12">
        <f t="shared" si="69"/>
        <v>0</v>
      </c>
      <c r="T548" s="30">
        <f t="shared" si="70"/>
        <v>0</v>
      </c>
      <c r="U548" s="9" t="str">
        <f t="shared" si="71"/>
        <v>18-24</v>
      </c>
    </row>
    <row r="549" spans="1:21">
      <c r="A549" t="s">
        <v>581</v>
      </c>
      <c r="B549" s="8">
        <v>8347</v>
      </c>
      <c r="C549" s="23">
        <v>4.8750000000000002E-2</v>
      </c>
      <c r="D549" s="19" t="s">
        <v>45</v>
      </c>
      <c r="E549" s="21">
        <v>80.858999999999995</v>
      </c>
      <c r="F549" s="21">
        <v>5.9580000000000002</v>
      </c>
      <c r="G549" s="23">
        <v>0</v>
      </c>
      <c r="H549" s="26">
        <v>0</v>
      </c>
      <c r="I549" s="19" t="s">
        <v>17</v>
      </c>
      <c r="J549" s="8">
        <v>44</v>
      </c>
      <c r="K549" s="19" t="s">
        <v>31</v>
      </c>
      <c r="L549" s="19" t="s">
        <v>45</v>
      </c>
      <c r="M549" s="8">
        <v>2</v>
      </c>
      <c r="N549" s="33">
        <f t="shared" si="64"/>
        <v>0</v>
      </c>
      <c r="O549" s="23">
        <f t="shared" si="65"/>
        <v>8.1822759315206446E-3</v>
      </c>
      <c r="P549" s="59">
        <f t="shared" si="66"/>
        <v>7.368381998293326E-2</v>
      </c>
      <c r="Q549" s="30">
        <f t="shared" si="67"/>
        <v>0</v>
      </c>
      <c r="R549" s="30">
        <f t="shared" si="68"/>
        <v>-1</v>
      </c>
      <c r="S549" s="12">
        <f t="shared" si="69"/>
        <v>0</v>
      </c>
      <c r="T549" s="30">
        <f t="shared" si="70"/>
        <v>0</v>
      </c>
      <c r="U549" s="9" t="str">
        <f t="shared" si="71"/>
        <v>35-44</v>
      </c>
    </row>
    <row r="550" spans="1:21">
      <c r="A550" t="s">
        <v>582</v>
      </c>
      <c r="B550" s="8">
        <v>3648</v>
      </c>
      <c r="C550" s="23">
        <v>0</v>
      </c>
      <c r="D550" s="19" t="s">
        <v>15</v>
      </c>
      <c r="E550" s="21">
        <v>13.455</v>
      </c>
      <c r="F550" s="21">
        <v>8.9830000000000005</v>
      </c>
      <c r="G550" s="23">
        <v>0.42008000000000001</v>
      </c>
      <c r="H550" s="26">
        <v>1</v>
      </c>
      <c r="I550" s="19" t="s">
        <v>26</v>
      </c>
      <c r="J550" s="8">
        <v>45</v>
      </c>
      <c r="K550" s="19" t="s">
        <v>18</v>
      </c>
      <c r="L550" s="19" t="s">
        <v>23</v>
      </c>
      <c r="M550" s="8">
        <v>2</v>
      </c>
      <c r="N550" s="33">
        <f t="shared" si="64"/>
        <v>0.11132138483802738</v>
      </c>
      <c r="O550" s="23">
        <f t="shared" si="65"/>
        <v>0</v>
      </c>
      <c r="P550" s="59">
        <f t="shared" si="66"/>
        <v>0.66763285024154595</v>
      </c>
      <c r="Q550" s="30">
        <f t="shared" si="67"/>
        <v>0</v>
      </c>
      <c r="R550" s="30">
        <f t="shared" si="68"/>
        <v>0</v>
      </c>
      <c r="S550" s="12" t="e">
        <f t="shared" si="69"/>
        <v>#DIV/0!</v>
      </c>
      <c r="T550" s="30">
        <f t="shared" si="70"/>
        <v>4.6763887342758541E-2</v>
      </c>
      <c r="U550" s="9" t="str">
        <f t="shared" si="71"/>
        <v>45-54</v>
      </c>
    </row>
    <row r="551" spans="1:21">
      <c r="A551" t="s">
        <v>583</v>
      </c>
      <c r="B551" s="8">
        <v>6950</v>
      </c>
      <c r="C551" s="23">
        <v>0.16492000000000001</v>
      </c>
      <c r="D551" s="19" t="s">
        <v>40</v>
      </c>
      <c r="E551" s="21">
        <v>35.585999999999999</v>
      </c>
      <c r="F551" s="21">
        <v>2.2170000000000001</v>
      </c>
      <c r="G551" s="23">
        <v>0.31879000000000002</v>
      </c>
      <c r="H551" s="26">
        <v>1</v>
      </c>
      <c r="I551" s="19" t="s">
        <v>1067</v>
      </c>
      <c r="J551" s="8">
        <v>51</v>
      </c>
      <c r="K551" s="19" t="s">
        <v>18</v>
      </c>
      <c r="L551" s="19" t="s">
        <v>23</v>
      </c>
      <c r="M551" s="8">
        <v>3</v>
      </c>
      <c r="N551" s="33">
        <f t="shared" si="64"/>
        <v>0.45105999097880017</v>
      </c>
      <c r="O551" s="23">
        <f t="shared" si="65"/>
        <v>7.4388813712223723E-2</v>
      </c>
      <c r="P551" s="59">
        <f t="shared" si="66"/>
        <v>6.2299780812679145E-2</v>
      </c>
      <c r="Q551" s="30">
        <f t="shared" si="67"/>
        <v>0.16492000000000001</v>
      </c>
      <c r="R551" s="30">
        <f t="shared" si="68"/>
        <v>0.93299781712345375</v>
      </c>
      <c r="S551" s="12">
        <f t="shared" si="69"/>
        <v>1.9329978171234539</v>
      </c>
      <c r="T551" s="30">
        <f t="shared" si="70"/>
        <v>0.14379341452413172</v>
      </c>
      <c r="U551" s="9" t="str">
        <f t="shared" si="71"/>
        <v>45-54</v>
      </c>
    </row>
    <row r="552" spans="1:21">
      <c r="A552" t="s">
        <v>584</v>
      </c>
      <c r="B552" s="8">
        <v>1344</v>
      </c>
      <c r="C552" s="23">
        <v>0.10033</v>
      </c>
      <c r="D552" s="19" t="s">
        <v>15</v>
      </c>
      <c r="E552" s="21">
        <v>76.346000000000004</v>
      </c>
      <c r="F552" s="21">
        <v>7.9850000000000003</v>
      </c>
      <c r="G552" s="23">
        <v>0</v>
      </c>
      <c r="H552" s="26">
        <v>0</v>
      </c>
      <c r="I552" s="19" t="s">
        <v>17</v>
      </c>
      <c r="J552" s="8">
        <v>37</v>
      </c>
      <c r="K552" s="19" t="s">
        <v>22</v>
      </c>
      <c r="L552" s="19" t="s">
        <v>19</v>
      </c>
      <c r="M552" s="8">
        <v>2</v>
      </c>
      <c r="N552" s="33">
        <f t="shared" si="64"/>
        <v>0</v>
      </c>
      <c r="O552" s="23">
        <f t="shared" si="65"/>
        <v>1.25648090169067E-2</v>
      </c>
      <c r="P552" s="59">
        <f t="shared" si="66"/>
        <v>0.10458963141487439</v>
      </c>
      <c r="Q552" s="30">
        <f t="shared" si="67"/>
        <v>0</v>
      </c>
      <c r="R552" s="30">
        <f t="shared" si="68"/>
        <v>-1</v>
      </c>
      <c r="S552" s="12">
        <f t="shared" si="69"/>
        <v>0</v>
      </c>
      <c r="T552" s="30">
        <f t="shared" si="70"/>
        <v>0</v>
      </c>
      <c r="U552" s="9" t="str">
        <f t="shared" si="71"/>
        <v>35-44</v>
      </c>
    </row>
    <row r="553" spans="1:21">
      <c r="A553" t="s">
        <v>585</v>
      </c>
      <c r="B553" s="8">
        <v>9751</v>
      </c>
      <c r="C553" s="23">
        <v>5.33E-2</v>
      </c>
      <c r="D553" s="19" t="s">
        <v>15</v>
      </c>
      <c r="E553" s="21">
        <v>30.888000000000002</v>
      </c>
      <c r="F553" s="21">
        <v>0</v>
      </c>
      <c r="G553" s="23">
        <v>0</v>
      </c>
      <c r="H553" s="26">
        <v>1</v>
      </c>
      <c r="I553" s="19" t="s">
        <v>29</v>
      </c>
      <c r="J553" s="8">
        <v>60</v>
      </c>
      <c r="K553" s="19" t="s">
        <v>22</v>
      </c>
      <c r="L553" s="19" t="s">
        <v>19</v>
      </c>
      <c r="M553" s="8">
        <v>2</v>
      </c>
      <c r="N553" s="33">
        <f t="shared" si="64"/>
        <v>0</v>
      </c>
      <c r="O553" s="23">
        <f t="shared" si="65"/>
        <v>0</v>
      </c>
      <c r="P553" s="59">
        <f t="shared" si="66"/>
        <v>0</v>
      </c>
      <c r="Q553" s="30">
        <f t="shared" si="67"/>
        <v>5.33E-2</v>
      </c>
      <c r="R553" s="30">
        <f t="shared" si="68"/>
        <v>-1</v>
      </c>
      <c r="S553" s="12">
        <f t="shared" si="69"/>
        <v>0</v>
      </c>
      <c r="T553" s="30">
        <f t="shared" si="70"/>
        <v>0</v>
      </c>
      <c r="U553" s="9" t="str">
        <f t="shared" si="71"/>
        <v>55+</v>
      </c>
    </row>
    <row r="554" spans="1:21">
      <c r="A554" t="s">
        <v>586</v>
      </c>
      <c r="B554" s="8">
        <v>4320</v>
      </c>
      <c r="C554" s="23">
        <v>0</v>
      </c>
      <c r="D554" s="19" t="s">
        <v>32</v>
      </c>
      <c r="E554" s="21">
        <v>57.158999999999999</v>
      </c>
      <c r="F554" s="21">
        <v>7.4530000000000003</v>
      </c>
      <c r="G554" s="23">
        <v>0</v>
      </c>
      <c r="H554" s="26">
        <v>0</v>
      </c>
      <c r="I554" s="19" t="s">
        <v>34</v>
      </c>
      <c r="J554" s="8">
        <v>18</v>
      </c>
      <c r="K554" s="19" t="s">
        <v>37</v>
      </c>
      <c r="L554" s="19" t="s">
        <v>45</v>
      </c>
      <c r="M554" s="8">
        <v>5</v>
      </c>
      <c r="N554" s="33">
        <f t="shared" si="64"/>
        <v>0</v>
      </c>
      <c r="O554" s="23">
        <f t="shared" si="65"/>
        <v>0</v>
      </c>
      <c r="P554" s="59">
        <f t="shared" si="66"/>
        <v>0.13039066463724</v>
      </c>
      <c r="Q554" s="30">
        <f t="shared" si="67"/>
        <v>0</v>
      </c>
      <c r="R554" s="30">
        <f t="shared" si="68"/>
        <v>0</v>
      </c>
      <c r="S554" s="12">
        <f t="shared" si="69"/>
        <v>0</v>
      </c>
      <c r="T554" s="30">
        <f t="shared" si="70"/>
        <v>0</v>
      </c>
      <c r="U554" s="9" t="str">
        <f t="shared" si="71"/>
        <v>18-24</v>
      </c>
    </row>
    <row r="555" spans="1:21">
      <c r="A555" t="s">
        <v>587</v>
      </c>
      <c r="B555" s="8">
        <v>3447</v>
      </c>
      <c r="C555" s="23">
        <v>2.3369999999999998E-2</v>
      </c>
      <c r="D555" s="19" t="s">
        <v>28</v>
      </c>
      <c r="E555" s="21">
        <v>46.024000000000001</v>
      </c>
      <c r="F555" s="21">
        <v>0.80600000000000005</v>
      </c>
      <c r="G555" s="23">
        <v>0.11693000000000001</v>
      </c>
      <c r="H555" s="26">
        <v>1</v>
      </c>
      <c r="I555" s="19" t="s">
        <v>17</v>
      </c>
      <c r="J555" s="8">
        <v>57</v>
      </c>
      <c r="K555" s="19" t="s">
        <v>22</v>
      </c>
      <c r="L555" s="19" t="s">
        <v>45</v>
      </c>
      <c r="M555" s="8">
        <v>5</v>
      </c>
      <c r="N555" s="33">
        <f t="shared" si="64"/>
        <v>1.2406947890818858</v>
      </c>
      <c r="O555" s="23">
        <f t="shared" si="65"/>
        <v>2.8995037220843668E-2</v>
      </c>
      <c r="P555" s="59">
        <f t="shared" si="66"/>
        <v>1.7512602120632714E-2</v>
      </c>
      <c r="Q555" s="30">
        <f t="shared" si="67"/>
        <v>2.3369999999999998E-2</v>
      </c>
      <c r="R555" s="30">
        <f t="shared" si="68"/>
        <v>4.0034231921266583</v>
      </c>
      <c r="S555" s="12">
        <f t="shared" si="69"/>
        <v>5.0034231921266583</v>
      </c>
      <c r="T555" s="30">
        <f t="shared" si="70"/>
        <v>0.1450744416873449</v>
      </c>
      <c r="U555" s="9" t="str">
        <f t="shared" si="71"/>
        <v>55+</v>
      </c>
    </row>
    <row r="556" spans="1:21">
      <c r="A556" t="s">
        <v>588</v>
      </c>
      <c r="B556" s="8">
        <v>4137</v>
      </c>
      <c r="C556" s="23">
        <v>9.2499999999999995E-3</v>
      </c>
      <c r="D556" s="19" t="s">
        <v>40</v>
      </c>
      <c r="E556" s="21">
        <v>94.248999999999995</v>
      </c>
      <c r="F556" s="21">
        <v>9.2460000000000004</v>
      </c>
      <c r="G556" s="23">
        <v>0</v>
      </c>
      <c r="H556" s="26">
        <v>0</v>
      </c>
      <c r="I556" s="19" t="s">
        <v>17</v>
      </c>
      <c r="J556" s="8">
        <v>55</v>
      </c>
      <c r="K556" s="19" t="s">
        <v>18</v>
      </c>
      <c r="L556" s="19" t="s">
        <v>45</v>
      </c>
      <c r="M556" s="8">
        <v>4</v>
      </c>
      <c r="N556" s="33">
        <f t="shared" si="64"/>
        <v>0</v>
      </c>
      <c r="O556" s="23">
        <f t="shared" si="65"/>
        <v>1.0004326195111398E-3</v>
      </c>
      <c r="P556" s="59">
        <f t="shared" si="66"/>
        <v>9.8101836624261279E-2</v>
      </c>
      <c r="Q556" s="30">
        <f t="shared" si="67"/>
        <v>0</v>
      </c>
      <c r="R556" s="30">
        <f t="shared" si="68"/>
        <v>-1</v>
      </c>
      <c r="S556" s="12">
        <f t="shared" si="69"/>
        <v>0</v>
      </c>
      <c r="T556" s="30">
        <f t="shared" si="70"/>
        <v>0</v>
      </c>
      <c r="U556" s="9" t="str">
        <f t="shared" si="71"/>
        <v>55+</v>
      </c>
    </row>
    <row r="557" spans="1:21">
      <c r="A557" t="s">
        <v>589</v>
      </c>
      <c r="B557" s="8">
        <v>6698</v>
      </c>
      <c r="C557" s="23">
        <v>0</v>
      </c>
      <c r="D557" s="19" t="s">
        <v>25</v>
      </c>
      <c r="E557" s="21">
        <v>6.4889999999999999</v>
      </c>
      <c r="F557" s="21">
        <v>7.48</v>
      </c>
      <c r="G557" s="23">
        <v>0</v>
      </c>
      <c r="H557" s="26">
        <v>0</v>
      </c>
      <c r="I557" s="19" t="s">
        <v>26</v>
      </c>
      <c r="J557" s="8">
        <v>50</v>
      </c>
      <c r="K557" s="19" t="s">
        <v>37</v>
      </c>
      <c r="L557" s="19" t="s">
        <v>45</v>
      </c>
      <c r="M557" s="8">
        <v>1</v>
      </c>
      <c r="N557" s="33">
        <f t="shared" si="64"/>
        <v>0</v>
      </c>
      <c r="O557" s="23">
        <f t="shared" si="65"/>
        <v>0</v>
      </c>
      <c r="P557" s="59">
        <f t="shared" si="66"/>
        <v>1.152719987671444</v>
      </c>
      <c r="Q557" s="30">
        <f t="shared" si="67"/>
        <v>0</v>
      </c>
      <c r="R557" s="30">
        <f t="shared" si="68"/>
        <v>0</v>
      </c>
      <c r="S557" s="12">
        <f t="shared" si="69"/>
        <v>0</v>
      </c>
      <c r="T557" s="30">
        <f t="shared" si="70"/>
        <v>0</v>
      </c>
      <c r="U557" s="9" t="str">
        <f t="shared" si="71"/>
        <v>45-54</v>
      </c>
    </row>
    <row r="558" spans="1:21">
      <c r="A558" t="s">
        <v>590</v>
      </c>
      <c r="B558" s="8">
        <v>3776</v>
      </c>
      <c r="C558" s="23">
        <v>0</v>
      </c>
      <c r="D558" s="19" t="s">
        <v>28</v>
      </c>
      <c r="E558" s="21">
        <v>1.3919999999999999</v>
      </c>
      <c r="F558" s="21">
        <v>5.3650000000000002</v>
      </c>
      <c r="G558" s="23">
        <v>0</v>
      </c>
      <c r="H558" s="26">
        <v>0</v>
      </c>
      <c r="I558" s="19" t="s">
        <v>26</v>
      </c>
      <c r="J558" s="8">
        <v>19</v>
      </c>
      <c r="K558" s="19" t="s">
        <v>37</v>
      </c>
      <c r="L558" s="19" t="s">
        <v>32</v>
      </c>
      <c r="M558" s="8">
        <v>1</v>
      </c>
      <c r="N558" s="33">
        <f t="shared" si="64"/>
        <v>0</v>
      </c>
      <c r="O558" s="23">
        <f t="shared" si="65"/>
        <v>0</v>
      </c>
      <c r="P558" s="59">
        <f t="shared" si="66"/>
        <v>3.854166666666667</v>
      </c>
      <c r="Q558" s="30">
        <f t="shared" si="67"/>
        <v>0</v>
      </c>
      <c r="R558" s="30">
        <f t="shared" si="68"/>
        <v>0</v>
      </c>
      <c r="S558" s="12">
        <f t="shared" si="69"/>
        <v>0</v>
      </c>
      <c r="T558" s="30">
        <f t="shared" si="70"/>
        <v>0</v>
      </c>
      <c r="U558" s="9" t="str">
        <f t="shared" si="71"/>
        <v>18-24</v>
      </c>
    </row>
    <row r="559" spans="1:21">
      <c r="A559" t="s">
        <v>591</v>
      </c>
      <c r="B559" s="8">
        <v>4024</v>
      </c>
      <c r="C559" s="23">
        <v>0</v>
      </c>
      <c r="D559" s="19" t="s">
        <v>45</v>
      </c>
      <c r="E559" s="21">
        <v>77.905000000000001</v>
      </c>
      <c r="F559" s="21">
        <v>1.665</v>
      </c>
      <c r="G559" s="23">
        <v>0</v>
      </c>
      <c r="H559" s="26">
        <v>0</v>
      </c>
      <c r="I559" s="19" t="s">
        <v>1067</v>
      </c>
      <c r="J559" s="8">
        <v>59</v>
      </c>
      <c r="K559" s="19" t="s">
        <v>37</v>
      </c>
      <c r="L559" s="19" t="s">
        <v>38</v>
      </c>
      <c r="M559" s="8">
        <v>3</v>
      </c>
      <c r="N559" s="33">
        <f t="shared" si="64"/>
        <v>0</v>
      </c>
      <c r="O559" s="23">
        <f t="shared" si="65"/>
        <v>0</v>
      </c>
      <c r="P559" s="59">
        <f t="shared" si="66"/>
        <v>2.1372184070342082E-2</v>
      </c>
      <c r="Q559" s="30">
        <f t="shared" si="67"/>
        <v>0</v>
      </c>
      <c r="R559" s="30">
        <f t="shared" si="68"/>
        <v>0</v>
      </c>
      <c r="S559" s="12">
        <f t="shared" si="69"/>
        <v>0</v>
      </c>
      <c r="T559" s="30">
        <f t="shared" si="70"/>
        <v>0</v>
      </c>
      <c r="U559" s="9" t="str">
        <f t="shared" si="71"/>
        <v>55+</v>
      </c>
    </row>
    <row r="560" spans="1:21">
      <c r="A560" t="s">
        <v>592</v>
      </c>
      <c r="B560" s="8">
        <v>5311</v>
      </c>
      <c r="C560" s="23">
        <v>0.14221</v>
      </c>
      <c r="D560" s="19" t="s">
        <v>32</v>
      </c>
      <c r="E560" s="21">
        <v>55.459000000000003</v>
      </c>
      <c r="F560" s="21">
        <v>1.1739999999999999</v>
      </c>
      <c r="G560" s="23">
        <v>0.38582</v>
      </c>
      <c r="H560" s="26">
        <v>1</v>
      </c>
      <c r="I560" s="19" t="s">
        <v>34</v>
      </c>
      <c r="J560" s="8">
        <v>30</v>
      </c>
      <c r="K560" s="19" t="s">
        <v>22</v>
      </c>
      <c r="L560" s="19" t="s">
        <v>32</v>
      </c>
      <c r="M560" s="8">
        <v>4</v>
      </c>
      <c r="N560" s="33">
        <f t="shared" si="64"/>
        <v>0.85178875638841567</v>
      </c>
      <c r="O560" s="23">
        <f t="shared" si="65"/>
        <v>0.12113287904599661</v>
      </c>
      <c r="P560" s="59">
        <f t="shared" si="66"/>
        <v>2.1168791359382603E-2</v>
      </c>
      <c r="Q560" s="30">
        <f t="shared" si="67"/>
        <v>0.14221</v>
      </c>
      <c r="R560" s="30">
        <f t="shared" si="68"/>
        <v>1.7130300260178608</v>
      </c>
      <c r="S560" s="12">
        <f t="shared" si="69"/>
        <v>2.713030026017861</v>
      </c>
      <c r="T560" s="30">
        <f t="shared" si="70"/>
        <v>0.32863713798977856</v>
      </c>
      <c r="U560" s="9" t="str">
        <f t="shared" si="71"/>
        <v>25-34</v>
      </c>
    </row>
    <row r="561" spans="1:21">
      <c r="A561" t="s">
        <v>593</v>
      </c>
      <c r="B561" s="8">
        <v>2415</v>
      </c>
      <c r="C561" s="23">
        <v>3.245E-2</v>
      </c>
      <c r="D561" s="19" t="s">
        <v>40</v>
      </c>
      <c r="E561" s="21">
        <v>38.698999999999998</v>
      </c>
      <c r="F561" s="21">
        <v>2.3650000000000002</v>
      </c>
      <c r="G561" s="23">
        <v>0</v>
      </c>
      <c r="H561" s="26">
        <v>0</v>
      </c>
      <c r="I561" s="19" t="s">
        <v>21</v>
      </c>
      <c r="J561" s="8">
        <v>34</v>
      </c>
      <c r="K561" s="19" t="s">
        <v>31</v>
      </c>
      <c r="L561" s="19" t="s">
        <v>23</v>
      </c>
      <c r="M561" s="8">
        <v>1</v>
      </c>
      <c r="N561" s="33">
        <f t="shared" si="64"/>
        <v>0</v>
      </c>
      <c r="O561" s="23">
        <f t="shared" si="65"/>
        <v>1.3720930232558139E-2</v>
      </c>
      <c r="P561" s="59">
        <f t="shared" si="66"/>
        <v>6.1112690250394078E-2</v>
      </c>
      <c r="Q561" s="30">
        <f t="shared" si="67"/>
        <v>0</v>
      </c>
      <c r="R561" s="30">
        <f t="shared" si="68"/>
        <v>-1</v>
      </c>
      <c r="S561" s="12">
        <f t="shared" si="69"/>
        <v>0</v>
      </c>
      <c r="T561" s="30">
        <f t="shared" si="70"/>
        <v>0</v>
      </c>
      <c r="U561" s="9" t="str">
        <f t="shared" si="71"/>
        <v>25-34</v>
      </c>
    </row>
    <row r="562" spans="1:21">
      <c r="A562" t="s">
        <v>594</v>
      </c>
      <c r="B562" s="8">
        <v>4253</v>
      </c>
      <c r="C562" s="23">
        <v>0.11649</v>
      </c>
      <c r="D562" s="19" t="s">
        <v>28</v>
      </c>
      <c r="E562" s="21">
        <v>62.94</v>
      </c>
      <c r="F562" s="21">
        <v>2.8239999999999998</v>
      </c>
      <c r="G562" s="23">
        <v>0</v>
      </c>
      <c r="H562" s="26">
        <v>0</v>
      </c>
      <c r="I562" s="19" t="s">
        <v>17</v>
      </c>
      <c r="J562" s="8">
        <v>41</v>
      </c>
      <c r="K562" s="19" t="s">
        <v>22</v>
      </c>
      <c r="L562" s="19" t="s">
        <v>32</v>
      </c>
      <c r="M562" s="8" t="s">
        <v>1065</v>
      </c>
      <c r="N562" s="33">
        <f t="shared" si="64"/>
        <v>0</v>
      </c>
      <c r="O562" s="23">
        <f t="shared" si="65"/>
        <v>4.1250000000000002E-2</v>
      </c>
      <c r="P562" s="59">
        <f t="shared" si="66"/>
        <v>4.4868128376231331E-2</v>
      </c>
      <c r="Q562" s="30">
        <f t="shared" si="67"/>
        <v>0</v>
      </c>
      <c r="R562" s="30">
        <f t="shared" si="68"/>
        <v>-1</v>
      </c>
      <c r="S562" s="12">
        <f t="shared" si="69"/>
        <v>0</v>
      </c>
      <c r="T562" s="30">
        <f t="shared" si="70"/>
        <v>0</v>
      </c>
      <c r="U562" s="9" t="str">
        <f t="shared" si="71"/>
        <v>35-44</v>
      </c>
    </row>
    <row r="563" spans="1:21">
      <c r="A563" t="s">
        <v>595</v>
      </c>
      <c r="B563" s="8">
        <v>6718</v>
      </c>
      <c r="C563" s="23">
        <v>5.3699999999999998E-2</v>
      </c>
      <c r="D563" s="19" t="s">
        <v>40</v>
      </c>
      <c r="E563" s="21">
        <v>42.399000000000001</v>
      </c>
      <c r="F563" s="21">
        <v>7.3029999999999999</v>
      </c>
      <c r="G563" s="23">
        <v>0</v>
      </c>
      <c r="H563" s="26">
        <v>0</v>
      </c>
      <c r="I563" s="19" t="s">
        <v>34</v>
      </c>
      <c r="J563" s="8">
        <v>45</v>
      </c>
      <c r="K563" s="19" t="s">
        <v>22</v>
      </c>
      <c r="L563" s="19" t="s">
        <v>23</v>
      </c>
      <c r="M563" s="8">
        <v>4</v>
      </c>
      <c r="N563" s="33">
        <f t="shared" si="64"/>
        <v>0</v>
      </c>
      <c r="O563" s="23">
        <f t="shared" si="65"/>
        <v>7.3531425441599341E-3</v>
      </c>
      <c r="P563" s="59">
        <f t="shared" si="66"/>
        <v>0.17224462841104743</v>
      </c>
      <c r="Q563" s="30">
        <f t="shared" si="67"/>
        <v>0</v>
      </c>
      <c r="R563" s="30">
        <f t="shared" si="68"/>
        <v>-1</v>
      </c>
      <c r="S563" s="12">
        <f t="shared" si="69"/>
        <v>0</v>
      </c>
      <c r="T563" s="30">
        <f t="shared" si="70"/>
        <v>0</v>
      </c>
      <c r="U563" s="9" t="str">
        <f t="shared" si="71"/>
        <v>45-54</v>
      </c>
    </row>
    <row r="564" spans="1:21">
      <c r="A564" t="s">
        <v>596</v>
      </c>
      <c r="B564" s="8">
        <v>2012</v>
      </c>
      <c r="C564" s="23">
        <v>0.17175000000000001</v>
      </c>
      <c r="D564" s="19" t="s">
        <v>40</v>
      </c>
      <c r="E564" s="21">
        <v>23.905000000000001</v>
      </c>
      <c r="F564" s="21">
        <v>3.7549999999999999</v>
      </c>
      <c r="G564" s="23">
        <v>0</v>
      </c>
      <c r="H564" s="26">
        <v>0</v>
      </c>
      <c r="I564" s="19" t="s">
        <v>21</v>
      </c>
      <c r="J564" s="8">
        <v>50</v>
      </c>
      <c r="K564" s="19" t="s">
        <v>18</v>
      </c>
      <c r="L564" s="19" t="s">
        <v>19</v>
      </c>
      <c r="M564" s="8">
        <v>1</v>
      </c>
      <c r="N564" s="33">
        <f t="shared" si="64"/>
        <v>0</v>
      </c>
      <c r="O564" s="23">
        <f t="shared" si="65"/>
        <v>4.5739014647137158E-2</v>
      </c>
      <c r="P564" s="59">
        <f t="shared" si="66"/>
        <v>0.15708010876385692</v>
      </c>
      <c r="Q564" s="30">
        <f t="shared" si="67"/>
        <v>0</v>
      </c>
      <c r="R564" s="30">
        <f t="shared" si="68"/>
        <v>-1</v>
      </c>
      <c r="S564" s="12">
        <f t="shared" si="69"/>
        <v>0</v>
      </c>
      <c r="T564" s="30">
        <f t="shared" si="70"/>
        <v>0</v>
      </c>
      <c r="U564" s="9" t="str">
        <f t="shared" si="71"/>
        <v>45-54</v>
      </c>
    </row>
    <row r="565" spans="1:21">
      <c r="A565" t="s">
        <v>597</v>
      </c>
      <c r="B565" s="8">
        <v>8988</v>
      </c>
      <c r="C565" s="23">
        <v>7.7399999999999997E-2</v>
      </c>
      <c r="D565" s="19" t="s">
        <v>32</v>
      </c>
      <c r="E565" s="21">
        <v>68.832999999999998</v>
      </c>
      <c r="F565" s="21">
        <v>2.2959999999999998</v>
      </c>
      <c r="G565" s="23">
        <v>0</v>
      </c>
      <c r="H565" s="26">
        <v>0</v>
      </c>
      <c r="I565" s="19" t="s">
        <v>26</v>
      </c>
      <c r="J565" s="8">
        <v>45</v>
      </c>
      <c r="K565" s="19" t="s">
        <v>18</v>
      </c>
      <c r="L565" s="19" t="s">
        <v>23</v>
      </c>
      <c r="M565" s="8">
        <v>5</v>
      </c>
      <c r="N565" s="33">
        <f t="shared" si="64"/>
        <v>0</v>
      </c>
      <c r="O565" s="23">
        <f t="shared" si="65"/>
        <v>3.3710801393728222E-2</v>
      </c>
      <c r="P565" s="59">
        <f t="shared" si="66"/>
        <v>3.3356093734110089E-2</v>
      </c>
      <c r="Q565" s="30">
        <f t="shared" si="67"/>
        <v>0</v>
      </c>
      <c r="R565" s="30">
        <f t="shared" si="68"/>
        <v>-1</v>
      </c>
      <c r="S565" s="12">
        <f t="shared" si="69"/>
        <v>0</v>
      </c>
      <c r="T565" s="30">
        <f t="shared" si="70"/>
        <v>0</v>
      </c>
      <c r="U565" s="9" t="str">
        <f t="shared" si="71"/>
        <v>45-54</v>
      </c>
    </row>
    <row r="566" spans="1:21">
      <c r="A566" t="s">
        <v>598</v>
      </c>
      <c r="B566" s="8">
        <v>8344</v>
      </c>
      <c r="C566" s="23">
        <v>0.17796999999999999</v>
      </c>
      <c r="D566" s="19" t="s">
        <v>45</v>
      </c>
      <c r="E566" s="21">
        <v>67.003</v>
      </c>
      <c r="F566" s="21">
        <v>8.7769999999999992</v>
      </c>
      <c r="G566" s="23">
        <v>0.15765999999999999</v>
      </c>
      <c r="H566" s="26">
        <v>1</v>
      </c>
      <c r="I566" s="19" t="s">
        <v>26</v>
      </c>
      <c r="J566" s="8">
        <v>60</v>
      </c>
      <c r="K566" s="19" t="s">
        <v>22</v>
      </c>
      <c r="L566" s="19" t="s">
        <v>23</v>
      </c>
      <c r="M566" s="8" t="s">
        <v>1065</v>
      </c>
      <c r="N566" s="33">
        <f t="shared" si="64"/>
        <v>0.11393414606357527</v>
      </c>
      <c r="O566" s="23">
        <f t="shared" si="65"/>
        <v>2.0276859974934489E-2</v>
      </c>
      <c r="P566" s="59">
        <f t="shared" si="66"/>
        <v>0.13099413459098846</v>
      </c>
      <c r="Q566" s="30">
        <f t="shared" si="67"/>
        <v>0.17796999999999999</v>
      </c>
      <c r="R566" s="30">
        <f t="shared" si="68"/>
        <v>-0.11412035736360059</v>
      </c>
      <c r="S566" s="12">
        <f t="shared" si="69"/>
        <v>0.8858796426363994</v>
      </c>
      <c r="T566" s="30">
        <f t="shared" si="70"/>
        <v>1.7962857468383275E-2</v>
      </c>
      <c r="U566" s="9" t="str">
        <f t="shared" si="71"/>
        <v>55+</v>
      </c>
    </row>
    <row r="567" spans="1:21">
      <c r="A567" t="s">
        <v>599</v>
      </c>
      <c r="B567" s="8">
        <v>7710</v>
      </c>
      <c r="C567" s="23">
        <v>0</v>
      </c>
      <c r="D567" s="19" t="s">
        <v>28</v>
      </c>
      <c r="E567" s="21">
        <v>94.03</v>
      </c>
      <c r="F567" s="21">
        <v>8.3550000000000004</v>
      </c>
      <c r="G567" s="23">
        <v>3.2169999999999997E-2</v>
      </c>
      <c r="H567" s="26">
        <v>1</v>
      </c>
      <c r="I567" s="19" t="s">
        <v>26</v>
      </c>
      <c r="J567" s="8">
        <v>52</v>
      </c>
      <c r="K567" s="19" t="s">
        <v>37</v>
      </c>
      <c r="L567" s="19" t="s">
        <v>45</v>
      </c>
      <c r="M567" s="8">
        <v>4</v>
      </c>
      <c r="N567" s="33">
        <f t="shared" si="64"/>
        <v>0.11968880909634949</v>
      </c>
      <c r="O567" s="23">
        <f t="shared" si="65"/>
        <v>0</v>
      </c>
      <c r="P567" s="59">
        <f t="shared" si="66"/>
        <v>8.8854620865681175E-2</v>
      </c>
      <c r="Q567" s="30">
        <f t="shared" si="67"/>
        <v>0</v>
      </c>
      <c r="R567" s="30">
        <f t="shared" si="68"/>
        <v>0</v>
      </c>
      <c r="S567" s="12" t="e">
        <f t="shared" si="69"/>
        <v>#DIV/0!</v>
      </c>
      <c r="T567" s="30">
        <f t="shared" si="70"/>
        <v>3.8503889886295625E-3</v>
      </c>
      <c r="U567" s="9" t="str">
        <f t="shared" si="71"/>
        <v>45-54</v>
      </c>
    </row>
    <row r="568" spans="1:21">
      <c r="A568" t="s">
        <v>600</v>
      </c>
      <c r="B568" s="8">
        <v>4358</v>
      </c>
      <c r="C568" s="23">
        <v>0</v>
      </c>
      <c r="D568" s="19" t="s">
        <v>15</v>
      </c>
      <c r="E568" s="21">
        <v>25.960999999999999</v>
      </c>
      <c r="F568" s="21">
        <v>7.0110000000000001</v>
      </c>
      <c r="G568" s="23">
        <v>0.28182000000000001</v>
      </c>
      <c r="H568" s="26">
        <v>1</v>
      </c>
      <c r="I568" s="19" t="s">
        <v>17</v>
      </c>
      <c r="J568" s="8">
        <v>56</v>
      </c>
      <c r="K568" s="19" t="s">
        <v>37</v>
      </c>
      <c r="L568" s="19" t="s">
        <v>32</v>
      </c>
      <c r="M568" s="8">
        <v>1</v>
      </c>
      <c r="N568" s="33">
        <f t="shared" si="64"/>
        <v>0.1426330052774212</v>
      </c>
      <c r="O568" s="23">
        <f t="shared" si="65"/>
        <v>0</v>
      </c>
      <c r="P568" s="59">
        <f t="shared" si="66"/>
        <v>0.2700589345556797</v>
      </c>
      <c r="Q568" s="30">
        <f t="shared" si="67"/>
        <v>0</v>
      </c>
      <c r="R568" s="30">
        <f t="shared" si="68"/>
        <v>0</v>
      </c>
      <c r="S568" s="12" t="e">
        <f t="shared" si="69"/>
        <v>#DIV/0!</v>
      </c>
      <c r="T568" s="30">
        <f t="shared" si="70"/>
        <v>4.0196833547282845E-2</v>
      </c>
      <c r="U568" s="9" t="str">
        <f t="shared" si="71"/>
        <v>55+</v>
      </c>
    </row>
    <row r="569" spans="1:21">
      <c r="A569" t="s">
        <v>601</v>
      </c>
      <c r="B569" s="8">
        <v>6208</v>
      </c>
      <c r="C569" s="23">
        <v>0</v>
      </c>
      <c r="D569" s="19" t="s">
        <v>32</v>
      </c>
      <c r="E569" s="21">
        <v>29.690999999999999</v>
      </c>
      <c r="F569" s="21">
        <v>5.7030000000000003</v>
      </c>
      <c r="G569" s="23">
        <v>0.45233000000000001</v>
      </c>
      <c r="H569" s="26">
        <v>1</v>
      </c>
      <c r="I569" s="19" t="s">
        <v>21</v>
      </c>
      <c r="J569" s="8">
        <v>55</v>
      </c>
      <c r="K569" s="19" t="s">
        <v>22</v>
      </c>
      <c r="L569" s="19" t="s">
        <v>19</v>
      </c>
      <c r="M569" s="8" t="s">
        <v>1065</v>
      </c>
      <c r="N569" s="33">
        <f t="shared" si="64"/>
        <v>0.17534630896019637</v>
      </c>
      <c r="O569" s="23">
        <f t="shared" si="65"/>
        <v>0</v>
      </c>
      <c r="P569" s="59">
        <f t="shared" si="66"/>
        <v>0.19207840759826211</v>
      </c>
      <c r="Q569" s="30">
        <f t="shared" si="67"/>
        <v>0</v>
      </c>
      <c r="R569" s="30">
        <f t="shared" si="68"/>
        <v>0</v>
      </c>
      <c r="S569" s="12" t="e">
        <f t="shared" si="69"/>
        <v>#DIV/0!</v>
      </c>
      <c r="T569" s="30">
        <f t="shared" si="70"/>
        <v>7.9314395931965626E-2</v>
      </c>
      <c r="U569" s="9" t="str">
        <f t="shared" si="71"/>
        <v>55+</v>
      </c>
    </row>
    <row r="570" spans="1:21">
      <c r="A570" t="s">
        <v>602</v>
      </c>
      <c r="B570" s="8">
        <v>5756</v>
      </c>
      <c r="C570" s="23">
        <v>0.11318</v>
      </c>
      <c r="D570" s="19" t="s">
        <v>25</v>
      </c>
      <c r="E570" s="21">
        <v>86.066000000000003</v>
      </c>
      <c r="F570" s="21">
        <v>5.0819999999999999</v>
      </c>
      <c r="G570" s="23">
        <v>0</v>
      </c>
      <c r="H570" s="26">
        <v>0</v>
      </c>
      <c r="I570" s="19" t="s">
        <v>1067</v>
      </c>
      <c r="J570" s="8">
        <v>49</v>
      </c>
      <c r="K570" s="19" t="s">
        <v>31</v>
      </c>
      <c r="L570" s="19" t="s">
        <v>32</v>
      </c>
      <c r="M570" s="8">
        <v>4</v>
      </c>
      <c r="N570" s="33">
        <f t="shared" si="64"/>
        <v>0</v>
      </c>
      <c r="O570" s="23">
        <f t="shared" si="65"/>
        <v>2.2270759543486819E-2</v>
      </c>
      <c r="P570" s="59">
        <f t="shared" si="66"/>
        <v>5.9047707573257731E-2</v>
      </c>
      <c r="Q570" s="30">
        <f t="shared" si="67"/>
        <v>0</v>
      </c>
      <c r="R570" s="30">
        <f t="shared" si="68"/>
        <v>-1</v>
      </c>
      <c r="S570" s="12">
        <f t="shared" si="69"/>
        <v>0</v>
      </c>
      <c r="T570" s="30">
        <f t="shared" si="70"/>
        <v>0</v>
      </c>
      <c r="U570" s="9" t="str">
        <f t="shared" si="71"/>
        <v>45-54</v>
      </c>
    </row>
    <row r="571" spans="1:21">
      <c r="A571" t="s">
        <v>603</v>
      </c>
      <c r="B571" s="8">
        <v>7827</v>
      </c>
      <c r="C571" s="23">
        <v>0.19209999999999999</v>
      </c>
      <c r="D571" s="19" t="s">
        <v>25</v>
      </c>
      <c r="E571" s="21">
        <v>5.2939999999999996</v>
      </c>
      <c r="F571" s="21">
        <v>0.104</v>
      </c>
      <c r="G571" s="23">
        <v>0</v>
      </c>
      <c r="H571" s="26">
        <v>0</v>
      </c>
      <c r="I571" s="19" t="s">
        <v>34</v>
      </c>
      <c r="J571" s="8">
        <v>49</v>
      </c>
      <c r="K571" s="19" t="s">
        <v>22</v>
      </c>
      <c r="L571" s="19" t="s">
        <v>38</v>
      </c>
      <c r="M571" s="8">
        <v>1</v>
      </c>
      <c r="N571" s="33">
        <f t="shared" si="64"/>
        <v>0</v>
      </c>
      <c r="O571" s="23">
        <f t="shared" si="65"/>
        <v>1.8471153846153847</v>
      </c>
      <c r="P571" s="59">
        <f t="shared" si="66"/>
        <v>1.9644880997355497E-2</v>
      </c>
      <c r="Q571" s="30">
        <f t="shared" si="67"/>
        <v>0</v>
      </c>
      <c r="R571" s="30">
        <f t="shared" si="68"/>
        <v>-1</v>
      </c>
      <c r="S571" s="12">
        <f t="shared" si="69"/>
        <v>0</v>
      </c>
      <c r="T571" s="30">
        <f t="shared" si="70"/>
        <v>0</v>
      </c>
      <c r="U571" s="9" t="str">
        <f t="shared" si="71"/>
        <v>45-54</v>
      </c>
    </row>
    <row r="572" spans="1:21">
      <c r="A572" t="s">
        <v>604</v>
      </c>
      <c r="B572" s="8">
        <v>8222</v>
      </c>
      <c r="C572" s="23">
        <v>4.199E-2</v>
      </c>
      <c r="D572" s="19" t="s">
        <v>25</v>
      </c>
      <c r="E572" s="21">
        <v>70.183999999999997</v>
      </c>
      <c r="F572" s="21">
        <v>5.1260000000000003</v>
      </c>
      <c r="G572" s="23">
        <v>0.12917000000000001</v>
      </c>
      <c r="H572" s="26">
        <v>1</v>
      </c>
      <c r="I572" s="19" t="s">
        <v>29</v>
      </c>
      <c r="J572" s="8">
        <v>57</v>
      </c>
      <c r="K572" s="19" t="s">
        <v>37</v>
      </c>
      <c r="L572" s="19" t="s">
        <v>32</v>
      </c>
      <c r="M572" s="8">
        <v>2</v>
      </c>
      <c r="N572" s="33">
        <f t="shared" si="64"/>
        <v>0.19508388607101051</v>
      </c>
      <c r="O572" s="23">
        <f t="shared" si="65"/>
        <v>8.1915723761217321E-3</v>
      </c>
      <c r="P572" s="59">
        <f t="shared" si="66"/>
        <v>7.3036589536076613E-2</v>
      </c>
      <c r="Q572" s="30">
        <f t="shared" si="67"/>
        <v>4.199E-2</v>
      </c>
      <c r="R572" s="30">
        <f t="shared" si="68"/>
        <v>2.0762086211002622</v>
      </c>
      <c r="S572" s="12">
        <f t="shared" si="69"/>
        <v>3.0762086211002622</v>
      </c>
      <c r="T572" s="30">
        <f t="shared" si="70"/>
        <v>2.519898556379243E-2</v>
      </c>
      <c r="U572" s="9" t="str">
        <f t="shared" si="71"/>
        <v>55+</v>
      </c>
    </row>
    <row r="573" spans="1:21">
      <c r="A573" t="s">
        <v>605</v>
      </c>
      <c r="B573" s="8">
        <v>5150</v>
      </c>
      <c r="C573" s="23">
        <v>0</v>
      </c>
      <c r="D573" s="19" t="s">
        <v>45</v>
      </c>
      <c r="E573" s="21">
        <v>76.692999999999998</v>
      </c>
      <c r="F573" s="21">
        <v>6.1079999999999997</v>
      </c>
      <c r="G573" s="23">
        <v>0.11731999999999999</v>
      </c>
      <c r="H573" s="26">
        <v>1</v>
      </c>
      <c r="I573" s="19" t="s">
        <v>34</v>
      </c>
      <c r="J573" s="8">
        <v>38</v>
      </c>
      <c r="K573" s="19" t="s">
        <v>18</v>
      </c>
      <c r="L573" s="19" t="s">
        <v>32</v>
      </c>
      <c r="M573" s="8">
        <v>5</v>
      </c>
      <c r="N573" s="33">
        <f t="shared" si="64"/>
        <v>0.16371971185330714</v>
      </c>
      <c r="O573" s="23">
        <f t="shared" si="65"/>
        <v>0</v>
      </c>
      <c r="P573" s="59">
        <f t="shared" si="66"/>
        <v>7.9642209849660334E-2</v>
      </c>
      <c r="Q573" s="30">
        <f t="shared" si="67"/>
        <v>0</v>
      </c>
      <c r="R573" s="30">
        <f t="shared" si="68"/>
        <v>0</v>
      </c>
      <c r="S573" s="12" t="e">
        <f t="shared" si="69"/>
        <v>#DIV/0!</v>
      </c>
      <c r="T573" s="30">
        <f t="shared" si="70"/>
        <v>1.9207596594629995E-2</v>
      </c>
      <c r="U573" s="9" t="str">
        <f t="shared" si="71"/>
        <v>35-44</v>
      </c>
    </row>
    <row r="574" spans="1:21">
      <c r="A574" t="s">
        <v>606</v>
      </c>
      <c r="B574" s="8">
        <v>5787</v>
      </c>
      <c r="C574" s="23">
        <v>0.19098999999999999</v>
      </c>
      <c r="D574" s="19" t="s">
        <v>45</v>
      </c>
      <c r="E574" s="21">
        <v>2.5369999999999999</v>
      </c>
      <c r="F574" s="21">
        <v>0.19500000000000001</v>
      </c>
      <c r="G574" s="23">
        <v>0</v>
      </c>
      <c r="H574" s="26">
        <v>0</v>
      </c>
      <c r="I574" s="19" t="s">
        <v>34</v>
      </c>
      <c r="J574" s="8">
        <v>41</v>
      </c>
      <c r="K574" s="19" t="s">
        <v>31</v>
      </c>
      <c r="L574" s="19" t="s">
        <v>38</v>
      </c>
      <c r="M574" s="8">
        <v>4</v>
      </c>
      <c r="N574" s="33">
        <f t="shared" si="64"/>
        <v>0</v>
      </c>
      <c r="O574" s="23">
        <f t="shared" si="65"/>
        <v>0.97943589743589732</v>
      </c>
      <c r="P574" s="59">
        <f t="shared" si="66"/>
        <v>7.6862435947970043E-2</v>
      </c>
      <c r="Q574" s="30">
        <f t="shared" si="67"/>
        <v>0</v>
      </c>
      <c r="R574" s="30">
        <f t="shared" si="68"/>
        <v>-1</v>
      </c>
      <c r="S574" s="12">
        <f t="shared" si="69"/>
        <v>0</v>
      </c>
      <c r="T574" s="30">
        <f t="shared" si="70"/>
        <v>0</v>
      </c>
      <c r="U574" s="9" t="str">
        <f t="shared" si="71"/>
        <v>35-44</v>
      </c>
    </row>
    <row r="575" spans="1:21">
      <c r="A575" t="s">
        <v>607</v>
      </c>
      <c r="B575" s="8">
        <v>8343</v>
      </c>
      <c r="C575" s="23">
        <v>0</v>
      </c>
      <c r="D575" s="19" t="s">
        <v>40</v>
      </c>
      <c r="E575" s="21">
        <v>84.466999999999999</v>
      </c>
      <c r="F575" s="21">
        <v>4.0060000000000002</v>
      </c>
      <c r="G575" s="23">
        <v>0.43908999999999998</v>
      </c>
      <c r="H575" s="26">
        <v>1</v>
      </c>
      <c r="I575" s="19" t="s">
        <v>29</v>
      </c>
      <c r="J575" s="8">
        <v>59</v>
      </c>
      <c r="K575" s="19" t="s">
        <v>18</v>
      </c>
      <c r="L575" s="19" t="s">
        <v>19</v>
      </c>
      <c r="M575" s="8">
        <v>2</v>
      </c>
      <c r="N575" s="33">
        <f t="shared" si="64"/>
        <v>0.24962556165751371</v>
      </c>
      <c r="O575" s="23">
        <f t="shared" si="65"/>
        <v>0</v>
      </c>
      <c r="P575" s="59">
        <f t="shared" si="66"/>
        <v>4.7426805734784E-2</v>
      </c>
      <c r="Q575" s="30">
        <f t="shared" si="67"/>
        <v>0</v>
      </c>
      <c r="R575" s="30">
        <f t="shared" si="68"/>
        <v>0</v>
      </c>
      <c r="S575" s="12" t="e">
        <f t="shared" si="69"/>
        <v>#DIV/0!</v>
      </c>
      <c r="T575" s="30">
        <f t="shared" si="70"/>
        <v>0.10960808786819769</v>
      </c>
      <c r="U575" s="9" t="str">
        <f t="shared" si="71"/>
        <v>55+</v>
      </c>
    </row>
    <row r="576" spans="1:21">
      <c r="A576" t="s">
        <v>608</v>
      </c>
      <c r="B576" s="8">
        <v>6647</v>
      </c>
      <c r="C576" s="23">
        <v>0.14817</v>
      </c>
      <c r="D576" s="19" t="s">
        <v>32</v>
      </c>
      <c r="E576" s="21">
        <v>25.373999999999999</v>
      </c>
      <c r="F576" s="21">
        <v>9.1080000000000005</v>
      </c>
      <c r="G576" s="23">
        <v>0</v>
      </c>
      <c r="H576" s="26">
        <v>0</v>
      </c>
      <c r="I576" s="19" t="s">
        <v>17</v>
      </c>
      <c r="J576" s="8">
        <v>58</v>
      </c>
      <c r="K576" s="19" t="s">
        <v>22</v>
      </c>
      <c r="L576" s="19" t="s">
        <v>45</v>
      </c>
      <c r="M576" s="8">
        <v>3</v>
      </c>
      <c r="N576" s="33">
        <f t="shared" si="64"/>
        <v>0</v>
      </c>
      <c r="O576" s="23">
        <f t="shared" si="65"/>
        <v>1.6268115942028986E-2</v>
      </c>
      <c r="P576" s="59">
        <f t="shared" si="66"/>
        <v>0.35895010640813435</v>
      </c>
      <c r="Q576" s="30">
        <f t="shared" si="67"/>
        <v>0</v>
      </c>
      <c r="R576" s="30">
        <f t="shared" si="68"/>
        <v>-1</v>
      </c>
      <c r="S576" s="12">
        <f t="shared" si="69"/>
        <v>0</v>
      </c>
      <c r="T576" s="30">
        <f t="shared" si="70"/>
        <v>0</v>
      </c>
      <c r="U576" s="9" t="str">
        <f t="shared" si="71"/>
        <v>55+</v>
      </c>
    </row>
    <row r="577" spans="1:21">
      <c r="A577" t="s">
        <v>609</v>
      </c>
      <c r="B577" s="8">
        <v>9629</v>
      </c>
      <c r="C577" s="23">
        <v>0.11944</v>
      </c>
      <c r="D577" s="19" t="s">
        <v>32</v>
      </c>
      <c r="E577" s="21">
        <v>89.45</v>
      </c>
      <c r="F577" s="21">
        <v>5.1589999999999998</v>
      </c>
      <c r="G577" s="23">
        <v>0</v>
      </c>
      <c r="H577" s="26">
        <v>0</v>
      </c>
      <c r="I577" s="19" t="s">
        <v>17</v>
      </c>
      <c r="J577" s="8">
        <v>45</v>
      </c>
      <c r="K577" s="19" t="s">
        <v>31</v>
      </c>
      <c r="L577" s="19" t="s">
        <v>23</v>
      </c>
      <c r="M577" s="8">
        <v>5</v>
      </c>
      <c r="N577" s="33">
        <f t="shared" si="64"/>
        <v>0</v>
      </c>
      <c r="O577" s="23">
        <f t="shared" si="65"/>
        <v>2.3151773599534794E-2</v>
      </c>
      <c r="P577" s="59">
        <f t="shared" si="66"/>
        <v>5.7674678591391838E-2</v>
      </c>
      <c r="Q577" s="30">
        <f t="shared" si="67"/>
        <v>0</v>
      </c>
      <c r="R577" s="30">
        <f t="shared" si="68"/>
        <v>-1</v>
      </c>
      <c r="S577" s="12">
        <f t="shared" si="69"/>
        <v>0</v>
      </c>
      <c r="T577" s="30">
        <f t="shared" si="70"/>
        <v>0</v>
      </c>
      <c r="U577" s="9" t="str">
        <f t="shared" si="71"/>
        <v>45-54</v>
      </c>
    </row>
    <row r="578" spans="1:21">
      <c r="A578" t="s">
        <v>610</v>
      </c>
      <c r="B578" s="8">
        <v>2524</v>
      </c>
      <c r="C578" s="23">
        <v>3.8460000000000001E-2</v>
      </c>
      <c r="D578" s="19" t="s">
        <v>40</v>
      </c>
      <c r="E578" s="21">
        <v>72.097999999999999</v>
      </c>
      <c r="F578" s="21">
        <v>2.5779999999999998</v>
      </c>
      <c r="G578" s="23">
        <v>0</v>
      </c>
      <c r="H578" s="26">
        <v>0</v>
      </c>
      <c r="I578" s="19" t="s">
        <v>21</v>
      </c>
      <c r="J578" s="8">
        <v>62</v>
      </c>
      <c r="K578" s="19" t="s">
        <v>31</v>
      </c>
      <c r="L578" s="19" t="s">
        <v>19</v>
      </c>
      <c r="M578" s="8">
        <v>2</v>
      </c>
      <c r="N578" s="33">
        <f t="shared" ref="N578:N641" si="72">IF(F578=0,0,H578/F578)</f>
        <v>0</v>
      </c>
      <c r="O578" s="23">
        <f t="shared" ref="O578:O641" si="73">IF(F578=0,0,C578/F578)</f>
        <v>1.491854150504267E-2</v>
      </c>
      <c r="P578" s="59">
        <f t="shared" ref="P578:P641" si="74">IF(E578=0,0,F578/E578)</f>
        <v>3.5756886460095977E-2</v>
      </c>
      <c r="Q578" s="30">
        <f t="shared" ref="Q578:Q641" si="75">IF(H578=0,0,C578/H578)</f>
        <v>0</v>
      </c>
      <c r="R578" s="30">
        <f t="shared" ref="R578:R641" si="76">IF(C578=0,0,(G578-C578)/C578)</f>
        <v>-1</v>
      </c>
      <c r="S578" s="12">
        <f t="shared" ref="S578:S641" si="77">IF(G578=0,0,G578/C578)</f>
        <v>0</v>
      </c>
      <c r="T578" s="30">
        <f t="shared" ref="T578:T641" si="78">IF(F578=0,0,G578/F578)</f>
        <v>0</v>
      </c>
      <c r="U578" s="9" t="str">
        <f t="shared" si="71"/>
        <v>55+</v>
      </c>
    </row>
    <row r="579" spans="1:21">
      <c r="A579" t="s">
        <v>611</v>
      </c>
      <c r="B579" s="8">
        <v>8989</v>
      </c>
      <c r="C579" s="23">
        <v>8.9480000000000004E-2</v>
      </c>
      <c r="D579" s="19" t="s">
        <v>25</v>
      </c>
      <c r="E579" s="21">
        <v>83.856999999999999</v>
      </c>
      <c r="F579" s="21">
        <v>1.542</v>
      </c>
      <c r="G579" s="23">
        <v>0</v>
      </c>
      <c r="H579" s="26">
        <v>0</v>
      </c>
      <c r="I579" s="19" t="s">
        <v>29</v>
      </c>
      <c r="J579" s="8">
        <v>41</v>
      </c>
      <c r="K579" s="19" t="s">
        <v>31</v>
      </c>
      <c r="L579" s="19" t="s">
        <v>45</v>
      </c>
      <c r="M579" s="8">
        <v>1</v>
      </c>
      <c r="N579" s="33">
        <f t="shared" si="72"/>
        <v>0</v>
      </c>
      <c r="O579" s="23">
        <f t="shared" si="73"/>
        <v>5.8028534370946822E-2</v>
      </c>
      <c r="P579" s="59">
        <f t="shared" si="74"/>
        <v>1.8388446999057919E-2</v>
      </c>
      <c r="Q579" s="30">
        <f t="shared" si="75"/>
        <v>0</v>
      </c>
      <c r="R579" s="30">
        <f t="shared" si="76"/>
        <v>-1</v>
      </c>
      <c r="S579" s="12">
        <f t="shared" si="77"/>
        <v>0</v>
      </c>
      <c r="T579" s="30">
        <f t="shared" si="78"/>
        <v>0</v>
      </c>
      <c r="U579" s="9" t="str">
        <f t="shared" ref="U579:U642" si="79">IF(J579&lt;25,"18-24",IF(J579&lt;35,"25-34",IF(J579&lt;45,"35-44",IF(J579&lt;55,"45-54","55+"))))</f>
        <v>35-44</v>
      </c>
    </row>
    <row r="580" spans="1:21">
      <c r="A580" t="s">
        <v>612</v>
      </c>
      <c r="B580" s="8">
        <v>5269</v>
      </c>
      <c r="C580" s="23">
        <v>0.14926</v>
      </c>
      <c r="D580" s="19" t="s">
        <v>45</v>
      </c>
      <c r="E580" s="21">
        <v>63.594999999999999</v>
      </c>
      <c r="F580" s="21">
        <v>1.3680000000000001</v>
      </c>
      <c r="G580" s="23">
        <v>0.38851999999999998</v>
      </c>
      <c r="H580" s="26">
        <v>1</v>
      </c>
      <c r="I580" s="19" t="s">
        <v>26</v>
      </c>
      <c r="J580" s="8">
        <v>41</v>
      </c>
      <c r="K580" s="19" t="s">
        <v>22</v>
      </c>
      <c r="L580" s="19" t="s">
        <v>38</v>
      </c>
      <c r="M580" s="8">
        <v>3</v>
      </c>
      <c r="N580" s="33">
        <f t="shared" si="72"/>
        <v>0.73099415204678353</v>
      </c>
      <c r="O580" s="23">
        <f t="shared" si="73"/>
        <v>0.10910818713450292</v>
      </c>
      <c r="P580" s="59">
        <f t="shared" si="74"/>
        <v>2.151112508845035E-2</v>
      </c>
      <c r="Q580" s="30">
        <f t="shared" si="75"/>
        <v>0.14926</v>
      </c>
      <c r="R580" s="30">
        <f t="shared" si="76"/>
        <v>1.6029746750636471</v>
      </c>
      <c r="S580" s="12">
        <f t="shared" si="77"/>
        <v>2.6029746750636473</v>
      </c>
      <c r="T580" s="30">
        <f t="shared" si="78"/>
        <v>0.28400584795321632</v>
      </c>
      <c r="U580" s="9" t="str">
        <f t="shared" si="79"/>
        <v>35-44</v>
      </c>
    </row>
    <row r="581" spans="1:21">
      <c r="A581" t="s">
        <v>613</v>
      </c>
      <c r="B581" s="8">
        <v>2259</v>
      </c>
      <c r="C581" s="23">
        <v>4.9750000000000003E-2</v>
      </c>
      <c r="D581" s="19" t="s">
        <v>32</v>
      </c>
      <c r="E581" s="21">
        <v>79.766000000000005</v>
      </c>
      <c r="F581" s="21">
        <v>5.923</v>
      </c>
      <c r="G581" s="23">
        <v>0</v>
      </c>
      <c r="H581" s="26">
        <v>0</v>
      </c>
      <c r="I581" s="19" t="s">
        <v>21</v>
      </c>
      <c r="J581" s="8">
        <v>45</v>
      </c>
      <c r="K581" s="19" t="s">
        <v>18</v>
      </c>
      <c r="L581" s="19" t="s">
        <v>23</v>
      </c>
      <c r="M581" s="8">
        <v>3</v>
      </c>
      <c r="N581" s="33">
        <f t="shared" si="72"/>
        <v>0</v>
      </c>
      <c r="O581" s="23">
        <f t="shared" si="73"/>
        <v>8.3994597332432887E-3</v>
      </c>
      <c r="P581" s="59">
        <f t="shared" si="74"/>
        <v>7.4254694982824762E-2</v>
      </c>
      <c r="Q581" s="30">
        <f t="shared" si="75"/>
        <v>0</v>
      </c>
      <c r="R581" s="30">
        <f t="shared" si="76"/>
        <v>-1</v>
      </c>
      <c r="S581" s="12">
        <f t="shared" si="77"/>
        <v>0</v>
      </c>
      <c r="T581" s="30">
        <f t="shared" si="78"/>
        <v>0</v>
      </c>
      <c r="U581" s="9" t="str">
        <f t="shared" si="79"/>
        <v>45-54</v>
      </c>
    </row>
    <row r="582" spans="1:21">
      <c r="A582" t="s">
        <v>614</v>
      </c>
      <c r="B582" s="8">
        <v>4531</v>
      </c>
      <c r="C582" s="23">
        <v>8.276E-2</v>
      </c>
      <c r="D582" s="19" t="s">
        <v>32</v>
      </c>
      <c r="E582" s="21">
        <v>21.678999999999998</v>
      </c>
      <c r="F582" s="21">
        <v>1.875</v>
      </c>
      <c r="G582" s="23">
        <v>0</v>
      </c>
      <c r="H582" s="26">
        <v>0</v>
      </c>
      <c r="I582" s="19" t="s">
        <v>34</v>
      </c>
      <c r="J582" s="8">
        <v>27</v>
      </c>
      <c r="K582" s="19" t="s">
        <v>22</v>
      </c>
      <c r="L582" s="19" t="s">
        <v>38</v>
      </c>
      <c r="M582" s="8">
        <v>2</v>
      </c>
      <c r="N582" s="33">
        <f t="shared" si="72"/>
        <v>0</v>
      </c>
      <c r="O582" s="23">
        <f t="shared" si="73"/>
        <v>4.4138666666666666E-2</v>
      </c>
      <c r="P582" s="59">
        <f t="shared" si="74"/>
        <v>8.6489229207989307E-2</v>
      </c>
      <c r="Q582" s="30">
        <f t="shared" si="75"/>
        <v>0</v>
      </c>
      <c r="R582" s="30">
        <f t="shared" si="76"/>
        <v>-1</v>
      </c>
      <c r="S582" s="12">
        <f t="shared" si="77"/>
        <v>0</v>
      </c>
      <c r="T582" s="30">
        <f t="shared" si="78"/>
        <v>0</v>
      </c>
      <c r="U582" s="9" t="str">
        <f t="shared" si="79"/>
        <v>25-34</v>
      </c>
    </row>
    <row r="583" spans="1:21">
      <c r="A583" t="s">
        <v>615</v>
      </c>
      <c r="B583" s="8">
        <v>4407</v>
      </c>
      <c r="C583" s="23">
        <v>8.881E-2</v>
      </c>
      <c r="D583" s="19" t="s">
        <v>15</v>
      </c>
      <c r="E583" s="21">
        <v>53.557000000000002</v>
      </c>
      <c r="F583" s="21">
        <v>1.4570000000000001</v>
      </c>
      <c r="G583" s="23">
        <v>0</v>
      </c>
      <c r="H583" s="26">
        <v>0</v>
      </c>
      <c r="I583" s="19" t="s">
        <v>26</v>
      </c>
      <c r="J583" s="8">
        <v>20</v>
      </c>
      <c r="K583" s="19" t="s">
        <v>18</v>
      </c>
      <c r="L583" s="19" t="s">
        <v>38</v>
      </c>
      <c r="M583" s="8" t="s">
        <v>1065</v>
      </c>
      <c r="N583" s="33">
        <f t="shared" si="72"/>
        <v>0</v>
      </c>
      <c r="O583" s="23">
        <f t="shared" si="73"/>
        <v>6.095401509951956E-2</v>
      </c>
      <c r="P583" s="59">
        <f t="shared" si="74"/>
        <v>2.720466045521594E-2</v>
      </c>
      <c r="Q583" s="30">
        <f t="shared" si="75"/>
        <v>0</v>
      </c>
      <c r="R583" s="30">
        <f t="shared" si="76"/>
        <v>-1</v>
      </c>
      <c r="S583" s="12">
        <f t="shared" si="77"/>
        <v>0</v>
      </c>
      <c r="T583" s="30">
        <f t="shared" si="78"/>
        <v>0</v>
      </c>
      <c r="U583" s="9" t="str">
        <f t="shared" si="79"/>
        <v>18-24</v>
      </c>
    </row>
    <row r="584" spans="1:21">
      <c r="A584" t="s">
        <v>616</v>
      </c>
      <c r="B584" s="8">
        <v>7949</v>
      </c>
      <c r="C584" s="23">
        <v>5.5939999999999997E-2</v>
      </c>
      <c r="D584" s="19" t="s">
        <v>28</v>
      </c>
      <c r="E584" s="21">
        <v>93.224000000000004</v>
      </c>
      <c r="F584" s="21">
        <v>3.895</v>
      </c>
      <c r="G584" s="23">
        <v>0</v>
      </c>
      <c r="H584" s="26">
        <v>0</v>
      </c>
      <c r="I584" s="19" t="s">
        <v>26</v>
      </c>
      <c r="J584" s="8">
        <v>41</v>
      </c>
      <c r="K584" s="19" t="s">
        <v>18</v>
      </c>
      <c r="L584" s="19" t="s">
        <v>38</v>
      </c>
      <c r="M584" s="8">
        <v>1</v>
      </c>
      <c r="N584" s="33">
        <f t="shared" si="72"/>
        <v>0</v>
      </c>
      <c r="O584" s="23">
        <f t="shared" si="73"/>
        <v>1.4362002567394094E-2</v>
      </c>
      <c r="P584" s="59">
        <f t="shared" si="74"/>
        <v>4.1781086415515319E-2</v>
      </c>
      <c r="Q584" s="30">
        <f t="shared" si="75"/>
        <v>0</v>
      </c>
      <c r="R584" s="30">
        <f t="shared" si="76"/>
        <v>-1</v>
      </c>
      <c r="S584" s="12">
        <f t="shared" si="77"/>
        <v>0</v>
      </c>
      <c r="T584" s="30">
        <f t="shared" si="78"/>
        <v>0</v>
      </c>
      <c r="U584" s="9" t="str">
        <f t="shared" si="79"/>
        <v>35-44</v>
      </c>
    </row>
    <row r="585" spans="1:21">
      <c r="A585" t="s">
        <v>617</v>
      </c>
      <c r="B585" s="8">
        <v>6524</v>
      </c>
      <c r="C585" s="23">
        <v>0.10630000000000001</v>
      </c>
      <c r="D585" s="19" t="s">
        <v>32</v>
      </c>
      <c r="E585" s="21">
        <v>12.898</v>
      </c>
      <c r="F585" s="21">
        <v>1.1879999999999999</v>
      </c>
      <c r="G585" s="23">
        <v>0.32496999999999998</v>
      </c>
      <c r="H585" s="26">
        <v>1</v>
      </c>
      <c r="I585" s="19" t="s">
        <v>17</v>
      </c>
      <c r="J585" s="8">
        <v>46</v>
      </c>
      <c r="K585" s="19" t="s">
        <v>22</v>
      </c>
      <c r="L585" s="19" t="s">
        <v>23</v>
      </c>
      <c r="M585" s="8">
        <v>2</v>
      </c>
      <c r="N585" s="33">
        <f t="shared" si="72"/>
        <v>0.84175084175084181</v>
      </c>
      <c r="O585" s="23">
        <f t="shared" si="73"/>
        <v>8.947811447811449E-2</v>
      </c>
      <c r="P585" s="59">
        <f t="shared" si="74"/>
        <v>9.2107303457900441E-2</v>
      </c>
      <c r="Q585" s="30">
        <f t="shared" si="75"/>
        <v>0.10630000000000001</v>
      </c>
      <c r="R585" s="30">
        <f t="shared" si="76"/>
        <v>2.0571025399811851</v>
      </c>
      <c r="S585" s="12">
        <f t="shared" si="77"/>
        <v>3.0571025399811851</v>
      </c>
      <c r="T585" s="30">
        <f t="shared" si="78"/>
        <v>0.27354377104377103</v>
      </c>
      <c r="U585" s="9" t="str">
        <f t="shared" si="79"/>
        <v>45-54</v>
      </c>
    </row>
    <row r="586" spans="1:21">
      <c r="A586" t="s">
        <v>618</v>
      </c>
      <c r="B586" s="8">
        <v>2303</v>
      </c>
      <c r="C586" s="23">
        <v>0.12</v>
      </c>
      <c r="D586" s="19" t="s">
        <v>45</v>
      </c>
      <c r="E586" s="21">
        <v>52.508000000000003</v>
      </c>
      <c r="F586" s="21">
        <v>4.0449999999999999</v>
      </c>
      <c r="G586" s="23">
        <v>0.38571</v>
      </c>
      <c r="H586" s="26">
        <v>1</v>
      </c>
      <c r="I586" s="19" t="s">
        <v>34</v>
      </c>
      <c r="J586" s="8">
        <v>38</v>
      </c>
      <c r="K586" s="19" t="s">
        <v>37</v>
      </c>
      <c r="L586" s="19" t="s">
        <v>38</v>
      </c>
      <c r="M586" s="8">
        <v>2</v>
      </c>
      <c r="N586" s="33">
        <f t="shared" si="72"/>
        <v>0.24721878862793573</v>
      </c>
      <c r="O586" s="23">
        <f t="shared" si="73"/>
        <v>2.9666254635352288E-2</v>
      </c>
      <c r="P586" s="59">
        <f t="shared" si="74"/>
        <v>7.7035880246819524E-2</v>
      </c>
      <c r="Q586" s="30">
        <f t="shared" si="75"/>
        <v>0.12</v>
      </c>
      <c r="R586" s="30">
        <f t="shared" si="76"/>
        <v>2.2142500000000003</v>
      </c>
      <c r="S586" s="12">
        <f t="shared" si="77"/>
        <v>3.2142500000000003</v>
      </c>
      <c r="T586" s="30">
        <f t="shared" si="78"/>
        <v>9.5354758961681094E-2</v>
      </c>
      <c r="U586" s="9" t="str">
        <f t="shared" si="79"/>
        <v>35-44</v>
      </c>
    </row>
    <row r="587" spans="1:21">
      <c r="A587" t="s">
        <v>619</v>
      </c>
      <c r="B587" s="8">
        <v>8234</v>
      </c>
      <c r="C587" s="23">
        <v>5.9670000000000001E-2</v>
      </c>
      <c r="D587" s="19" t="s">
        <v>15</v>
      </c>
      <c r="E587" s="21">
        <v>19.138000000000002</v>
      </c>
      <c r="F587" s="21">
        <v>7.7080000000000002</v>
      </c>
      <c r="G587" s="23">
        <v>0</v>
      </c>
      <c r="H587" s="26">
        <v>0</v>
      </c>
      <c r="I587" s="19" t="s">
        <v>29</v>
      </c>
      <c r="J587" s="8">
        <v>30</v>
      </c>
      <c r="K587" s="19" t="s">
        <v>31</v>
      </c>
      <c r="L587" s="19" t="s">
        <v>45</v>
      </c>
      <c r="M587" s="8">
        <v>5</v>
      </c>
      <c r="N587" s="33">
        <f t="shared" si="72"/>
        <v>0</v>
      </c>
      <c r="O587" s="23">
        <f t="shared" si="73"/>
        <v>7.7413077322262581E-3</v>
      </c>
      <c r="P587" s="59">
        <f t="shared" si="74"/>
        <v>0.40275890897690458</v>
      </c>
      <c r="Q587" s="30">
        <f t="shared" si="75"/>
        <v>0</v>
      </c>
      <c r="R587" s="30">
        <f t="shared" si="76"/>
        <v>-1</v>
      </c>
      <c r="S587" s="12">
        <f t="shared" si="77"/>
        <v>0</v>
      </c>
      <c r="T587" s="30">
        <f t="shared" si="78"/>
        <v>0</v>
      </c>
      <c r="U587" s="9" t="str">
        <f t="shared" si="79"/>
        <v>25-34</v>
      </c>
    </row>
    <row r="588" spans="1:21">
      <c r="A588" t="s">
        <v>620</v>
      </c>
      <c r="B588" s="8">
        <v>3757</v>
      </c>
      <c r="C588" s="23">
        <v>0.10373</v>
      </c>
      <c r="D588" s="19" t="s">
        <v>15</v>
      </c>
      <c r="E588" s="21">
        <v>80.504999999999995</v>
      </c>
      <c r="F588" s="21">
        <v>5.4610000000000003</v>
      </c>
      <c r="G588" s="23">
        <v>0</v>
      </c>
      <c r="H588" s="26">
        <v>0</v>
      </c>
      <c r="I588" s="19" t="s">
        <v>29</v>
      </c>
      <c r="J588" s="8">
        <v>23</v>
      </c>
      <c r="K588" s="19" t="s">
        <v>18</v>
      </c>
      <c r="L588" s="19" t="s">
        <v>38</v>
      </c>
      <c r="M588" s="8">
        <v>3</v>
      </c>
      <c r="N588" s="33">
        <f t="shared" si="72"/>
        <v>0</v>
      </c>
      <c r="O588" s="23">
        <f t="shared" si="73"/>
        <v>1.899468961728621E-2</v>
      </c>
      <c r="P588" s="59">
        <f t="shared" si="74"/>
        <v>6.7834296006459238E-2</v>
      </c>
      <c r="Q588" s="30">
        <f t="shared" si="75"/>
        <v>0</v>
      </c>
      <c r="R588" s="30">
        <f t="shared" si="76"/>
        <v>-1</v>
      </c>
      <c r="S588" s="12">
        <f t="shared" si="77"/>
        <v>0</v>
      </c>
      <c r="T588" s="30">
        <f t="shared" si="78"/>
        <v>0</v>
      </c>
      <c r="U588" s="9" t="str">
        <f t="shared" si="79"/>
        <v>18-24</v>
      </c>
    </row>
    <row r="589" spans="1:21">
      <c r="A589" t="s">
        <v>621</v>
      </c>
      <c r="B589" s="8">
        <v>4554</v>
      </c>
      <c r="C589" s="23">
        <v>3.0120000000000001E-2</v>
      </c>
      <c r="D589" s="19" t="s">
        <v>28</v>
      </c>
      <c r="E589" s="21">
        <v>69.956000000000003</v>
      </c>
      <c r="F589" s="21">
        <v>7.2140000000000004</v>
      </c>
      <c r="G589" s="23">
        <v>0</v>
      </c>
      <c r="H589" s="26">
        <v>0</v>
      </c>
      <c r="I589" s="19" t="s">
        <v>21</v>
      </c>
      <c r="J589" s="8">
        <v>58</v>
      </c>
      <c r="K589" s="19" t="s">
        <v>22</v>
      </c>
      <c r="L589" s="19" t="s">
        <v>45</v>
      </c>
      <c r="M589" s="8">
        <v>1</v>
      </c>
      <c r="N589" s="33">
        <f t="shared" si="72"/>
        <v>0</v>
      </c>
      <c r="O589" s="23">
        <f t="shared" si="73"/>
        <v>4.175214859994455E-3</v>
      </c>
      <c r="P589" s="59">
        <f t="shared" si="74"/>
        <v>0.10312196237635085</v>
      </c>
      <c r="Q589" s="30">
        <f t="shared" si="75"/>
        <v>0</v>
      </c>
      <c r="R589" s="30">
        <f t="shared" si="76"/>
        <v>-1</v>
      </c>
      <c r="S589" s="12">
        <f t="shared" si="77"/>
        <v>0</v>
      </c>
      <c r="T589" s="30">
        <f t="shared" si="78"/>
        <v>0</v>
      </c>
      <c r="U589" s="9" t="str">
        <f t="shared" si="79"/>
        <v>55+</v>
      </c>
    </row>
    <row r="590" spans="1:21">
      <c r="A590" t="s">
        <v>622</v>
      </c>
      <c r="B590" s="8">
        <v>5389</v>
      </c>
      <c r="C590" s="23">
        <v>4.6199999999999998E-2</v>
      </c>
      <c r="D590" s="19" t="s">
        <v>40</v>
      </c>
      <c r="E590" s="21">
        <v>4.5970000000000004</v>
      </c>
      <c r="F590" s="21">
        <v>5.9939999999999998</v>
      </c>
      <c r="G590" s="23">
        <v>0</v>
      </c>
      <c r="H590" s="26">
        <v>0</v>
      </c>
      <c r="I590" s="19" t="s">
        <v>17</v>
      </c>
      <c r="J590" s="8">
        <v>40</v>
      </c>
      <c r="K590" s="19" t="s">
        <v>37</v>
      </c>
      <c r="L590" s="19" t="s">
        <v>23</v>
      </c>
      <c r="M590" s="8">
        <v>3</v>
      </c>
      <c r="N590" s="33">
        <f t="shared" si="72"/>
        <v>0</v>
      </c>
      <c r="O590" s="23">
        <f t="shared" si="73"/>
        <v>7.7077077077077078E-3</v>
      </c>
      <c r="P590" s="59">
        <f t="shared" si="74"/>
        <v>1.3038938438111811</v>
      </c>
      <c r="Q590" s="30">
        <f t="shared" si="75"/>
        <v>0</v>
      </c>
      <c r="R590" s="30">
        <f t="shared" si="76"/>
        <v>-1</v>
      </c>
      <c r="S590" s="12">
        <f t="shared" si="77"/>
        <v>0</v>
      </c>
      <c r="T590" s="30">
        <f t="shared" si="78"/>
        <v>0</v>
      </c>
      <c r="U590" s="9" t="str">
        <f t="shared" si="79"/>
        <v>35-44</v>
      </c>
    </row>
    <row r="591" spans="1:21">
      <c r="A591" t="s">
        <v>623</v>
      </c>
      <c r="B591" s="8">
        <v>9833</v>
      </c>
      <c r="C591" s="23">
        <v>7.6929999999999998E-2</v>
      </c>
      <c r="D591" s="19" t="s">
        <v>28</v>
      </c>
      <c r="E591" s="21">
        <v>92.864000000000004</v>
      </c>
      <c r="F591" s="21">
        <v>3.6880000000000002</v>
      </c>
      <c r="G591" s="23">
        <v>0</v>
      </c>
      <c r="H591" s="26">
        <v>0</v>
      </c>
      <c r="I591" s="19" t="s">
        <v>29</v>
      </c>
      <c r="J591" s="8">
        <v>57</v>
      </c>
      <c r="K591" s="19" t="s">
        <v>22</v>
      </c>
      <c r="L591" s="19" t="s">
        <v>45</v>
      </c>
      <c r="M591" s="8">
        <v>3</v>
      </c>
      <c r="N591" s="33">
        <f t="shared" si="72"/>
        <v>0</v>
      </c>
      <c r="O591" s="23">
        <f t="shared" si="73"/>
        <v>2.0859544468546636E-2</v>
      </c>
      <c r="P591" s="59">
        <f t="shared" si="74"/>
        <v>3.9713990351481737E-2</v>
      </c>
      <c r="Q591" s="30">
        <f t="shared" si="75"/>
        <v>0</v>
      </c>
      <c r="R591" s="30">
        <f t="shared" si="76"/>
        <v>-1</v>
      </c>
      <c r="S591" s="12">
        <f t="shared" si="77"/>
        <v>0</v>
      </c>
      <c r="T591" s="30">
        <f t="shared" si="78"/>
        <v>0</v>
      </c>
      <c r="U591" s="9" t="str">
        <f t="shared" si="79"/>
        <v>55+</v>
      </c>
    </row>
    <row r="592" spans="1:21">
      <c r="A592" t="s">
        <v>624</v>
      </c>
      <c r="B592" s="8">
        <v>5068</v>
      </c>
      <c r="C592" s="23">
        <v>0</v>
      </c>
      <c r="D592" s="19" t="s">
        <v>28</v>
      </c>
      <c r="E592" s="21">
        <v>21.568000000000001</v>
      </c>
      <c r="F592" s="21">
        <v>4.3849999999999998</v>
      </c>
      <c r="G592" s="23">
        <v>0.19872000000000001</v>
      </c>
      <c r="H592" s="26">
        <v>1</v>
      </c>
      <c r="I592" s="19" t="s">
        <v>29</v>
      </c>
      <c r="J592" s="8">
        <v>34</v>
      </c>
      <c r="K592" s="19" t="s">
        <v>22</v>
      </c>
      <c r="L592" s="19" t="s">
        <v>38</v>
      </c>
      <c r="M592" s="8" t="s">
        <v>1065</v>
      </c>
      <c r="N592" s="33">
        <f t="shared" si="72"/>
        <v>0.22805017103762829</v>
      </c>
      <c r="O592" s="23">
        <f t="shared" si="73"/>
        <v>0</v>
      </c>
      <c r="P592" s="59">
        <f t="shared" si="74"/>
        <v>0.2033104599406528</v>
      </c>
      <c r="Q592" s="30">
        <f t="shared" si="75"/>
        <v>0</v>
      </c>
      <c r="R592" s="30">
        <f t="shared" si="76"/>
        <v>0</v>
      </c>
      <c r="S592" s="12" t="e">
        <f t="shared" si="77"/>
        <v>#DIV/0!</v>
      </c>
      <c r="T592" s="30">
        <f t="shared" si="78"/>
        <v>4.5318129988597494E-2</v>
      </c>
      <c r="U592" s="9" t="str">
        <f t="shared" si="79"/>
        <v>25-34</v>
      </c>
    </row>
    <row r="593" spans="1:21">
      <c r="A593" t="s">
        <v>625</v>
      </c>
      <c r="B593" s="8">
        <v>8123</v>
      </c>
      <c r="C593" s="23">
        <v>8.4709999999999994E-2</v>
      </c>
      <c r="D593" s="19" t="s">
        <v>25</v>
      </c>
      <c r="E593" s="21">
        <v>2.976</v>
      </c>
      <c r="F593" s="21">
        <v>4.875</v>
      </c>
      <c r="G593" s="23">
        <v>0</v>
      </c>
      <c r="H593" s="26">
        <v>0</v>
      </c>
      <c r="I593" s="19" t="s">
        <v>26</v>
      </c>
      <c r="J593" s="8">
        <v>55</v>
      </c>
      <c r="K593" s="19" t="s">
        <v>18</v>
      </c>
      <c r="L593" s="19" t="s">
        <v>32</v>
      </c>
      <c r="M593" s="8">
        <v>4</v>
      </c>
      <c r="N593" s="33">
        <f t="shared" si="72"/>
        <v>0</v>
      </c>
      <c r="O593" s="23">
        <f t="shared" si="73"/>
        <v>1.7376410256410256E-2</v>
      </c>
      <c r="P593" s="59">
        <f t="shared" si="74"/>
        <v>1.6381048387096775</v>
      </c>
      <c r="Q593" s="30">
        <f t="shared" si="75"/>
        <v>0</v>
      </c>
      <c r="R593" s="30">
        <f t="shared" si="76"/>
        <v>-1</v>
      </c>
      <c r="S593" s="12">
        <f t="shared" si="77"/>
        <v>0</v>
      </c>
      <c r="T593" s="30">
        <f t="shared" si="78"/>
        <v>0</v>
      </c>
      <c r="U593" s="9" t="str">
        <f t="shared" si="79"/>
        <v>55+</v>
      </c>
    </row>
    <row r="594" spans="1:21">
      <c r="A594" t="s">
        <v>626</v>
      </c>
      <c r="B594" s="8">
        <v>6596</v>
      </c>
      <c r="C594" s="23">
        <v>0</v>
      </c>
      <c r="D594" s="19" t="s">
        <v>40</v>
      </c>
      <c r="E594" s="21">
        <v>35.529000000000003</v>
      </c>
      <c r="F594" s="21">
        <v>4.0709999999999997</v>
      </c>
      <c r="G594" s="23">
        <v>0.37669999999999998</v>
      </c>
      <c r="H594" s="26">
        <v>1</v>
      </c>
      <c r="I594" s="19" t="s">
        <v>29</v>
      </c>
      <c r="J594" s="8">
        <v>19</v>
      </c>
      <c r="K594" s="19" t="s">
        <v>22</v>
      </c>
      <c r="L594" s="19" t="s">
        <v>19</v>
      </c>
      <c r="M594" s="8" t="s">
        <v>1065</v>
      </c>
      <c r="N594" s="33">
        <f t="shared" si="72"/>
        <v>0.24563989191844757</v>
      </c>
      <c r="O594" s="23">
        <f t="shared" si="73"/>
        <v>0</v>
      </c>
      <c r="P594" s="59">
        <f t="shared" si="74"/>
        <v>0.11458245377015958</v>
      </c>
      <c r="Q594" s="30">
        <f t="shared" si="75"/>
        <v>0</v>
      </c>
      <c r="R594" s="30">
        <f t="shared" si="76"/>
        <v>0</v>
      </c>
      <c r="S594" s="12" t="e">
        <f t="shared" si="77"/>
        <v>#DIV/0!</v>
      </c>
      <c r="T594" s="30">
        <f t="shared" si="78"/>
        <v>9.2532547285679195E-2</v>
      </c>
      <c r="U594" s="9" t="str">
        <f t="shared" si="79"/>
        <v>18-24</v>
      </c>
    </row>
    <row r="595" spans="1:21">
      <c r="A595" t="s">
        <v>627</v>
      </c>
      <c r="B595" s="8">
        <v>9179</v>
      </c>
      <c r="C595" s="23">
        <v>0</v>
      </c>
      <c r="D595" s="19" t="s">
        <v>28</v>
      </c>
      <c r="E595" s="21">
        <v>29.916</v>
      </c>
      <c r="F595" s="21">
        <v>5.6829999999999998</v>
      </c>
      <c r="G595" s="23">
        <v>0</v>
      </c>
      <c r="H595" s="26">
        <v>0</v>
      </c>
      <c r="I595" s="19" t="s">
        <v>34</v>
      </c>
      <c r="J595" s="8">
        <v>48</v>
      </c>
      <c r="K595" s="19" t="s">
        <v>37</v>
      </c>
      <c r="L595" s="19" t="s">
        <v>32</v>
      </c>
      <c r="M595" s="8">
        <v>1</v>
      </c>
      <c r="N595" s="33">
        <f t="shared" si="72"/>
        <v>0</v>
      </c>
      <c r="O595" s="23">
        <f t="shared" si="73"/>
        <v>0</v>
      </c>
      <c r="P595" s="59">
        <f t="shared" si="74"/>
        <v>0.18996523599411685</v>
      </c>
      <c r="Q595" s="30">
        <f t="shared" si="75"/>
        <v>0</v>
      </c>
      <c r="R595" s="30">
        <f t="shared" si="76"/>
        <v>0</v>
      </c>
      <c r="S595" s="12">
        <f t="shared" si="77"/>
        <v>0</v>
      </c>
      <c r="T595" s="30">
        <f t="shared" si="78"/>
        <v>0</v>
      </c>
      <c r="U595" s="9" t="str">
        <f t="shared" si="79"/>
        <v>45-54</v>
      </c>
    </row>
    <row r="596" spans="1:21">
      <c r="A596" t="s">
        <v>628</v>
      </c>
      <c r="B596" s="8">
        <v>2975</v>
      </c>
      <c r="C596" s="23">
        <v>0.11146</v>
      </c>
      <c r="D596" s="19" t="s">
        <v>40</v>
      </c>
      <c r="E596" s="21">
        <v>62.938000000000002</v>
      </c>
      <c r="F596" s="21">
        <v>7.7549999999999999</v>
      </c>
      <c r="G596" s="23">
        <v>0</v>
      </c>
      <c r="H596" s="26">
        <v>0</v>
      </c>
      <c r="I596" s="19" t="s">
        <v>29</v>
      </c>
      <c r="J596" s="8">
        <v>32</v>
      </c>
      <c r="K596" s="19" t="s">
        <v>18</v>
      </c>
      <c r="L596" s="19" t="s">
        <v>23</v>
      </c>
      <c r="M596" s="8">
        <v>2</v>
      </c>
      <c r="N596" s="33">
        <f t="shared" si="72"/>
        <v>0</v>
      </c>
      <c r="O596" s="23">
        <f t="shared" si="73"/>
        <v>1.4372662798194713E-2</v>
      </c>
      <c r="P596" s="59">
        <f t="shared" si="74"/>
        <v>0.12321649877657377</v>
      </c>
      <c r="Q596" s="30">
        <f t="shared" si="75"/>
        <v>0</v>
      </c>
      <c r="R596" s="30">
        <f t="shared" si="76"/>
        <v>-1</v>
      </c>
      <c r="S596" s="12">
        <f t="shared" si="77"/>
        <v>0</v>
      </c>
      <c r="T596" s="30">
        <f t="shared" si="78"/>
        <v>0</v>
      </c>
      <c r="U596" s="9" t="str">
        <f t="shared" si="79"/>
        <v>25-34</v>
      </c>
    </row>
    <row r="597" spans="1:21">
      <c r="A597" t="s">
        <v>629</v>
      </c>
      <c r="B597" s="8">
        <v>2512</v>
      </c>
      <c r="C597" s="23">
        <v>2.0250000000000001E-2</v>
      </c>
      <c r="D597" s="19" t="s">
        <v>45</v>
      </c>
      <c r="E597" s="21">
        <v>60.968000000000004</v>
      </c>
      <c r="F597" s="21">
        <v>0</v>
      </c>
      <c r="G597" s="23">
        <v>0</v>
      </c>
      <c r="H597" s="26">
        <v>0</v>
      </c>
      <c r="I597" s="19" t="s">
        <v>34</v>
      </c>
      <c r="J597" s="8">
        <v>55</v>
      </c>
      <c r="K597" s="19" t="s">
        <v>31</v>
      </c>
      <c r="L597" s="19" t="s">
        <v>38</v>
      </c>
      <c r="M597" s="8">
        <v>1</v>
      </c>
      <c r="N597" s="33">
        <f t="shared" si="72"/>
        <v>0</v>
      </c>
      <c r="O597" s="23">
        <f t="shared" si="73"/>
        <v>0</v>
      </c>
      <c r="P597" s="59">
        <f t="shared" si="74"/>
        <v>0</v>
      </c>
      <c r="Q597" s="30">
        <f t="shared" si="75"/>
        <v>0</v>
      </c>
      <c r="R597" s="30">
        <f t="shared" si="76"/>
        <v>-1</v>
      </c>
      <c r="S597" s="12">
        <f t="shared" si="77"/>
        <v>0</v>
      </c>
      <c r="T597" s="30">
        <f t="shared" si="78"/>
        <v>0</v>
      </c>
      <c r="U597" s="9" t="str">
        <f t="shared" si="79"/>
        <v>55+</v>
      </c>
    </row>
    <row r="598" spans="1:21">
      <c r="A598" t="s">
        <v>630</v>
      </c>
      <c r="B598" s="8">
        <v>5377</v>
      </c>
      <c r="C598" s="23">
        <v>0.14419000000000001</v>
      </c>
      <c r="D598" s="19" t="s">
        <v>45</v>
      </c>
      <c r="E598" s="21">
        <v>18.617999999999999</v>
      </c>
      <c r="F598" s="21">
        <v>7.6779999999999999</v>
      </c>
      <c r="G598" s="23">
        <v>0</v>
      </c>
      <c r="H598" s="26">
        <v>0</v>
      </c>
      <c r="I598" s="19" t="s">
        <v>29</v>
      </c>
      <c r="J598" s="8">
        <v>54</v>
      </c>
      <c r="K598" s="19" t="s">
        <v>31</v>
      </c>
      <c r="L598" s="19" t="s">
        <v>19</v>
      </c>
      <c r="M598" s="8">
        <v>4</v>
      </c>
      <c r="N598" s="33">
        <f t="shared" si="72"/>
        <v>0</v>
      </c>
      <c r="O598" s="23">
        <f t="shared" si="73"/>
        <v>1.8779630112008339E-2</v>
      </c>
      <c r="P598" s="59">
        <f t="shared" si="74"/>
        <v>0.41239660543559997</v>
      </c>
      <c r="Q598" s="30">
        <f t="shared" si="75"/>
        <v>0</v>
      </c>
      <c r="R598" s="30">
        <f t="shared" si="76"/>
        <v>-1</v>
      </c>
      <c r="S598" s="12">
        <f t="shared" si="77"/>
        <v>0</v>
      </c>
      <c r="T598" s="30">
        <f t="shared" si="78"/>
        <v>0</v>
      </c>
      <c r="U598" s="9" t="str">
        <f t="shared" si="79"/>
        <v>45-54</v>
      </c>
    </row>
    <row r="599" spans="1:21">
      <c r="A599" t="s">
        <v>631</v>
      </c>
      <c r="B599" s="8">
        <v>7955</v>
      </c>
      <c r="C599" s="23">
        <v>0</v>
      </c>
      <c r="D599" s="19" t="s">
        <v>25</v>
      </c>
      <c r="E599" s="21">
        <v>90.191000000000003</v>
      </c>
      <c r="F599" s="21">
        <v>5.6429999999999998</v>
      </c>
      <c r="G599" s="23">
        <v>0</v>
      </c>
      <c r="H599" s="26">
        <v>1</v>
      </c>
      <c r="I599" s="19" t="s">
        <v>21</v>
      </c>
      <c r="J599" s="8">
        <v>21</v>
      </c>
      <c r="K599" s="19" t="s">
        <v>18</v>
      </c>
      <c r="L599" s="19" t="s">
        <v>19</v>
      </c>
      <c r="M599" s="8">
        <v>2</v>
      </c>
      <c r="N599" s="33">
        <f t="shared" si="72"/>
        <v>0.17721070352649301</v>
      </c>
      <c r="O599" s="23">
        <f t="shared" si="73"/>
        <v>0</v>
      </c>
      <c r="P599" s="59">
        <f t="shared" si="74"/>
        <v>6.2567218458604509E-2</v>
      </c>
      <c r="Q599" s="30">
        <f t="shared" si="75"/>
        <v>0</v>
      </c>
      <c r="R599" s="30">
        <f t="shared" si="76"/>
        <v>0</v>
      </c>
      <c r="S599" s="12">
        <f t="shared" si="77"/>
        <v>0</v>
      </c>
      <c r="T599" s="30">
        <f t="shared" si="78"/>
        <v>0</v>
      </c>
      <c r="U599" s="9" t="str">
        <f t="shared" si="79"/>
        <v>18-24</v>
      </c>
    </row>
    <row r="600" spans="1:21">
      <c r="A600" t="s">
        <v>632</v>
      </c>
      <c r="B600" s="8">
        <v>5106</v>
      </c>
      <c r="C600" s="23">
        <v>7.8119999999999995E-2</v>
      </c>
      <c r="D600" s="19" t="s">
        <v>28</v>
      </c>
      <c r="E600" s="21">
        <v>74.156999999999996</v>
      </c>
      <c r="F600" s="21">
        <v>5.6280000000000001</v>
      </c>
      <c r="G600" s="23">
        <v>0</v>
      </c>
      <c r="H600" s="26">
        <v>0</v>
      </c>
      <c r="I600" s="19" t="s">
        <v>26</v>
      </c>
      <c r="J600" s="8">
        <v>53</v>
      </c>
      <c r="K600" s="19" t="s">
        <v>22</v>
      </c>
      <c r="L600" s="19" t="s">
        <v>23</v>
      </c>
      <c r="M600" s="8">
        <v>1</v>
      </c>
      <c r="N600" s="33">
        <f t="shared" si="72"/>
        <v>0</v>
      </c>
      <c r="O600" s="23">
        <f t="shared" si="73"/>
        <v>1.3880597014925371E-2</v>
      </c>
      <c r="P600" s="59">
        <f t="shared" si="74"/>
        <v>7.5893037744245329E-2</v>
      </c>
      <c r="Q600" s="30">
        <f t="shared" si="75"/>
        <v>0</v>
      </c>
      <c r="R600" s="30">
        <f t="shared" si="76"/>
        <v>-1</v>
      </c>
      <c r="S600" s="12">
        <f t="shared" si="77"/>
        <v>0</v>
      </c>
      <c r="T600" s="30">
        <f t="shared" si="78"/>
        <v>0</v>
      </c>
      <c r="U600" s="9" t="str">
        <f t="shared" si="79"/>
        <v>45-54</v>
      </c>
    </row>
    <row r="601" spans="1:21">
      <c r="A601" t="s">
        <v>633</v>
      </c>
      <c r="B601" s="8">
        <v>9026</v>
      </c>
      <c r="C601" s="23">
        <v>4.199E-2</v>
      </c>
      <c r="D601" s="19" t="s">
        <v>45</v>
      </c>
      <c r="E601" s="21">
        <v>64.665999999999997</v>
      </c>
      <c r="F601" s="21">
        <v>1.6779999999999999</v>
      </c>
      <c r="G601" s="23">
        <v>0</v>
      </c>
      <c r="H601" s="26">
        <v>1</v>
      </c>
      <c r="I601" s="19" t="s">
        <v>29</v>
      </c>
      <c r="J601" s="8">
        <v>41</v>
      </c>
      <c r="K601" s="19" t="s">
        <v>31</v>
      </c>
      <c r="L601" s="19" t="s">
        <v>38</v>
      </c>
      <c r="M601" s="8">
        <v>2</v>
      </c>
      <c r="N601" s="33">
        <f t="shared" si="72"/>
        <v>0.59594755661501786</v>
      </c>
      <c r="O601" s="23">
        <f t="shared" si="73"/>
        <v>2.50238379022646E-2</v>
      </c>
      <c r="P601" s="59">
        <f t="shared" si="74"/>
        <v>2.5948721120836297E-2</v>
      </c>
      <c r="Q601" s="30">
        <f t="shared" si="75"/>
        <v>4.199E-2</v>
      </c>
      <c r="R601" s="30">
        <f t="shared" si="76"/>
        <v>-1</v>
      </c>
      <c r="S601" s="12">
        <f t="shared" si="77"/>
        <v>0</v>
      </c>
      <c r="T601" s="30">
        <f t="shared" si="78"/>
        <v>0</v>
      </c>
      <c r="U601" s="9" t="str">
        <f t="shared" si="79"/>
        <v>35-44</v>
      </c>
    </row>
    <row r="602" spans="1:21">
      <c r="A602" t="s">
        <v>634</v>
      </c>
      <c r="B602" s="8">
        <v>1432</v>
      </c>
      <c r="C602" s="23">
        <v>5.8889999999999998E-2</v>
      </c>
      <c r="D602" s="19" t="s">
        <v>25</v>
      </c>
      <c r="E602" s="21">
        <v>53.372999999999998</v>
      </c>
      <c r="F602" s="21">
        <v>8.6199999999999992</v>
      </c>
      <c r="G602" s="23">
        <v>0.49257000000000001</v>
      </c>
      <c r="H602" s="26">
        <v>1</v>
      </c>
      <c r="I602" s="19" t="s">
        <v>26</v>
      </c>
      <c r="J602" s="8">
        <v>49</v>
      </c>
      <c r="K602" s="19" t="s">
        <v>22</v>
      </c>
      <c r="L602" s="19" t="s">
        <v>19</v>
      </c>
      <c r="M602" s="8">
        <v>1</v>
      </c>
      <c r="N602" s="33">
        <f t="shared" si="72"/>
        <v>0.11600928074245941</v>
      </c>
      <c r="O602" s="23">
        <f t="shared" si="73"/>
        <v>6.8317865429234339E-3</v>
      </c>
      <c r="P602" s="59">
        <f t="shared" si="74"/>
        <v>0.16150488074494593</v>
      </c>
      <c r="Q602" s="30">
        <f t="shared" si="75"/>
        <v>5.8889999999999998E-2</v>
      </c>
      <c r="R602" s="30">
        <f t="shared" si="76"/>
        <v>7.3642384105960268</v>
      </c>
      <c r="S602" s="12">
        <f t="shared" si="77"/>
        <v>8.3642384105960268</v>
      </c>
      <c r="T602" s="30">
        <f t="shared" si="78"/>
        <v>5.7142691415313231E-2</v>
      </c>
      <c r="U602" s="9" t="str">
        <f t="shared" si="79"/>
        <v>45-54</v>
      </c>
    </row>
    <row r="603" spans="1:21">
      <c r="A603" t="s">
        <v>635</v>
      </c>
      <c r="B603" s="8">
        <v>4566</v>
      </c>
      <c r="C603" s="23">
        <v>2.443E-2</v>
      </c>
      <c r="D603" s="19" t="s">
        <v>15</v>
      </c>
      <c r="E603" s="21">
        <v>43.05</v>
      </c>
      <c r="F603" s="21">
        <v>3.4329999999999998</v>
      </c>
      <c r="G603" s="23">
        <v>0.14421999999999999</v>
      </c>
      <c r="H603" s="26">
        <v>1</v>
      </c>
      <c r="I603" s="19" t="s">
        <v>26</v>
      </c>
      <c r="J603" s="8">
        <v>25</v>
      </c>
      <c r="K603" s="19" t="s">
        <v>18</v>
      </c>
      <c r="L603" s="19" t="s">
        <v>45</v>
      </c>
      <c r="M603" s="8">
        <v>3</v>
      </c>
      <c r="N603" s="33">
        <f t="shared" si="72"/>
        <v>0.29129041654529569</v>
      </c>
      <c r="O603" s="23">
        <f t="shared" si="73"/>
        <v>7.1162248762015731E-3</v>
      </c>
      <c r="P603" s="59">
        <f t="shared" si="74"/>
        <v>7.9744483159117308E-2</v>
      </c>
      <c r="Q603" s="30">
        <f t="shared" si="75"/>
        <v>2.443E-2</v>
      </c>
      <c r="R603" s="30">
        <f t="shared" si="76"/>
        <v>4.9033974621367165</v>
      </c>
      <c r="S603" s="12">
        <f t="shared" si="77"/>
        <v>5.9033974621367165</v>
      </c>
      <c r="T603" s="30">
        <f t="shared" si="78"/>
        <v>4.2009903874162535E-2</v>
      </c>
      <c r="U603" s="9" t="str">
        <f t="shared" si="79"/>
        <v>25-34</v>
      </c>
    </row>
    <row r="604" spans="1:21">
      <c r="A604" t="s">
        <v>636</v>
      </c>
      <c r="B604" s="8">
        <v>8246</v>
      </c>
      <c r="C604" s="23">
        <v>2.385E-2</v>
      </c>
      <c r="D604" s="19" t="s">
        <v>28</v>
      </c>
      <c r="E604" s="21">
        <v>67.902000000000001</v>
      </c>
      <c r="F604" s="21">
        <v>6.28</v>
      </c>
      <c r="G604" s="23">
        <v>0</v>
      </c>
      <c r="H604" s="26">
        <v>0</v>
      </c>
      <c r="I604" s="19" t="s">
        <v>26</v>
      </c>
      <c r="J604" s="8">
        <v>59</v>
      </c>
      <c r="K604" s="19" t="s">
        <v>37</v>
      </c>
      <c r="L604" s="19" t="s">
        <v>38</v>
      </c>
      <c r="M604" s="8">
        <v>3</v>
      </c>
      <c r="N604" s="33">
        <f t="shared" si="72"/>
        <v>0</v>
      </c>
      <c r="O604" s="23">
        <f t="shared" si="73"/>
        <v>3.7977707006369424E-3</v>
      </c>
      <c r="P604" s="59">
        <f t="shared" si="74"/>
        <v>9.2486230155223711E-2</v>
      </c>
      <c r="Q604" s="30">
        <f t="shared" si="75"/>
        <v>0</v>
      </c>
      <c r="R604" s="30">
        <f t="shared" si="76"/>
        <v>-1</v>
      </c>
      <c r="S604" s="12">
        <f t="shared" si="77"/>
        <v>0</v>
      </c>
      <c r="T604" s="30">
        <f t="shared" si="78"/>
        <v>0</v>
      </c>
      <c r="U604" s="9" t="str">
        <f t="shared" si="79"/>
        <v>55+</v>
      </c>
    </row>
    <row r="605" spans="1:21">
      <c r="A605" t="s">
        <v>637</v>
      </c>
      <c r="B605" s="8">
        <v>5916</v>
      </c>
      <c r="C605" s="23">
        <v>0</v>
      </c>
      <c r="D605" s="19" t="s">
        <v>28</v>
      </c>
      <c r="E605" s="21">
        <v>43.710999999999999</v>
      </c>
      <c r="F605" s="21">
        <v>8.5760000000000005</v>
      </c>
      <c r="G605" s="23">
        <v>0</v>
      </c>
      <c r="H605" s="26">
        <v>0</v>
      </c>
      <c r="I605" s="19" t="s">
        <v>34</v>
      </c>
      <c r="J605" s="8">
        <v>32</v>
      </c>
      <c r="K605" s="19" t="s">
        <v>31</v>
      </c>
      <c r="L605" s="19" t="s">
        <v>23</v>
      </c>
      <c r="M605" s="8">
        <v>4</v>
      </c>
      <c r="N605" s="33">
        <f t="shared" si="72"/>
        <v>0</v>
      </c>
      <c r="O605" s="23">
        <f t="shared" si="73"/>
        <v>0</v>
      </c>
      <c r="P605" s="59">
        <f t="shared" si="74"/>
        <v>0.19619775342591111</v>
      </c>
      <c r="Q605" s="30">
        <f t="shared" si="75"/>
        <v>0</v>
      </c>
      <c r="R605" s="30">
        <f t="shared" si="76"/>
        <v>0</v>
      </c>
      <c r="S605" s="12">
        <f t="shared" si="77"/>
        <v>0</v>
      </c>
      <c r="T605" s="30">
        <f t="shared" si="78"/>
        <v>0</v>
      </c>
      <c r="U605" s="9" t="str">
        <f t="shared" si="79"/>
        <v>25-34</v>
      </c>
    </row>
    <row r="606" spans="1:21">
      <c r="A606" t="s">
        <v>638</v>
      </c>
      <c r="B606" s="8">
        <v>7917</v>
      </c>
      <c r="C606" s="23">
        <v>0.17372000000000001</v>
      </c>
      <c r="D606" s="19" t="s">
        <v>15</v>
      </c>
      <c r="E606" s="21">
        <v>17.132000000000001</v>
      </c>
      <c r="F606" s="21">
        <v>3.1619999999999999</v>
      </c>
      <c r="G606" s="23">
        <v>0</v>
      </c>
      <c r="H606" s="26">
        <v>0</v>
      </c>
      <c r="I606" s="19" t="s">
        <v>29</v>
      </c>
      <c r="J606" s="8">
        <v>49</v>
      </c>
      <c r="K606" s="19" t="s">
        <v>31</v>
      </c>
      <c r="L606" s="19" t="s">
        <v>45</v>
      </c>
      <c r="M606" s="8">
        <v>2</v>
      </c>
      <c r="N606" s="33">
        <f t="shared" si="72"/>
        <v>0</v>
      </c>
      <c r="O606" s="23">
        <f t="shared" si="73"/>
        <v>5.4939911448450354E-2</v>
      </c>
      <c r="P606" s="59">
        <f t="shared" si="74"/>
        <v>0.18456689236516458</v>
      </c>
      <c r="Q606" s="30">
        <f t="shared" si="75"/>
        <v>0</v>
      </c>
      <c r="R606" s="30">
        <f t="shared" si="76"/>
        <v>-1</v>
      </c>
      <c r="S606" s="12">
        <f t="shared" si="77"/>
        <v>0</v>
      </c>
      <c r="T606" s="30">
        <f t="shared" si="78"/>
        <v>0</v>
      </c>
      <c r="U606" s="9" t="str">
        <f t="shared" si="79"/>
        <v>45-54</v>
      </c>
    </row>
    <row r="607" spans="1:21">
      <c r="A607" t="s">
        <v>639</v>
      </c>
      <c r="B607" s="8">
        <v>6148</v>
      </c>
      <c r="C607" s="23">
        <v>6.4810000000000006E-2</v>
      </c>
      <c r="D607" s="19" t="s">
        <v>32</v>
      </c>
      <c r="E607" s="21">
        <v>57.682000000000002</v>
      </c>
      <c r="F607" s="21">
        <v>9.1829999999999998</v>
      </c>
      <c r="G607" s="23">
        <v>6.4360000000000001E-2</v>
      </c>
      <c r="H607" s="26">
        <v>1</v>
      </c>
      <c r="I607" s="19" t="s">
        <v>34</v>
      </c>
      <c r="J607" s="8">
        <v>38</v>
      </c>
      <c r="K607" s="19" t="s">
        <v>22</v>
      </c>
      <c r="L607" s="19" t="s">
        <v>38</v>
      </c>
      <c r="M607" s="8">
        <v>1</v>
      </c>
      <c r="N607" s="33">
        <f t="shared" si="72"/>
        <v>0.10889687465969727</v>
      </c>
      <c r="O607" s="23">
        <f t="shared" si="73"/>
        <v>7.0576064466949806E-3</v>
      </c>
      <c r="P607" s="59">
        <f t="shared" si="74"/>
        <v>0.15920044381262785</v>
      </c>
      <c r="Q607" s="30">
        <f t="shared" si="75"/>
        <v>6.4810000000000006E-2</v>
      </c>
      <c r="R607" s="30">
        <f t="shared" si="76"/>
        <v>-6.9433729362753573E-3</v>
      </c>
      <c r="S607" s="12">
        <f t="shared" si="77"/>
        <v>0.99305662706372466</v>
      </c>
      <c r="T607" s="30">
        <f t="shared" si="78"/>
        <v>7.0086028530981165E-3</v>
      </c>
      <c r="U607" s="9" t="str">
        <f t="shared" si="79"/>
        <v>35-44</v>
      </c>
    </row>
    <row r="608" spans="1:21">
      <c r="A608" t="s">
        <v>640</v>
      </c>
      <c r="B608" s="8">
        <v>4609</v>
      </c>
      <c r="C608" s="23">
        <v>0.11398</v>
      </c>
      <c r="D608" s="19" t="s">
        <v>15</v>
      </c>
      <c r="E608" s="21">
        <v>98.546999999999997</v>
      </c>
      <c r="F608" s="21">
        <v>9.2330000000000005</v>
      </c>
      <c r="G608" s="23">
        <v>0</v>
      </c>
      <c r="H608" s="26">
        <v>0</v>
      </c>
      <c r="I608" s="19" t="s">
        <v>21</v>
      </c>
      <c r="J608" s="8">
        <v>26</v>
      </c>
      <c r="K608" s="19" t="s">
        <v>37</v>
      </c>
      <c r="L608" s="19" t="s">
        <v>32</v>
      </c>
      <c r="M608" s="8">
        <v>5</v>
      </c>
      <c r="N608" s="33">
        <f t="shared" si="72"/>
        <v>0</v>
      </c>
      <c r="O608" s="23">
        <f t="shared" si="73"/>
        <v>1.2344849994584642E-2</v>
      </c>
      <c r="P608" s="59">
        <f t="shared" si="74"/>
        <v>9.3691335098988304E-2</v>
      </c>
      <c r="Q608" s="30">
        <f t="shared" si="75"/>
        <v>0</v>
      </c>
      <c r="R608" s="30">
        <f t="shared" si="76"/>
        <v>-1</v>
      </c>
      <c r="S608" s="12">
        <f t="shared" si="77"/>
        <v>0</v>
      </c>
      <c r="T608" s="30">
        <f t="shared" si="78"/>
        <v>0</v>
      </c>
      <c r="U608" s="9" t="str">
        <f t="shared" si="79"/>
        <v>25-34</v>
      </c>
    </row>
    <row r="609" spans="1:21">
      <c r="A609" t="s">
        <v>641</v>
      </c>
      <c r="B609" s="8">
        <v>6814</v>
      </c>
      <c r="C609" s="23">
        <v>6.8290000000000003E-2</v>
      </c>
      <c r="D609" s="19" t="s">
        <v>32</v>
      </c>
      <c r="E609" s="21">
        <v>76.78</v>
      </c>
      <c r="F609" s="21">
        <v>4.8490000000000002</v>
      </c>
      <c r="G609" s="23">
        <v>0</v>
      </c>
      <c r="H609" s="26">
        <v>0</v>
      </c>
      <c r="I609" s="19" t="s">
        <v>17</v>
      </c>
      <c r="J609" s="8">
        <v>38</v>
      </c>
      <c r="K609" s="19" t="s">
        <v>22</v>
      </c>
      <c r="L609" s="19" t="s">
        <v>19</v>
      </c>
      <c r="M609" s="8" t="s">
        <v>1065</v>
      </c>
      <c r="N609" s="33">
        <f t="shared" si="72"/>
        <v>0</v>
      </c>
      <c r="O609" s="23">
        <f t="shared" si="73"/>
        <v>1.4083316147659312E-2</v>
      </c>
      <c r="P609" s="59">
        <f t="shared" si="74"/>
        <v>6.3154467309195106E-2</v>
      </c>
      <c r="Q609" s="30">
        <f t="shared" si="75"/>
        <v>0</v>
      </c>
      <c r="R609" s="30">
        <f t="shared" si="76"/>
        <v>-1</v>
      </c>
      <c r="S609" s="12">
        <f t="shared" si="77"/>
        <v>0</v>
      </c>
      <c r="T609" s="30">
        <f t="shared" si="78"/>
        <v>0</v>
      </c>
      <c r="U609" s="9" t="str">
        <f t="shared" si="79"/>
        <v>35-44</v>
      </c>
    </row>
    <row r="610" spans="1:21">
      <c r="A610" t="s">
        <v>642</v>
      </c>
      <c r="B610" s="8">
        <v>5157</v>
      </c>
      <c r="C610" s="23">
        <v>2.9950000000000001E-2</v>
      </c>
      <c r="D610" s="19" t="s">
        <v>28</v>
      </c>
      <c r="E610" s="21">
        <v>52.374000000000002</v>
      </c>
      <c r="F610" s="21">
        <v>3.5840000000000001</v>
      </c>
      <c r="G610" s="23">
        <v>0</v>
      </c>
      <c r="H610" s="26">
        <v>0</v>
      </c>
      <c r="I610" s="19" t="s">
        <v>21</v>
      </c>
      <c r="J610" s="8">
        <v>19</v>
      </c>
      <c r="K610" s="19" t="s">
        <v>18</v>
      </c>
      <c r="L610" s="19" t="s">
        <v>45</v>
      </c>
      <c r="M610" s="8">
        <v>1</v>
      </c>
      <c r="N610" s="33">
        <f t="shared" si="72"/>
        <v>0</v>
      </c>
      <c r="O610" s="23">
        <f t="shared" si="73"/>
        <v>8.3565848214285712E-3</v>
      </c>
      <c r="P610" s="59">
        <f t="shared" si="74"/>
        <v>6.8430900828655439E-2</v>
      </c>
      <c r="Q610" s="30">
        <f t="shared" si="75"/>
        <v>0</v>
      </c>
      <c r="R610" s="30">
        <f t="shared" si="76"/>
        <v>-1</v>
      </c>
      <c r="S610" s="12">
        <f t="shared" si="77"/>
        <v>0</v>
      </c>
      <c r="T610" s="30">
        <f t="shared" si="78"/>
        <v>0</v>
      </c>
      <c r="U610" s="9" t="str">
        <f t="shared" si="79"/>
        <v>18-24</v>
      </c>
    </row>
    <row r="611" spans="1:21">
      <c r="A611" t="s">
        <v>643</v>
      </c>
      <c r="B611" s="8">
        <v>7908</v>
      </c>
      <c r="C611" s="23">
        <v>0.18484</v>
      </c>
      <c r="D611" s="19" t="s">
        <v>45</v>
      </c>
      <c r="E611" s="21">
        <v>68.239000000000004</v>
      </c>
      <c r="F611" s="21">
        <v>5.0259999999999998</v>
      </c>
      <c r="G611" s="23">
        <v>0</v>
      </c>
      <c r="H611" s="26">
        <v>0</v>
      </c>
      <c r="I611" s="19" t="s">
        <v>26</v>
      </c>
      <c r="J611" s="8">
        <v>39</v>
      </c>
      <c r="K611" s="19" t="s">
        <v>18</v>
      </c>
      <c r="L611" s="19" t="s">
        <v>23</v>
      </c>
      <c r="M611" s="8">
        <v>4</v>
      </c>
      <c r="N611" s="33">
        <f t="shared" si="72"/>
        <v>0</v>
      </c>
      <c r="O611" s="23">
        <f t="shared" si="73"/>
        <v>3.6776760843613213E-2</v>
      </c>
      <c r="P611" s="59">
        <f t="shared" si="74"/>
        <v>7.3652896437521057E-2</v>
      </c>
      <c r="Q611" s="30">
        <f t="shared" si="75"/>
        <v>0</v>
      </c>
      <c r="R611" s="30">
        <f t="shared" si="76"/>
        <v>-1</v>
      </c>
      <c r="S611" s="12">
        <f t="shared" si="77"/>
        <v>0</v>
      </c>
      <c r="T611" s="30">
        <f t="shared" si="78"/>
        <v>0</v>
      </c>
      <c r="U611" s="9" t="str">
        <f t="shared" si="79"/>
        <v>35-44</v>
      </c>
    </row>
    <row r="612" spans="1:21">
      <c r="A612" t="s">
        <v>644</v>
      </c>
      <c r="B612" s="8">
        <v>3353</v>
      </c>
      <c r="C612" s="23">
        <v>4.052E-2</v>
      </c>
      <c r="D612" s="19" t="s">
        <v>40</v>
      </c>
      <c r="E612" s="21">
        <v>31.152000000000001</v>
      </c>
      <c r="F612" s="21">
        <v>7.4610000000000003</v>
      </c>
      <c r="G612" s="23">
        <v>0</v>
      </c>
      <c r="H612" s="26">
        <v>0</v>
      </c>
      <c r="I612" s="19" t="s">
        <v>21</v>
      </c>
      <c r="J612" s="8">
        <v>65</v>
      </c>
      <c r="K612" s="19" t="s">
        <v>22</v>
      </c>
      <c r="L612" s="19" t="s">
        <v>45</v>
      </c>
      <c r="M612" s="8">
        <v>3</v>
      </c>
      <c r="N612" s="33">
        <f t="shared" si="72"/>
        <v>0</v>
      </c>
      <c r="O612" s="23">
        <f t="shared" si="73"/>
        <v>5.4309073850690257E-3</v>
      </c>
      <c r="P612" s="59">
        <f t="shared" si="74"/>
        <v>0.23950308166409862</v>
      </c>
      <c r="Q612" s="30">
        <f t="shared" si="75"/>
        <v>0</v>
      </c>
      <c r="R612" s="30">
        <f t="shared" si="76"/>
        <v>-1</v>
      </c>
      <c r="S612" s="12">
        <f t="shared" si="77"/>
        <v>0</v>
      </c>
      <c r="T612" s="30">
        <f t="shared" si="78"/>
        <v>0</v>
      </c>
      <c r="U612" s="9" t="str">
        <f t="shared" si="79"/>
        <v>55+</v>
      </c>
    </row>
    <row r="613" spans="1:21">
      <c r="A613" t="s">
        <v>645</v>
      </c>
      <c r="B613" s="8">
        <v>4524</v>
      </c>
      <c r="C613" s="23">
        <v>0.16567000000000001</v>
      </c>
      <c r="D613" s="19" t="s">
        <v>32</v>
      </c>
      <c r="E613" s="21">
        <v>62.524999999999999</v>
      </c>
      <c r="F613" s="21">
        <v>9.7799999999999994</v>
      </c>
      <c r="G613" s="23">
        <v>0</v>
      </c>
      <c r="H613" s="26">
        <v>0</v>
      </c>
      <c r="I613" s="19" t="s">
        <v>34</v>
      </c>
      <c r="J613" s="8">
        <v>26</v>
      </c>
      <c r="K613" s="19" t="s">
        <v>22</v>
      </c>
      <c r="L613" s="19" t="s">
        <v>32</v>
      </c>
      <c r="M613" s="8">
        <v>1</v>
      </c>
      <c r="N613" s="33">
        <f t="shared" si="72"/>
        <v>0</v>
      </c>
      <c r="O613" s="23">
        <f t="shared" si="73"/>
        <v>1.6939672801635993E-2</v>
      </c>
      <c r="P613" s="59">
        <f t="shared" si="74"/>
        <v>0.15641743302678929</v>
      </c>
      <c r="Q613" s="30">
        <f t="shared" si="75"/>
        <v>0</v>
      </c>
      <c r="R613" s="30">
        <f t="shared" si="76"/>
        <v>-1</v>
      </c>
      <c r="S613" s="12">
        <f t="shared" si="77"/>
        <v>0</v>
      </c>
      <c r="T613" s="30">
        <f t="shared" si="78"/>
        <v>0</v>
      </c>
      <c r="U613" s="9" t="str">
        <f t="shared" si="79"/>
        <v>25-34</v>
      </c>
    </row>
    <row r="614" spans="1:21">
      <c r="A614" t="s">
        <v>646</v>
      </c>
      <c r="B614" s="8">
        <v>3740</v>
      </c>
      <c r="C614" s="23">
        <v>8.5900000000000004E-2</v>
      </c>
      <c r="D614" s="19" t="s">
        <v>28</v>
      </c>
      <c r="E614" s="21">
        <v>52.360999999999997</v>
      </c>
      <c r="F614" s="21">
        <v>1.633</v>
      </c>
      <c r="G614" s="23">
        <v>0</v>
      </c>
      <c r="H614" s="26">
        <v>0</v>
      </c>
      <c r="I614" s="19" t="s">
        <v>26</v>
      </c>
      <c r="J614" s="8">
        <v>40</v>
      </c>
      <c r="K614" s="19" t="s">
        <v>18</v>
      </c>
      <c r="L614" s="19" t="s">
        <v>32</v>
      </c>
      <c r="M614" s="8">
        <v>5</v>
      </c>
      <c r="N614" s="33">
        <f t="shared" si="72"/>
        <v>0</v>
      </c>
      <c r="O614" s="23">
        <f t="shared" si="73"/>
        <v>5.2602571953459895E-2</v>
      </c>
      <c r="P614" s="59">
        <f t="shared" si="74"/>
        <v>3.1187334084528562E-2</v>
      </c>
      <c r="Q614" s="30">
        <f t="shared" si="75"/>
        <v>0</v>
      </c>
      <c r="R614" s="30">
        <f t="shared" si="76"/>
        <v>-1</v>
      </c>
      <c r="S614" s="12">
        <f t="shared" si="77"/>
        <v>0</v>
      </c>
      <c r="T614" s="30">
        <f t="shared" si="78"/>
        <v>0</v>
      </c>
      <c r="U614" s="9" t="str">
        <f t="shared" si="79"/>
        <v>35-44</v>
      </c>
    </row>
    <row r="615" spans="1:21">
      <c r="A615" t="s">
        <v>647</v>
      </c>
      <c r="B615" s="8">
        <v>9965</v>
      </c>
      <c r="C615" s="23">
        <v>8.8239999999999999E-2</v>
      </c>
      <c r="D615" s="19" t="s">
        <v>32</v>
      </c>
      <c r="E615" s="21">
        <v>51.6</v>
      </c>
      <c r="F615" s="21">
        <v>8.61</v>
      </c>
      <c r="G615" s="23">
        <v>0</v>
      </c>
      <c r="H615" s="26">
        <v>0</v>
      </c>
      <c r="I615" s="19" t="s">
        <v>17</v>
      </c>
      <c r="J615" s="8">
        <v>58</v>
      </c>
      <c r="K615" s="19" t="s">
        <v>31</v>
      </c>
      <c r="L615" s="19" t="s">
        <v>19</v>
      </c>
      <c r="M615" s="8" t="s">
        <v>1065</v>
      </c>
      <c r="N615" s="33">
        <f t="shared" si="72"/>
        <v>0</v>
      </c>
      <c r="O615" s="23">
        <f t="shared" si="73"/>
        <v>1.0248548199767712E-2</v>
      </c>
      <c r="P615" s="59">
        <f t="shared" si="74"/>
        <v>0.16686046511627906</v>
      </c>
      <c r="Q615" s="30">
        <f t="shared" si="75"/>
        <v>0</v>
      </c>
      <c r="R615" s="30">
        <f t="shared" si="76"/>
        <v>-1</v>
      </c>
      <c r="S615" s="12">
        <f t="shared" si="77"/>
        <v>0</v>
      </c>
      <c r="T615" s="30">
        <f t="shared" si="78"/>
        <v>0</v>
      </c>
      <c r="U615" s="9" t="str">
        <f t="shared" si="79"/>
        <v>55+</v>
      </c>
    </row>
    <row r="616" spans="1:21">
      <c r="A616" t="s">
        <v>648</v>
      </c>
      <c r="B616" s="8">
        <v>9317</v>
      </c>
      <c r="C616" s="23">
        <v>0.16822000000000001</v>
      </c>
      <c r="D616" s="19" t="s">
        <v>45</v>
      </c>
      <c r="E616" s="21">
        <v>30.663</v>
      </c>
      <c r="F616" s="21">
        <v>6.5229999999999997</v>
      </c>
      <c r="G616" s="23">
        <v>0</v>
      </c>
      <c r="H616" s="26">
        <v>0</v>
      </c>
      <c r="I616" s="19" t="s">
        <v>21</v>
      </c>
      <c r="J616" s="8">
        <v>42</v>
      </c>
      <c r="K616" s="19" t="s">
        <v>31</v>
      </c>
      <c r="L616" s="19" t="s">
        <v>45</v>
      </c>
      <c r="M616" s="8">
        <v>2</v>
      </c>
      <c r="N616" s="33">
        <f t="shared" si="72"/>
        <v>0</v>
      </c>
      <c r="O616" s="23">
        <f t="shared" si="73"/>
        <v>2.5788747508814967E-2</v>
      </c>
      <c r="P616" s="59">
        <f t="shared" si="74"/>
        <v>0.21273195708182499</v>
      </c>
      <c r="Q616" s="30">
        <f t="shared" si="75"/>
        <v>0</v>
      </c>
      <c r="R616" s="30">
        <f t="shared" si="76"/>
        <v>-1</v>
      </c>
      <c r="S616" s="12">
        <f t="shared" si="77"/>
        <v>0</v>
      </c>
      <c r="T616" s="30">
        <f t="shared" si="78"/>
        <v>0</v>
      </c>
      <c r="U616" s="9" t="str">
        <f t="shared" si="79"/>
        <v>35-44</v>
      </c>
    </row>
    <row r="617" spans="1:21">
      <c r="A617" t="s">
        <v>649</v>
      </c>
      <c r="B617" s="8">
        <v>4952</v>
      </c>
      <c r="C617" s="23">
        <v>0.12121999999999999</v>
      </c>
      <c r="D617" s="19" t="s">
        <v>45</v>
      </c>
      <c r="E617" s="21">
        <v>84.106999999999999</v>
      </c>
      <c r="F617" s="21">
        <v>8.9809999999999999</v>
      </c>
      <c r="G617" s="23">
        <v>0</v>
      </c>
      <c r="H617" s="26">
        <v>0</v>
      </c>
      <c r="I617" s="19" t="s">
        <v>34</v>
      </c>
      <c r="J617" s="8">
        <v>58</v>
      </c>
      <c r="K617" s="19" t="s">
        <v>31</v>
      </c>
      <c r="L617" s="19" t="s">
        <v>32</v>
      </c>
      <c r="M617" s="8">
        <v>5</v>
      </c>
      <c r="N617" s="33">
        <f t="shared" si="72"/>
        <v>0</v>
      </c>
      <c r="O617" s="23">
        <f t="shared" si="73"/>
        <v>1.3497383364881417E-2</v>
      </c>
      <c r="P617" s="59">
        <f t="shared" si="74"/>
        <v>0.10678064845970014</v>
      </c>
      <c r="Q617" s="30">
        <f t="shared" si="75"/>
        <v>0</v>
      </c>
      <c r="R617" s="30">
        <f t="shared" si="76"/>
        <v>-1</v>
      </c>
      <c r="S617" s="12">
        <f t="shared" si="77"/>
        <v>0</v>
      </c>
      <c r="T617" s="30">
        <f t="shared" si="78"/>
        <v>0</v>
      </c>
      <c r="U617" s="9" t="str">
        <f t="shared" si="79"/>
        <v>55+</v>
      </c>
    </row>
    <row r="618" spans="1:21">
      <c r="A618" t="s">
        <v>650</v>
      </c>
      <c r="B618" s="8">
        <v>1801</v>
      </c>
      <c r="C618" s="23">
        <v>8.4600000000000005E-3</v>
      </c>
      <c r="D618" s="19" t="s">
        <v>15</v>
      </c>
      <c r="E618" s="21">
        <v>67.483999999999995</v>
      </c>
      <c r="F618" s="21">
        <v>1.84</v>
      </c>
      <c r="G618" s="23">
        <v>0.11641</v>
      </c>
      <c r="H618" s="26">
        <v>1</v>
      </c>
      <c r="I618" s="19" t="s">
        <v>26</v>
      </c>
      <c r="J618" s="8">
        <v>41</v>
      </c>
      <c r="K618" s="19" t="s">
        <v>22</v>
      </c>
      <c r="L618" s="19" t="s">
        <v>32</v>
      </c>
      <c r="M618" s="8">
        <v>1</v>
      </c>
      <c r="N618" s="33">
        <f t="shared" si="72"/>
        <v>0.54347826086956519</v>
      </c>
      <c r="O618" s="23">
        <f t="shared" si="73"/>
        <v>4.597826086956522E-3</v>
      </c>
      <c r="P618" s="59">
        <f t="shared" si="74"/>
        <v>2.7265722245272957E-2</v>
      </c>
      <c r="Q618" s="30">
        <f t="shared" si="75"/>
        <v>8.4600000000000005E-3</v>
      </c>
      <c r="R618" s="30">
        <f t="shared" si="76"/>
        <v>12.760047281323876</v>
      </c>
      <c r="S618" s="12">
        <f t="shared" si="77"/>
        <v>13.760047281323876</v>
      </c>
      <c r="T618" s="30">
        <f t="shared" si="78"/>
        <v>6.3266304347826083E-2</v>
      </c>
      <c r="U618" s="9" t="str">
        <f t="shared" si="79"/>
        <v>35-44</v>
      </c>
    </row>
    <row r="619" spans="1:21">
      <c r="A619" t="s">
        <v>651</v>
      </c>
      <c r="B619" s="8">
        <v>6717</v>
      </c>
      <c r="C619" s="23">
        <v>0.14605000000000001</v>
      </c>
      <c r="D619" s="19" t="s">
        <v>32</v>
      </c>
      <c r="E619" s="21">
        <v>72.891999999999996</v>
      </c>
      <c r="F619" s="21">
        <v>8.5879999999999992</v>
      </c>
      <c r="G619" s="23">
        <v>0</v>
      </c>
      <c r="H619" s="26">
        <v>1</v>
      </c>
      <c r="I619" s="19" t="s">
        <v>26</v>
      </c>
      <c r="J619" s="8">
        <v>43</v>
      </c>
      <c r="K619" s="19" t="s">
        <v>18</v>
      </c>
      <c r="L619" s="19" t="s">
        <v>38</v>
      </c>
      <c r="M619" s="8">
        <v>2</v>
      </c>
      <c r="N619" s="33">
        <f t="shared" si="72"/>
        <v>0.11644154634373545</v>
      </c>
      <c r="O619" s="23">
        <f t="shared" si="73"/>
        <v>1.7006287843502565E-2</v>
      </c>
      <c r="P619" s="59">
        <f t="shared" si="74"/>
        <v>0.11781814190857706</v>
      </c>
      <c r="Q619" s="30">
        <f t="shared" si="75"/>
        <v>0.14605000000000001</v>
      </c>
      <c r="R619" s="30">
        <f t="shared" si="76"/>
        <v>-1</v>
      </c>
      <c r="S619" s="12">
        <f t="shared" si="77"/>
        <v>0</v>
      </c>
      <c r="T619" s="30">
        <f t="shared" si="78"/>
        <v>0</v>
      </c>
      <c r="U619" s="9" t="str">
        <f t="shared" si="79"/>
        <v>35-44</v>
      </c>
    </row>
    <row r="620" spans="1:21">
      <c r="A620" t="s">
        <v>652</v>
      </c>
      <c r="B620" s="8">
        <v>5198</v>
      </c>
      <c r="C620" s="23">
        <v>0.11326</v>
      </c>
      <c r="D620" s="19" t="s">
        <v>45</v>
      </c>
      <c r="E620" s="21">
        <v>82.260999999999996</v>
      </c>
      <c r="F620" s="21">
        <v>3.9380000000000002</v>
      </c>
      <c r="G620" s="23">
        <v>0</v>
      </c>
      <c r="H620" s="26">
        <v>0</v>
      </c>
      <c r="I620" s="19" t="s">
        <v>17</v>
      </c>
      <c r="J620" s="8">
        <v>19</v>
      </c>
      <c r="K620" s="19" t="s">
        <v>22</v>
      </c>
      <c r="L620" s="19" t="s">
        <v>45</v>
      </c>
      <c r="M620" s="8">
        <v>4</v>
      </c>
      <c r="N620" s="33">
        <f t="shared" si="72"/>
        <v>0</v>
      </c>
      <c r="O620" s="23">
        <f t="shared" si="73"/>
        <v>2.8760792280345351E-2</v>
      </c>
      <c r="P620" s="59">
        <f t="shared" si="74"/>
        <v>4.7872017116251935E-2</v>
      </c>
      <c r="Q620" s="30">
        <f t="shared" si="75"/>
        <v>0</v>
      </c>
      <c r="R620" s="30">
        <f t="shared" si="76"/>
        <v>-1</v>
      </c>
      <c r="S620" s="12">
        <f t="shared" si="77"/>
        <v>0</v>
      </c>
      <c r="T620" s="30">
        <f t="shared" si="78"/>
        <v>0</v>
      </c>
      <c r="U620" s="9" t="str">
        <f t="shared" si="79"/>
        <v>18-24</v>
      </c>
    </row>
    <row r="621" spans="1:21">
      <c r="A621" t="s">
        <v>653</v>
      </c>
      <c r="B621" s="8">
        <v>8874</v>
      </c>
      <c r="C621" s="23">
        <v>0.12639</v>
      </c>
      <c r="D621" s="19" t="s">
        <v>28</v>
      </c>
      <c r="E621" s="21">
        <v>24.902000000000001</v>
      </c>
      <c r="F621" s="21">
        <v>8.3469999999999995</v>
      </c>
      <c r="G621" s="23">
        <v>0</v>
      </c>
      <c r="H621" s="26">
        <v>0</v>
      </c>
      <c r="I621" s="19" t="s">
        <v>29</v>
      </c>
      <c r="J621" s="8">
        <v>27</v>
      </c>
      <c r="K621" s="19" t="s">
        <v>18</v>
      </c>
      <c r="L621" s="19" t="s">
        <v>23</v>
      </c>
      <c r="M621" s="8">
        <v>3</v>
      </c>
      <c r="N621" s="33">
        <f t="shared" si="72"/>
        <v>0</v>
      </c>
      <c r="O621" s="23">
        <f t="shared" si="73"/>
        <v>1.5141967173834913E-2</v>
      </c>
      <c r="P621" s="59">
        <f t="shared" si="74"/>
        <v>0.33519396032447191</v>
      </c>
      <c r="Q621" s="30">
        <f t="shared" si="75"/>
        <v>0</v>
      </c>
      <c r="R621" s="30">
        <f t="shared" si="76"/>
        <v>-1</v>
      </c>
      <c r="S621" s="12">
        <f t="shared" si="77"/>
        <v>0</v>
      </c>
      <c r="T621" s="30">
        <f t="shared" si="78"/>
        <v>0</v>
      </c>
      <c r="U621" s="9" t="str">
        <f t="shared" si="79"/>
        <v>25-34</v>
      </c>
    </row>
    <row r="622" spans="1:21">
      <c r="A622" t="s">
        <v>654</v>
      </c>
      <c r="B622" s="8">
        <v>3712</v>
      </c>
      <c r="C622" s="23">
        <v>4.8460000000000003E-2</v>
      </c>
      <c r="D622" s="19" t="s">
        <v>25</v>
      </c>
      <c r="E622" s="21">
        <v>56.838999999999999</v>
      </c>
      <c r="F622" s="21">
        <v>6.0069999999999997</v>
      </c>
      <c r="G622" s="23">
        <v>0</v>
      </c>
      <c r="H622" s="26">
        <v>0</v>
      </c>
      <c r="I622" s="19" t="s">
        <v>26</v>
      </c>
      <c r="J622" s="8">
        <v>45</v>
      </c>
      <c r="K622" s="19" t="s">
        <v>37</v>
      </c>
      <c r="L622" s="19" t="s">
        <v>32</v>
      </c>
      <c r="M622" s="8">
        <v>2</v>
      </c>
      <c r="N622" s="33">
        <f t="shared" si="72"/>
        <v>0</v>
      </c>
      <c r="O622" s="23">
        <f t="shared" si="73"/>
        <v>8.0672548693191282E-3</v>
      </c>
      <c r="P622" s="59">
        <f t="shared" si="74"/>
        <v>0.10568447720755116</v>
      </c>
      <c r="Q622" s="30">
        <f t="shared" si="75"/>
        <v>0</v>
      </c>
      <c r="R622" s="30">
        <f t="shared" si="76"/>
        <v>-1</v>
      </c>
      <c r="S622" s="12">
        <f t="shared" si="77"/>
        <v>0</v>
      </c>
      <c r="T622" s="30">
        <f t="shared" si="78"/>
        <v>0</v>
      </c>
      <c r="U622" s="9" t="str">
        <f t="shared" si="79"/>
        <v>45-54</v>
      </c>
    </row>
    <row r="623" spans="1:21">
      <c r="A623" t="s">
        <v>655</v>
      </c>
      <c r="B623" s="8">
        <v>4035</v>
      </c>
      <c r="C623" s="23">
        <v>2.034E-2</v>
      </c>
      <c r="D623" s="19" t="s">
        <v>15</v>
      </c>
      <c r="E623" s="21">
        <v>37.408999999999999</v>
      </c>
      <c r="F623" s="21">
        <v>1.3520000000000001</v>
      </c>
      <c r="G623" s="23">
        <v>0</v>
      </c>
      <c r="H623" s="26">
        <v>0</v>
      </c>
      <c r="I623" s="19" t="s">
        <v>17</v>
      </c>
      <c r="J623" s="8">
        <v>49</v>
      </c>
      <c r="K623" s="19" t="s">
        <v>22</v>
      </c>
      <c r="L623" s="19" t="s">
        <v>23</v>
      </c>
      <c r="M623" s="8">
        <v>1</v>
      </c>
      <c r="N623" s="33">
        <f t="shared" si="72"/>
        <v>0</v>
      </c>
      <c r="O623" s="23">
        <f t="shared" si="73"/>
        <v>1.5044378698224852E-2</v>
      </c>
      <c r="P623" s="59">
        <f t="shared" si="74"/>
        <v>3.6141035579673346E-2</v>
      </c>
      <c r="Q623" s="30">
        <f t="shared" si="75"/>
        <v>0</v>
      </c>
      <c r="R623" s="30">
        <f t="shared" si="76"/>
        <v>-1</v>
      </c>
      <c r="S623" s="12">
        <f t="shared" si="77"/>
        <v>0</v>
      </c>
      <c r="T623" s="30">
        <f t="shared" si="78"/>
        <v>0</v>
      </c>
      <c r="U623" s="9" t="str">
        <f t="shared" si="79"/>
        <v>45-54</v>
      </c>
    </row>
    <row r="624" spans="1:21">
      <c r="A624" t="s">
        <v>656</v>
      </c>
      <c r="B624" s="8">
        <v>5610</v>
      </c>
      <c r="C624" s="23">
        <v>0</v>
      </c>
      <c r="D624" s="19" t="s">
        <v>15</v>
      </c>
      <c r="E624" s="21">
        <v>49.298999999999999</v>
      </c>
      <c r="F624" s="21">
        <v>7.7869999999999999</v>
      </c>
      <c r="G624" s="23">
        <v>0.40598000000000001</v>
      </c>
      <c r="H624" s="26">
        <v>1</v>
      </c>
      <c r="I624" s="19" t="s">
        <v>1067</v>
      </c>
      <c r="J624" s="8">
        <v>27</v>
      </c>
      <c r="K624" s="19" t="s">
        <v>22</v>
      </c>
      <c r="L624" s="19" t="s">
        <v>23</v>
      </c>
      <c r="M624" s="8" t="s">
        <v>1065</v>
      </c>
      <c r="N624" s="33">
        <f t="shared" si="72"/>
        <v>0.1284191601386927</v>
      </c>
      <c r="O624" s="23">
        <f t="shared" si="73"/>
        <v>0</v>
      </c>
      <c r="P624" s="59">
        <f t="shared" si="74"/>
        <v>0.15795452240410557</v>
      </c>
      <c r="Q624" s="30">
        <f t="shared" si="75"/>
        <v>0</v>
      </c>
      <c r="R624" s="30">
        <f t="shared" si="76"/>
        <v>0</v>
      </c>
      <c r="S624" s="12" t="e">
        <f t="shared" si="77"/>
        <v>#DIV/0!</v>
      </c>
      <c r="T624" s="30">
        <f t="shared" si="78"/>
        <v>5.2135610633106462E-2</v>
      </c>
      <c r="U624" s="9" t="str">
        <f t="shared" si="79"/>
        <v>25-34</v>
      </c>
    </row>
    <row r="625" spans="1:21">
      <c r="A625" t="s">
        <v>657</v>
      </c>
      <c r="B625" s="8">
        <v>4198</v>
      </c>
      <c r="C625" s="23">
        <v>0</v>
      </c>
      <c r="D625" s="19" t="s">
        <v>45</v>
      </c>
      <c r="E625" s="21">
        <v>43.716000000000001</v>
      </c>
      <c r="F625" s="21">
        <v>8.8350000000000009</v>
      </c>
      <c r="G625" s="23">
        <v>0</v>
      </c>
      <c r="H625" s="26">
        <v>0</v>
      </c>
      <c r="I625" s="19" t="s">
        <v>17</v>
      </c>
      <c r="J625" s="8">
        <v>37</v>
      </c>
      <c r="K625" s="19" t="s">
        <v>37</v>
      </c>
      <c r="L625" s="19" t="s">
        <v>19</v>
      </c>
      <c r="M625" s="8">
        <v>5</v>
      </c>
      <c r="N625" s="33">
        <f t="shared" si="72"/>
        <v>0</v>
      </c>
      <c r="O625" s="23">
        <f t="shared" si="73"/>
        <v>0</v>
      </c>
      <c r="P625" s="59">
        <f t="shared" si="74"/>
        <v>0.20209991765028823</v>
      </c>
      <c r="Q625" s="30">
        <f t="shared" si="75"/>
        <v>0</v>
      </c>
      <c r="R625" s="30">
        <f t="shared" si="76"/>
        <v>0</v>
      </c>
      <c r="S625" s="12">
        <f t="shared" si="77"/>
        <v>0</v>
      </c>
      <c r="T625" s="30">
        <f t="shared" si="78"/>
        <v>0</v>
      </c>
      <c r="U625" s="9" t="str">
        <f t="shared" si="79"/>
        <v>35-44</v>
      </c>
    </row>
    <row r="626" spans="1:21">
      <c r="A626" t="s">
        <v>658</v>
      </c>
      <c r="B626" s="8">
        <v>3055</v>
      </c>
      <c r="C626" s="23">
        <v>0.10218000000000001</v>
      </c>
      <c r="D626" s="19" t="s">
        <v>28</v>
      </c>
      <c r="E626" s="21">
        <v>63.606000000000002</v>
      </c>
      <c r="F626" s="21">
        <v>0.22500000000000001</v>
      </c>
      <c r="G626" s="23">
        <v>0</v>
      </c>
      <c r="H626" s="26">
        <v>0</v>
      </c>
      <c r="I626" s="19" t="s">
        <v>34</v>
      </c>
      <c r="J626" s="8">
        <v>63</v>
      </c>
      <c r="K626" s="19" t="s">
        <v>18</v>
      </c>
      <c r="L626" s="19" t="s">
        <v>38</v>
      </c>
      <c r="M626" s="8">
        <v>4</v>
      </c>
      <c r="N626" s="33">
        <f t="shared" si="72"/>
        <v>0</v>
      </c>
      <c r="O626" s="23">
        <f t="shared" si="73"/>
        <v>0.45413333333333333</v>
      </c>
      <c r="P626" s="59">
        <f t="shared" si="74"/>
        <v>3.5374021318743515E-3</v>
      </c>
      <c r="Q626" s="30">
        <f t="shared" si="75"/>
        <v>0</v>
      </c>
      <c r="R626" s="30">
        <f t="shared" si="76"/>
        <v>-1</v>
      </c>
      <c r="S626" s="12">
        <f t="shared" si="77"/>
        <v>0</v>
      </c>
      <c r="T626" s="30">
        <f t="shared" si="78"/>
        <v>0</v>
      </c>
      <c r="U626" s="9" t="str">
        <f t="shared" si="79"/>
        <v>55+</v>
      </c>
    </row>
    <row r="627" spans="1:21">
      <c r="A627" t="s">
        <v>659</v>
      </c>
      <c r="B627" s="8">
        <v>9508</v>
      </c>
      <c r="C627" s="23">
        <v>0.16375000000000001</v>
      </c>
      <c r="D627" s="19" t="s">
        <v>28</v>
      </c>
      <c r="E627" s="21">
        <v>58.752000000000002</v>
      </c>
      <c r="F627" s="21">
        <v>7.407</v>
      </c>
      <c r="G627" s="23">
        <v>0</v>
      </c>
      <c r="H627" s="26">
        <v>0</v>
      </c>
      <c r="I627" s="19" t="s">
        <v>21</v>
      </c>
      <c r="J627" s="8">
        <v>23</v>
      </c>
      <c r="K627" s="19" t="s">
        <v>31</v>
      </c>
      <c r="L627" s="19" t="s">
        <v>23</v>
      </c>
      <c r="M627" s="8">
        <v>3</v>
      </c>
      <c r="N627" s="33">
        <f t="shared" si="72"/>
        <v>0</v>
      </c>
      <c r="O627" s="23">
        <f t="shared" si="73"/>
        <v>2.2107465910625086E-2</v>
      </c>
      <c r="P627" s="59">
        <f t="shared" si="74"/>
        <v>0.12607230392156862</v>
      </c>
      <c r="Q627" s="30">
        <f t="shared" si="75"/>
        <v>0</v>
      </c>
      <c r="R627" s="30">
        <f t="shared" si="76"/>
        <v>-1</v>
      </c>
      <c r="S627" s="12">
        <f t="shared" si="77"/>
        <v>0</v>
      </c>
      <c r="T627" s="30">
        <f t="shared" si="78"/>
        <v>0</v>
      </c>
      <c r="U627" s="9" t="str">
        <f t="shared" si="79"/>
        <v>18-24</v>
      </c>
    </row>
    <row r="628" spans="1:21">
      <c r="A628" t="s">
        <v>660</v>
      </c>
      <c r="B628" s="8">
        <v>9794</v>
      </c>
      <c r="C628" s="23">
        <v>9.239E-2</v>
      </c>
      <c r="D628" s="19" t="s">
        <v>28</v>
      </c>
      <c r="E628" s="21">
        <v>43.222000000000001</v>
      </c>
      <c r="F628" s="21">
        <v>5.1429999999999998</v>
      </c>
      <c r="G628" s="23">
        <v>0</v>
      </c>
      <c r="H628" s="26">
        <v>0</v>
      </c>
      <c r="I628" s="19" t="s">
        <v>21</v>
      </c>
      <c r="J628" s="8">
        <v>32</v>
      </c>
      <c r="K628" s="19" t="s">
        <v>18</v>
      </c>
      <c r="L628" s="19" t="s">
        <v>19</v>
      </c>
      <c r="M628" s="8">
        <v>1</v>
      </c>
      <c r="N628" s="33">
        <f t="shared" si="72"/>
        <v>0</v>
      </c>
      <c r="O628" s="23">
        <f t="shared" si="73"/>
        <v>1.7964223216021778E-2</v>
      </c>
      <c r="P628" s="59">
        <f t="shared" si="74"/>
        <v>0.11899032899912081</v>
      </c>
      <c r="Q628" s="30">
        <f t="shared" si="75"/>
        <v>0</v>
      </c>
      <c r="R628" s="30">
        <f t="shared" si="76"/>
        <v>-1</v>
      </c>
      <c r="S628" s="12">
        <f t="shared" si="77"/>
        <v>0</v>
      </c>
      <c r="T628" s="30">
        <f t="shared" si="78"/>
        <v>0</v>
      </c>
      <c r="U628" s="9" t="str">
        <f t="shared" si="79"/>
        <v>25-34</v>
      </c>
    </row>
    <row r="629" spans="1:21">
      <c r="A629" t="s">
        <v>661</v>
      </c>
      <c r="B629" s="8">
        <v>1350</v>
      </c>
      <c r="C629" s="23">
        <v>0.19789000000000001</v>
      </c>
      <c r="D629" s="19" t="s">
        <v>40</v>
      </c>
      <c r="E629" s="21">
        <v>88.626000000000005</v>
      </c>
      <c r="F629" s="21">
        <v>9.6329999999999991</v>
      </c>
      <c r="G629" s="23">
        <v>3.5400000000000001E-2</v>
      </c>
      <c r="H629" s="26">
        <v>1</v>
      </c>
      <c r="I629" s="19" t="s">
        <v>29</v>
      </c>
      <c r="J629" s="8">
        <v>53</v>
      </c>
      <c r="K629" s="19" t="s">
        <v>18</v>
      </c>
      <c r="L629" s="19" t="s">
        <v>32</v>
      </c>
      <c r="M629" s="8">
        <v>3</v>
      </c>
      <c r="N629" s="33">
        <f t="shared" si="72"/>
        <v>0.1038098204090107</v>
      </c>
      <c r="O629" s="23">
        <f t="shared" si="73"/>
        <v>2.054292536073913E-2</v>
      </c>
      <c r="P629" s="59">
        <f t="shared" si="74"/>
        <v>0.10869270868593865</v>
      </c>
      <c r="Q629" s="30">
        <f t="shared" si="75"/>
        <v>0.19789000000000001</v>
      </c>
      <c r="R629" s="30">
        <f t="shared" si="76"/>
        <v>-0.82111273940067719</v>
      </c>
      <c r="S629" s="12">
        <f t="shared" si="77"/>
        <v>0.17888726059932286</v>
      </c>
      <c r="T629" s="30">
        <f t="shared" si="78"/>
        <v>3.6748676424789789E-3</v>
      </c>
      <c r="U629" s="9" t="str">
        <f t="shared" si="79"/>
        <v>45-54</v>
      </c>
    </row>
    <row r="630" spans="1:21">
      <c r="A630" t="s">
        <v>662</v>
      </c>
      <c r="B630" s="8">
        <v>8383</v>
      </c>
      <c r="C630" s="23">
        <v>5.9270000000000003E-2</v>
      </c>
      <c r="D630" s="19" t="s">
        <v>32</v>
      </c>
      <c r="E630" s="21">
        <v>50.667999999999999</v>
      </c>
      <c r="F630" s="21">
        <v>1.77</v>
      </c>
      <c r="G630" s="23">
        <v>0</v>
      </c>
      <c r="H630" s="26">
        <v>0</v>
      </c>
      <c r="I630" s="19" t="s">
        <v>26</v>
      </c>
      <c r="J630" s="8">
        <v>33</v>
      </c>
      <c r="K630" s="19" t="s">
        <v>18</v>
      </c>
      <c r="L630" s="19" t="s">
        <v>45</v>
      </c>
      <c r="M630" s="8">
        <v>5</v>
      </c>
      <c r="N630" s="33">
        <f t="shared" si="72"/>
        <v>0</v>
      </c>
      <c r="O630" s="23">
        <f t="shared" si="73"/>
        <v>3.3485875706214689E-2</v>
      </c>
      <c r="P630" s="59">
        <f t="shared" si="74"/>
        <v>3.4933291229178182E-2</v>
      </c>
      <c r="Q630" s="30">
        <f t="shared" si="75"/>
        <v>0</v>
      </c>
      <c r="R630" s="30">
        <f t="shared" si="76"/>
        <v>-1</v>
      </c>
      <c r="S630" s="12">
        <f t="shared" si="77"/>
        <v>0</v>
      </c>
      <c r="T630" s="30">
        <f t="shared" si="78"/>
        <v>0</v>
      </c>
      <c r="U630" s="9" t="str">
        <f t="shared" si="79"/>
        <v>25-34</v>
      </c>
    </row>
    <row r="631" spans="1:21">
      <c r="A631" t="s">
        <v>663</v>
      </c>
      <c r="B631" s="8">
        <v>8645</v>
      </c>
      <c r="C631" s="23">
        <v>5.0369999999999998E-2</v>
      </c>
      <c r="D631" s="19" t="s">
        <v>15</v>
      </c>
      <c r="E631" s="21">
        <v>26.074999999999999</v>
      </c>
      <c r="F631" s="21">
        <v>6.8150000000000004</v>
      </c>
      <c r="G631" s="23">
        <v>0</v>
      </c>
      <c r="H631" s="26">
        <v>0</v>
      </c>
      <c r="I631" s="19" t="s">
        <v>34</v>
      </c>
      <c r="J631" s="8">
        <v>28</v>
      </c>
      <c r="K631" s="19" t="s">
        <v>37</v>
      </c>
      <c r="L631" s="19" t="s">
        <v>38</v>
      </c>
      <c r="M631" s="8" t="s">
        <v>1065</v>
      </c>
      <c r="N631" s="33">
        <f t="shared" si="72"/>
        <v>0</v>
      </c>
      <c r="O631" s="23">
        <f t="shared" si="73"/>
        <v>7.3910491562729263E-3</v>
      </c>
      <c r="P631" s="59">
        <f t="shared" si="74"/>
        <v>0.26136145733461175</v>
      </c>
      <c r="Q631" s="30">
        <f t="shared" si="75"/>
        <v>0</v>
      </c>
      <c r="R631" s="30">
        <f t="shared" si="76"/>
        <v>-1</v>
      </c>
      <c r="S631" s="12">
        <f t="shared" si="77"/>
        <v>0</v>
      </c>
      <c r="T631" s="30">
        <f t="shared" si="78"/>
        <v>0</v>
      </c>
      <c r="U631" s="9" t="str">
        <f t="shared" si="79"/>
        <v>25-34</v>
      </c>
    </row>
    <row r="632" spans="1:21">
      <c r="A632" t="s">
        <v>664</v>
      </c>
      <c r="B632" s="8">
        <v>5986</v>
      </c>
      <c r="C632" s="23">
        <v>0</v>
      </c>
      <c r="D632" s="19" t="s">
        <v>45</v>
      </c>
      <c r="E632" s="21">
        <v>36.15</v>
      </c>
      <c r="F632" s="21">
        <v>1.6679999999999999</v>
      </c>
      <c r="G632" s="23">
        <v>0</v>
      </c>
      <c r="H632" s="26">
        <v>0</v>
      </c>
      <c r="I632" s="19" t="s">
        <v>29</v>
      </c>
      <c r="J632" s="8">
        <v>30</v>
      </c>
      <c r="K632" s="19" t="s">
        <v>37</v>
      </c>
      <c r="L632" s="19" t="s">
        <v>23</v>
      </c>
      <c r="M632" s="8">
        <v>3</v>
      </c>
      <c r="N632" s="33">
        <f t="shared" si="72"/>
        <v>0</v>
      </c>
      <c r="O632" s="23">
        <f t="shared" si="73"/>
        <v>0</v>
      </c>
      <c r="P632" s="59">
        <f t="shared" si="74"/>
        <v>4.6141078838174275E-2</v>
      </c>
      <c r="Q632" s="30">
        <f t="shared" si="75"/>
        <v>0</v>
      </c>
      <c r="R632" s="30">
        <f t="shared" si="76"/>
        <v>0</v>
      </c>
      <c r="S632" s="12">
        <f t="shared" si="77"/>
        <v>0</v>
      </c>
      <c r="T632" s="30">
        <f t="shared" si="78"/>
        <v>0</v>
      </c>
      <c r="U632" s="9" t="str">
        <f t="shared" si="79"/>
        <v>25-34</v>
      </c>
    </row>
    <row r="633" spans="1:21">
      <c r="A633" t="s">
        <v>665</v>
      </c>
      <c r="B633" s="8">
        <v>8659</v>
      </c>
      <c r="C633" s="23">
        <v>0.13417999999999999</v>
      </c>
      <c r="D633" s="19" t="s">
        <v>28</v>
      </c>
      <c r="E633" s="21">
        <v>16.116</v>
      </c>
      <c r="F633" s="21">
        <v>6.5540000000000003</v>
      </c>
      <c r="G633" s="23">
        <v>0</v>
      </c>
      <c r="H633" s="26">
        <v>0</v>
      </c>
      <c r="I633" s="19" t="s">
        <v>17</v>
      </c>
      <c r="J633" s="8">
        <v>54</v>
      </c>
      <c r="K633" s="19" t="s">
        <v>37</v>
      </c>
      <c r="L633" s="19" t="s">
        <v>32</v>
      </c>
      <c r="M633" s="8">
        <v>5</v>
      </c>
      <c r="N633" s="33">
        <f t="shared" si="72"/>
        <v>0</v>
      </c>
      <c r="O633" s="23">
        <f t="shared" si="73"/>
        <v>2.0472993591699722E-2</v>
      </c>
      <c r="P633" s="59">
        <f t="shared" si="74"/>
        <v>0.40667659468850836</v>
      </c>
      <c r="Q633" s="30">
        <f t="shared" si="75"/>
        <v>0</v>
      </c>
      <c r="R633" s="30">
        <f t="shared" si="76"/>
        <v>-1</v>
      </c>
      <c r="S633" s="12">
        <f t="shared" si="77"/>
        <v>0</v>
      </c>
      <c r="T633" s="30">
        <f t="shared" si="78"/>
        <v>0</v>
      </c>
      <c r="U633" s="9" t="str">
        <f t="shared" si="79"/>
        <v>45-54</v>
      </c>
    </row>
    <row r="634" spans="1:21">
      <c r="A634" t="s">
        <v>666</v>
      </c>
      <c r="B634" s="8">
        <v>3504</v>
      </c>
      <c r="C634" s="23">
        <v>0.17115</v>
      </c>
      <c r="D634" s="19" t="s">
        <v>28</v>
      </c>
      <c r="E634" s="21">
        <v>61.645000000000003</v>
      </c>
      <c r="F634" s="21">
        <v>5.8250000000000002</v>
      </c>
      <c r="G634" s="23">
        <v>0.15268000000000001</v>
      </c>
      <c r="H634" s="26">
        <v>1</v>
      </c>
      <c r="I634" s="19" t="s">
        <v>26</v>
      </c>
      <c r="J634" s="8">
        <v>65</v>
      </c>
      <c r="K634" s="19" t="s">
        <v>37</v>
      </c>
      <c r="L634" s="19" t="s">
        <v>23</v>
      </c>
      <c r="M634" s="8" t="s">
        <v>1065</v>
      </c>
      <c r="N634" s="33">
        <f t="shared" si="72"/>
        <v>0.17167381974248927</v>
      </c>
      <c r="O634" s="23">
        <f t="shared" si="73"/>
        <v>2.9381974248927037E-2</v>
      </c>
      <c r="P634" s="59">
        <f t="shared" si="74"/>
        <v>9.4492659583096758E-2</v>
      </c>
      <c r="Q634" s="30">
        <f t="shared" si="75"/>
        <v>0.17115</v>
      </c>
      <c r="R634" s="30">
        <f t="shared" si="76"/>
        <v>-0.10791703184341213</v>
      </c>
      <c r="S634" s="12">
        <f t="shared" si="77"/>
        <v>0.89208296815658783</v>
      </c>
      <c r="T634" s="30">
        <f t="shared" si="78"/>
        <v>2.6211158798283264E-2</v>
      </c>
      <c r="U634" s="9" t="str">
        <f t="shared" si="79"/>
        <v>55+</v>
      </c>
    </row>
    <row r="635" spans="1:21">
      <c r="A635" t="s">
        <v>667</v>
      </c>
      <c r="B635" s="8">
        <v>5406</v>
      </c>
      <c r="C635" s="23">
        <v>6.1120000000000001E-2</v>
      </c>
      <c r="D635" s="19" t="s">
        <v>40</v>
      </c>
      <c r="E635" s="21">
        <v>65.119</v>
      </c>
      <c r="F635" s="21">
        <v>0.69099999999999995</v>
      </c>
      <c r="G635" s="23">
        <v>0.47533999999999998</v>
      </c>
      <c r="H635" s="26">
        <v>1</v>
      </c>
      <c r="I635" s="19" t="s">
        <v>21</v>
      </c>
      <c r="J635" s="8">
        <v>39</v>
      </c>
      <c r="K635" s="19" t="s">
        <v>22</v>
      </c>
      <c r="L635" s="19" t="s">
        <v>19</v>
      </c>
      <c r="M635" s="8">
        <v>3</v>
      </c>
      <c r="N635" s="33">
        <f t="shared" si="72"/>
        <v>1.4471780028943562</v>
      </c>
      <c r="O635" s="23">
        <f t="shared" si="73"/>
        <v>8.8451519536903042E-2</v>
      </c>
      <c r="P635" s="59">
        <f t="shared" si="74"/>
        <v>1.0611342311767686E-2</v>
      </c>
      <c r="Q635" s="30">
        <f t="shared" si="75"/>
        <v>6.1120000000000001E-2</v>
      </c>
      <c r="R635" s="30">
        <f t="shared" si="76"/>
        <v>6.7771596858638743</v>
      </c>
      <c r="S635" s="12">
        <f t="shared" si="77"/>
        <v>7.7771596858638743</v>
      </c>
      <c r="T635" s="30">
        <f t="shared" si="78"/>
        <v>0.68790159189580324</v>
      </c>
      <c r="U635" s="9" t="str">
        <f t="shared" si="79"/>
        <v>35-44</v>
      </c>
    </row>
    <row r="636" spans="1:21">
      <c r="A636" t="s">
        <v>668</v>
      </c>
      <c r="B636" s="8">
        <v>3047</v>
      </c>
      <c r="C636" s="23">
        <v>0</v>
      </c>
      <c r="D636" s="19" t="s">
        <v>15</v>
      </c>
      <c r="E636" s="21">
        <v>54.540999999999997</v>
      </c>
      <c r="F636" s="21">
        <v>9.5640000000000001</v>
      </c>
      <c r="G636" s="23">
        <v>0.1867</v>
      </c>
      <c r="H636" s="26">
        <v>1</v>
      </c>
      <c r="I636" s="19" t="s">
        <v>17</v>
      </c>
      <c r="J636" s="8">
        <v>29</v>
      </c>
      <c r="K636" s="19" t="s">
        <v>31</v>
      </c>
      <c r="L636" s="19" t="s">
        <v>19</v>
      </c>
      <c r="M636" s="8">
        <v>5</v>
      </c>
      <c r="N636" s="33">
        <f t="shared" si="72"/>
        <v>0.10455876202425764</v>
      </c>
      <c r="O636" s="23">
        <f t="shared" si="73"/>
        <v>0</v>
      </c>
      <c r="P636" s="59">
        <f t="shared" si="74"/>
        <v>0.17535432060284925</v>
      </c>
      <c r="Q636" s="30">
        <f t="shared" si="75"/>
        <v>0</v>
      </c>
      <c r="R636" s="30">
        <f t="shared" si="76"/>
        <v>0</v>
      </c>
      <c r="S636" s="12" t="e">
        <f t="shared" si="77"/>
        <v>#DIV/0!</v>
      </c>
      <c r="T636" s="30">
        <f t="shared" si="78"/>
        <v>1.9521120869928899E-2</v>
      </c>
      <c r="U636" s="9" t="str">
        <f t="shared" si="79"/>
        <v>25-34</v>
      </c>
    </row>
    <row r="637" spans="1:21">
      <c r="A637" t="s">
        <v>669</v>
      </c>
      <c r="B637" s="8">
        <v>2999</v>
      </c>
      <c r="C637" s="23">
        <v>0.18540999999999999</v>
      </c>
      <c r="D637" s="19" t="s">
        <v>45</v>
      </c>
      <c r="E637" s="21">
        <v>57.863</v>
      </c>
      <c r="F637" s="21">
        <v>8.3949999999999996</v>
      </c>
      <c r="G637" s="23">
        <v>0</v>
      </c>
      <c r="H637" s="26">
        <v>0</v>
      </c>
      <c r="I637" s="19" t="s">
        <v>17</v>
      </c>
      <c r="J637" s="8">
        <v>43</v>
      </c>
      <c r="K637" s="19" t="s">
        <v>22</v>
      </c>
      <c r="L637" s="19" t="s">
        <v>38</v>
      </c>
      <c r="M637" s="8">
        <v>5</v>
      </c>
      <c r="N637" s="33">
        <f t="shared" si="72"/>
        <v>0</v>
      </c>
      <c r="O637" s="23">
        <f t="shared" si="73"/>
        <v>2.2085765336509827E-2</v>
      </c>
      <c r="P637" s="59">
        <f t="shared" si="74"/>
        <v>0.14508407790816238</v>
      </c>
      <c r="Q637" s="30">
        <f t="shared" si="75"/>
        <v>0</v>
      </c>
      <c r="R637" s="30">
        <f t="shared" si="76"/>
        <v>-1</v>
      </c>
      <c r="S637" s="12">
        <f t="shared" si="77"/>
        <v>0</v>
      </c>
      <c r="T637" s="30">
        <f t="shared" si="78"/>
        <v>0</v>
      </c>
      <c r="U637" s="9" t="str">
        <f t="shared" si="79"/>
        <v>35-44</v>
      </c>
    </row>
    <row r="638" spans="1:21">
      <c r="A638" t="s">
        <v>670</v>
      </c>
      <c r="B638" s="8">
        <v>8640</v>
      </c>
      <c r="C638" s="23">
        <v>0.10342</v>
      </c>
      <c r="D638" s="19" t="s">
        <v>45</v>
      </c>
      <c r="E638" s="21">
        <v>96.715000000000003</v>
      </c>
      <c r="F638" s="21">
        <v>4.7240000000000002</v>
      </c>
      <c r="G638" s="23">
        <v>0.16986000000000001</v>
      </c>
      <c r="H638" s="26">
        <v>1</v>
      </c>
      <c r="I638" s="19" t="s">
        <v>26</v>
      </c>
      <c r="J638" s="8">
        <v>54</v>
      </c>
      <c r="K638" s="19" t="s">
        <v>18</v>
      </c>
      <c r="L638" s="19" t="s">
        <v>45</v>
      </c>
      <c r="M638" s="8">
        <v>4</v>
      </c>
      <c r="N638" s="33">
        <f t="shared" si="72"/>
        <v>0.21168501270110077</v>
      </c>
      <c r="O638" s="23">
        <f t="shared" si="73"/>
        <v>2.189246401354784E-2</v>
      </c>
      <c r="P638" s="59">
        <f t="shared" si="74"/>
        <v>4.8844543245618571E-2</v>
      </c>
      <c r="Q638" s="30">
        <f t="shared" si="75"/>
        <v>0.10342</v>
      </c>
      <c r="R638" s="30">
        <f t="shared" si="76"/>
        <v>0.64242893057435713</v>
      </c>
      <c r="S638" s="12">
        <f t="shared" si="77"/>
        <v>1.6424289305743571</v>
      </c>
      <c r="T638" s="30">
        <f t="shared" si="78"/>
        <v>3.5956816257408979E-2</v>
      </c>
      <c r="U638" s="9" t="str">
        <f t="shared" si="79"/>
        <v>45-54</v>
      </c>
    </row>
    <row r="639" spans="1:21">
      <c r="A639" t="s">
        <v>671</v>
      </c>
      <c r="B639" s="8">
        <v>3900</v>
      </c>
      <c r="C639" s="23">
        <v>0.10481</v>
      </c>
      <c r="D639" s="19" t="s">
        <v>32</v>
      </c>
      <c r="E639" s="21">
        <v>59.034999999999997</v>
      </c>
      <c r="F639" s="21">
        <v>6.6020000000000003</v>
      </c>
      <c r="G639" s="23">
        <v>0</v>
      </c>
      <c r="H639" s="26">
        <v>0</v>
      </c>
      <c r="I639" s="19" t="s">
        <v>17</v>
      </c>
      <c r="J639" s="8">
        <v>54</v>
      </c>
      <c r="K639" s="19" t="s">
        <v>18</v>
      </c>
      <c r="L639" s="19" t="s">
        <v>19</v>
      </c>
      <c r="M639" s="8">
        <v>1</v>
      </c>
      <c r="N639" s="33">
        <f t="shared" si="72"/>
        <v>0</v>
      </c>
      <c r="O639" s="23">
        <f t="shared" si="73"/>
        <v>1.5875492275068161E-2</v>
      </c>
      <c r="P639" s="59">
        <f t="shared" si="74"/>
        <v>0.11183196408909969</v>
      </c>
      <c r="Q639" s="30">
        <f t="shared" si="75"/>
        <v>0</v>
      </c>
      <c r="R639" s="30">
        <f t="shared" si="76"/>
        <v>-1</v>
      </c>
      <c r="S639" s="12">
        <f t="shared" si="77"/>
        <v>0</v>
      </c>
      <c r="T639" s="30">
        <f t="shared" si="78"/>
        <v>0</v>
      </c>
      <c r="U639" s="9" t="str">
        <f t="shared" si="79"/>
        <v>45-54</v>
      </c>
    </row>
    <row r="640" spans="1:21">
      <c r="A640" t="s">
        <v>672</v>
      </c>
      <c r="B640" s="8">
        <v>9894</v>
      </c>
      <c r="C640" s="23">
        <v>8.7970000000000007E-2</v>
      </c>
      <c r="D640" s="19" t="s">
        <v>32</v>
      </c>
      <c r="E640" s="21">
        <v>59.006999999999998</v>
      </c>
      <c r="F640" s="21">
        <v>3.4620000000000002</v>
      </c>
      <c r="G640" s="23">
        <v>0</v>
      </c>
      <c r="H640" s="26">
        <v>0</v>
      </c>
      <c r="I640" s="19" t="s">
        <v>1067</v>
      </c>
      <c r="J640" s="8">
        <v>62</v>
      </c>
      <c r="K640" s="19" t="s">
        <v>37</v>
      </c>
      <c r="L640" s="19" t="s">
        <v>23</v>
      </c>
      <c r="M640" s="8">
        <v>2</v>
      </c>
      <c r="N640" s="33">
        <f t="shared" si="72"/>
        <v>0</v>
      </c>
      <c r="O640" s="23">
        <f t="shared" si="73"/>
        <v>2.5410167533217794E-2</v>
      </c>
      <c r="P640" s="59">
        <f t="shared" si="74"/>
        <v>5.8671005134983988E-2</v>
      </c>
      <c r="Q640" s="30">
        <f t="shared" si="75"/>
        <v>0</v>
      </c>
      <c r="R640" s="30">
        <f t="shared" si="76"/>
        <v>-1</v>
      </c>
      <c r="S640" s="12">
        <f t="shared" si="77"/>
        <v>0</v>
      </c>
      <c r="T640" s="30">
        <f t="shared" si="78"/>
        <v>0</v>
      </c>
      <c r="U640" s="9" t="str">
        <f t="shared" si="79"/>
        <v>55+</v>
      </c>
    </row>
    <row r="641" spans="1:21">
      <c r="A641" t="s">
        <v>673</v>
      </c>
      <c r="B641" s="8">
        <v>8358</v>
      </c>
      <c r="C641" s="23">
        <v>0.13228000000000001</v>
      </c>
      <c r="D641" s="19" t="s">
        <v>15</v>
      </c>
      <c r="E641" s="21">
        <v>78.831000000000003</v>
      </c>
      <c r="F641" s="21">
        <v>0.57599999999999996</v>
      </c>
      <c r="G641" s="23">
        <v>0.16203000000000001</v>
      </c>
      <c r="H641" s="26">
        <v>1</v>
      </c>
      <c r="I641" s="19" t="s">
        <v>21</v>
      </c>
      <c r="J641" s="8">
        <v>26</v>
      </c>
      <c r="K641" s="19" t="s">
        <v>31</v>
      </c>
      <c r="L641" s="19" t="s">
        <v>45</v>
      </c>
      <c r="M641" s="8" t="s">
        <v>1065</v>
      </c>
      <c r="N641" s="33">
        <f t="shared" si="72"/>
        <v>1.7361111111111112</v>
      </c>
      <c r="O641" s="23">
        <f t="shared" si="73"/>
        <v>0.22965277777777782</v>
      </c>
      <c r="P641" s="59">
        <f t="shared" si="74"/>
        <v>7.3067701792442052E-3</v>
      </c>
      <c r="Q641" s="30">
        <f t="shared" si="75"/>
        <v>0.13228000000000001</v>
      </c>
      <c r="R641" s="30">
        <f t="shared" si="76"/>
        <v>0.22490172361657088</v>
      </c>
      <c r="S641" s="12">
        <f t="shared" si="77"/>
        <v>1.2249017236165709</v>
      </c>
      <c r="T641" s="30">
        <f t="shared" si="78"/>
        <v>0.28130208333333334</v>
      </c>
      <c r="U641" s="9" t="str">
        <f t="shared" si="79"/>
        <v>25-34</v>
      </c>
    </row>
    <row r="642" spans="1:21">
      <c r="A642" t="s">
        <v>674</v>
      </c>
      <c r="B642" s="8">
        <v>5316</v>
      </c>
      <c r="C642" s="23">
        <v>6.6790000000000002E-2</v>
      </c>
      <c r="D642" s="19" t="s">
        <v>28</v>
      </c>
      <c r="E642" s="21">
        <v>62.107999999999997</v>
      </c>
      <c r="F642" s="21">
        <v>1.2969999999999999</v>
      </c>
      <c r="G642" s="23">
        <v>0.16087000000000001</v>
      </c>
      <c r="H642" s="26">
        <v>1</v>
      </c>
      <c r="I642" s="19" t="s">
        <v>26</v>
      </c>
      <c r="J642" s="8">
        <v>25</v>
      </c>
      <c r="K642" s="19" t="s">
        <v>18</v>
      </c>
      <c r="L642" s="19" t="s">
        <v>45</v>
      </c>
      <c r="M642" s="8">
        <v>1</v>
      </c>
      <c r="N642" s="33">
        <f t="shared" ref="N642:N705" si="80">IF(F642=0,0,H642/F642)</f>
        <v>0.77101002313030076</v>
      </c>
      <c r="O642" s="23">
        <f t="shared" ref="O642:O705" si="81">IF(F642=0,0,C642/F642)</f>
        <v>5.1495759444872787E-2</v>
      </c>
      <c r="P642" s="59">
        <f t="shared" ref="P642:P705" si="82">IF(E642=0,0,F642/E642)</f>
        <v>2.088297803825594E-2</v>
      </c>
      <c r="Q642" s="30">
        <f t="shared" ref="Q642:Q705" si="83">IF(H642=0,0,C642/H642)</f>
        <v>6.6790000000000002E-2</v>
      </c>
      <c r="R642" s="30">
        <f t="shared" ref="R642:R705" si="84">IF(C642=0,0,(G642-C642)/C642)</f>
        <v>1.4085941009133105</v>
      </c>
      <c r="S642" s="12">
        <f t="shared" ref="S642:S705" si="85">IF(G642=0,0,G642/C642)</f>
        <v>2.4085941009133105</v>
      </c>
      <c r="T642" s="30">
        <f t="shared" ref="T642:T705" si="86">IF(F642=0,0,G642/F642)</f>
        <v>0.12403238242097149</v>
      </c>
      <c r="U642" s="9" t="str">
        <f t="shared" si="79"/>
        <v>25-34</v>
      </c>
    </row>
    <row r="643" spans="1:21">
      <c r="A643" t="s">
        <v>675</v>
      </c>
      <c r="B643" s="8">
        <v>3758</v>
      </c>
      <c r="C643" s="23">
        <v>0.16022</v>
      </c>
      <c r="D643" s="19" t="s">
        <v>40</v>
      </c>
      <c r="E643" s="21">
        <v>58.945</v>
      </c>
      <c r="F643" s="21">
        <v>9.7530000000000001</v>
      </c>
      <c r="G643" s="23">
        <v>0</v>
      </c>
      <c r="H643" s="26">
        <v>0</v>
      </c>
      <c r="I643" s="19" t="s">
        <v>21</v>
      </c>
      <c r="J643" s="8">
        <v>60</v>
      </c>
      <c r="K643" s="19" t="s">
        <v>31</v>
      </c>
      <c r="L643" s="19" t="s">
        <v>23</v>
      </c>
      <c r="M643" s="8">
        <v>3</v>
      </c>
      <c r="N643" s="33">
        <f t="shared" si="80"/>
        <v>0</v>
      </c>
      <c r="O643" s="23">
        <f t="shared" si="81"/>
        <v>1.6427765815646467E-2</v>
      </c>
      <c r="P643" s="59">
        <f t="shared" si="82"/>
        <v>0.1654593264907965</v>
      </c>
      <c r="Q643" s="30">
        <f t="shared" si="83"/>
        <v>0</v>
      </c>
      <c r="R643" s="30">
        <f t="shared" si="84"/>
        <v>-1</v>
      </c>
      <c r="S643" s="12">
        <f t="shared" si="85"/>
        <v>0</v>
      </c>
      <c r="T643" s="30">
        <f t="shared" si="86"/>
        <v>0</v>
      </c>
      <c r="U643" s="9" t="str">
        <f t="shared" ref="U643:U706" si="87">IF(J643&lt;25,"18-24",IF(J643&lt;35,"25-34",IF(J643&lt;45,"35-44",IF(J643&lt;55,"45-54","55+"))))</f>
        <v>55+</v>
      </c>
    </row>
    <row r="644" spans="1:21">
      <c r="A644" t="s">
        <v>676</v>
      </c>
      <c r="B644" s="8">
        <v>8715</v>
      </c>
      <c r="C644" s="23">
        <v>0.19420999999999999</v>
      </c>
      <c r="D644" s="19" t="s">
        <v>40</v>
      </c>
      <c r="E644" s="21">
        <v>22.364999999999998</v>
      </c>
      <c r="F644" s="21">
        <v>4.1870000000000003</v>
      </c>
      <c r="G644" s="23">
        <v>0</v>
      </c>
      <c r="H644" s="26">
        <v>0</v>
      </c>
      <c r="I644" s="19" t="s">
        <v>26</v>
      </c>
      <c r="J644" s="8">
        <v>64</v>
      </c>
      <c r="K644" s="19" t="s">
        <v>37</v>
      </c>
      <c r="L644" s="19" t="s">
        <v>45</v>
      </c>
      <c r="M644" s="8">
        <v>1</v>
      </c>
      <c r="N644" s="33">
        <f t="shared" si="80"/>
        <v>0</v>
      </c>
      <c r="O644" s="23">
        <f t="shared" si="81"/>
        <v>4.6384045856221634E-2</v>
      </c>
      <c r="P644" s="59">
        <f t="shared" si="82"/>
        <v>0.18721216186004921</v>
      </c>
      <c r="Q644" s="30">
        <f t="shared" si="83"/>
        <v>0</v>
      </c>
      <c r="R644" s="30">
        <f t="shared" si="84"/>
        <v>-1</v>
      </c>
      <c r="S644" s="12">
        <f t="shared" si="85"/>
        <v>0</v>
      </c>
      <c r="T644" s="30">
        <f t="shared" si="86"/>
        <v>0</v>
      </c>
      <c r="U644" s="9" t="str">
        <f t="shared" si="87"/>
        <v>55+</v>
      </c>
    </row>
    <row r="645" spans="1:21">
      <c r="A645" t="s">
        <v>677</v>
      </c>
      <c r="B645" s="8">
        <v>9635</v>
      </c>
      <c r="C645" s="23">
        <v>3.2059999999999998E-2</v>
      </c>
      <c r="D645" s="19" t="s">
        <v>40</v>
      </c>
      <c r="E645" s="21">
        <v>20.951000000000001</v>
      </c>
      <c r="F645" s="21">
        <v>2.371</v>
      </c>
      <c r="G645" s="23">
        <v>0</v>
      </c>
      <c r="H645" s="26">
        <v>1</v>
      </c>
      <c r="I645" s="19" t="s">
        <v>21</v>
      </c>
      <c r="J645" s="8">
        <v>59</v>
      </c>
      <c r="K645" s="19" t="s">
        <v>22</v>
      </c>
      <c r="L645" s="19" t="s">
        <v>23</v>
      </c>
      <c r="M645" s="8">
        <v>5</v>
      </c>
      <c r="N645" s="33">
        <f t="shared" si="80"/>
        <v>0.42176296921130324</v>
      </c>
      <c r="O645" s="23">
        <f t="shared" si="81"/>
        <v>1.3521720792914381E-2</v>
      </c>
      <c r="P645" s="59">
        <f t="shared" si="82"/>
        <v>0.11316882249057324</v>
      </c>
      <c r="Q645" s="30">
        <f t="shared" si="83"/>
        <v>3.2059999999999998E-2</v>
      </c>
      <c r="R645" s="30">
        <f t="shared" si="84"/>
        <v>-1</v>
      </c>
      <c r="S645" s="12">
        <f t="shared" si="85"/>
        <v>0</v>
      </c>
      <c r="T645" s="30">
        <f t="shared" si="86"/>
        <v>0</v>
      </c>
      <c r="U645" s="9" t="str">
        <f t="shared" si="87"/>
        <v>55+</v>
      </c>
    </row>
    <row r="646" spans="1:21">
      <c r="A646" t="s">
        <v>678</v>
      </c>
      <c r="B646" s="8">
        <v>8854</v>
      </c>
      <c r="C646" s="23">
        <v>0.17172000000000001</v>
      </c>
      <c r="D646" s="19" t="s">
        <v>25</v>
      </c>
      <c r="E646" s="21">
        <v>31.292000000000002</v>
      </c>
      <c r="F646" s="21">
        <v>4.1719999999999997</v>
      </c>
      <c r="G646" s="23">
        <v>0</v>
      </c>
      <c r="H646" s="26">
        <v>0</v>
      </c>
      <c r="I646" s="19" t="s">
        <v>21</v>
      </c>
      <c r="J646" s="8">
        <v>29</v>
      </c>
      <c r="K646" s="19" t="s">
        <v>22</v>
      </c>
      <c r="L646" s="19" t="s">
        <v>19</v>
      </c>
      <c r="M646" s="8">
        <v>4</v>
      </c>
      <c r="N646" s="33">
        <f t="shared" si="80"/>
        <v>0</v>
      </c>
      <c r="O646" s="23">
        <f t="shared" si="81"/>
        <v>4.116011505273251E-2</v>
      </c>
      <c r="P646" s="59">
        <f t="shared" si="82"/>
        <v>0.13332481145340661</v>
      </c>
      <c r="Q646" s="30">
        <f t="shared" si="83"/>
        <v>0</v>
      </c>
      <c r="R646" s="30">
        <f t="shared" si="84"/>
        <v>-1</v>
      </c>
      <c r="S646" s="12">
        <f t="shared" si="85"/>
        <v>0</v>
      </c>
      <c r="T646" s="30">
        <f t="shared" si="86"/>
        <v>0</v>
      </c>
      <c r="U646" s="9" t="str">
        <f t="shared" si="87"/>
        <v>25-34</v>
      </c>
    </row>
    <row r="647" spans="1:21">
      <c r="A647" t="s">
        <v>679</v>
      </c>
      <c r="B647" s="8">
        <v>5774</v>
      </c>
      <c r="C647" s="23">
        <v>0</v>
      </c>
      <c r="D647" s="19" t="s">
        <v>45</v>
      </c>
      <c r="E647" s="21">
        <v>69.293000000000006</v>
      </c>
      <c r="F647" s="21">
        <v>7.1</v>
      </c>
      <c r="G647" s="23">
        <v>0.28021000000000001</v>
      </c>
      <c r="H647" s="26">
        <v>1</v>
      </c>
      <c r="I647" s="19" t="s">
        <v>21</v>
      </c>
      <c r="J647" s="8">
        <v>53</v>
      </c>
      <c r="K647" s="19" t="s">
        <v>22</v>
      </c>
      <c r="L647" s="19" t="s">
        <v>45</v>
      </c>
      <c r="M647" s="8">
        <v>2</v>
      </c>
      <c r="N647" s="33">
        <f t="shared" si="80"/>
        <v>0.14084507042253522</v>
      </c>
      <c r="O647" s="23">
        <f t="shared" si="81"/>
        <v>0</v>
      </c>
      <c r="P647" s="59">
        <f t="shared" si="82"/>
        <v>0.10246345229676877</v>
      </c>
      <c r="Q647" s="30">
        <f t="shared" si="83"/>
        <v>0</v>
      </c>
      <c r="R647" s="30">
        <f t="shared" si="84"/>
        <v>0</v>
      </c>
      <c r="S647" s="12" t="e">
        <f t="shared" si="85"/>
        <v>#DIV/0!</v>
      </c>
      <c r="T647" s="30">
        <f t="shared" si="86"/>
        <v>3.9466197183098593E-2</v>
      </c>
      <c r="U647" s="9" t="str">
        <f t="shared" si="87"/>
        <v>45-54</v>
      </c>
    </row>
    <row r="648" spans="1:21">
      <c r="A648" t="s">
        <v>680</v>
      </c>
      <c r="B648" s="8">
        <v>6624</v>
      </c>
      <c r="C648" s="23">
        <v>7.7619999999999995E-2</v>
      </c>
      <c r="D648" s="19" t="s">
        <v>15</v>
      </c>
      <c r="E648" s="21">
        <v>92.019000000000005</v>
      </c>
      <c r="F648" s="21">
        <v>0.19700000000000001</v>
      </c>
      <c r="G648" s="23">
        <v>0</v>
      </c>
      <c r="H648" s="26">
        <v>0</v>
      </c>
      <c r="I648" s="19" t="s">
        <v>1067</v>
      </c>
      <c r="J648" s="8">
        <v>28</v>
      </c>
      <c r="K648" s="19" t="s">
        <v>18</v>
      </c>
      <c r="L648" s="19" t="s">
        <v>32</v>
      </c>
      <c r="M648" s="8">
        <v>1</v>
      </c>
      <c r="N648" s="33">
        <f t="shared" si="80"/>
        <v>0</v>
      </c>
      <c r="O648" s="23">
        <f t="shared" si="81"/>
        <v>0.39401015228426389</v>
      </c>
      <c r="P648" s="59">
        <f t="shared" si="82"/>
        <v>2.1408622132385704E-3</v>
      </c>
      <c r="Q648" s="30">
        <f t="shared" si="83"/>
        <v>0</v>
      </c>
      <c r="R648" s="30">
        <f t="shared" si="84"/>
        <v>-1</v>
      </c>
      <c r="S648" s="12">
        <f t="shared" si="85"/>
        <v>0</v>
      </c>
      <c r="T648" s="30">
        <f t="shared" si="86"/>
        <v>0</v>
      </c>
      <c r="U648" s="9" t="str">
        <f t="shared" si="87"/>
        <v>25-34</v>
      </c>
    </row>
    <row r="649" spans="1:21">
      <c r="A649" t="s">
        <v>681</v>
      </c>
      <c r="B649" s="8">
        <v>5259</v>
      </c>
      <c r="C649" s="23">
        <v>0.17546999999999999</v>
      </c>
      <c r="D649" s="19" t="s">
        <v>25</v>
      </c>
      <c r="E649" s="21">
        <v>45.848999999999997</v>
      </c>
      <c r="F649" s="21">
        <v>1.341</v>
      </c>
      <c r="G649" s="23">
        <v>0.37329000000000001</v>
      </c>
      <c r="H649" s="26">
        <v>1</v>
      </c>
      <c r="I649" s="19" t="s">
        <v>21</v>
      </c>
      <c r="J649" s="8">
        <v>41</v>
      </c>
      <c r="K649" s="19" t="s">
        <v>18</v>
      </c>
      <c r="L649" s="19" t="s">
        <v>45</v>
      </c>
      <c r="M649" s="8">
        <v>2</v>
      </c>
      <c r="N649" s="33">
        <f t="shared" si="80"/>
        <v>0.74571215510812827</v>
      </c>
      <c r="O649" s="23">
        <f t="shared" si="81"/>
        <v>0.13085011185682327</v>
      </c>
      <c r="P649" s="59">
        <f t="shared" si="82"/>
        <v>2.9248184257017602E-2</v>
      </c>
      <c r="Q649" s="30">
        <f t="shared" si="83"/>
        <v>0.17546999999999999</v>
      </c>
      <c r="R649" s="30">
        <f t="shared" si="84"/>
        <v>1.1273722003761328</v>
      </c>
      <c r="S649" s="12">
        <f t="shared" si="85"/>
        <v>2.1273722003761328</v>
      </c>
      <c r="T649" s="30">
        <f t="shared" si="86"/>
        <v>0.2783668903803132</v>
      </c>
      <c r="U649" s="9" t="str">
        <f t="shared" si="87"/>
        <v>35-44</v>
      </c>
    </row>
    <row r="650" spans="1:21">
      <c r="A650" t="s">
        <v>682</v>
      </c>
      <c r="B650" s="8">
        <v>1789</v>
      </c>
      <c r="C650" s="23">
        <v>1.6199999999999999E-2</v>
      </c>
      <c r="D650" s="19" t="s">
        <v>40</v>
      </c>
      <c r="E650" s="21">
        <v>53.258000000000003</v>
      </c>
      <c r="F650" s="21">
        <v>1.9</v>
      </c>
      <c r="G650" s="23">
        <v>0</v>
      </c>
      <c r="H650" s="26">
        <v>1</v>
      </c>
      <c r="I650" s="19" t="s">
        <v>26</v>
      </c>
      <c r="J650" s="8">
        <v>41</v>
      </c>
      <c r="K650" s="19" t="s">
        <v>37</v>
      </c>
      <c r="L650" s="19" t="s">
        <v>38</v>
      </c>
      <c r="M650" s="8">
        <v>3</v>
      </c>
      <c r="N650" s="33">
        <f t="shared" si="80"/>
        <v>0.52631578947368418</v>
      </c>
      <c r="O650" s="23">
        <f t="shared" si="81"/>
        <v>8.5263157894736839E-3</v>
      </c>
      <c r="P650" s="59">
        <f t="shared" si="82"/>
        <v>3.5675391490480303E-2</v>
      </c>
      <c r="Q650" s="30">
        <f t="shared" si="83"/>
        <v>1.6199999999999999E-2</v>
      </c>
      <c r="R650" s="30">
        <f t="shared" si="84"/>
        <v>-1</v>
      </c>
      <c r="S650" s="12">
        <f t="shared" si="85"/>
        <v>0</v>
      </c>
      <c r="T650" s="30">
        <f t="shared" si="86"/>
        <v>0</v>
      </c>
      <c r="U650" s="9" t="str">
        <f t="shared" si="87"/>
        <v>35-44</v>
      </c>
    </row>
    <row r="651" spans="1:21">
      <c r="A651" t="s">
        <v>683</v>
      </c>
      <c r="B651" s="8">
        <v>2951</v>
      </c>
      <c r="C651" s="23">
        <v>0.11548</v>
      </c>
      <c r="D651" s="19" t="s">
        <v>28</v>
      </c>
      <c r="E651" s="21">
        <v>37.244</v>
      </c>
      <c r="F651" s="21">
        <v>5.3849999999999998</v>
      </c>
      <c r="G651" s="23">
        <v>0</v>
      </c>
      <c r="H651" s="26">
        <v>0</v>
      </c>
      <c r="I651" s="19" t="s">
        <v>26</v>
      </c>
      <c r="J651" s="8">
        <v>18</v>
      </c>
      <c r="K651" s="19" t="s">
        <v>22</v>
      </c>
      <c r="L651" s="19" t="s">
        <v>23</v>
      </c>
      <c r="M651" s="8">
        <v>3</v>
      </c>
      <c r="N651" s="33">
        <f t="shared" si="80"/>
        <v>0</v>
      </c>
      <c r="O651" s="23">
        <f t="shared" si="81"/>
        <v>2.1444753946146703E-2</v>
      </c>
      <c r="P651" s="59">
        <f t="shared" si="82"/>
        <v>0.1445870475781334</v>
      </c>
      <c r="Q651" s="30">
        <f t="shared" si="83"/>
        <v>0</v>
      </c>
      <c r="R651" s="30">
        <f t="shared" si="84"/>
        <v>-1</v>
      </c>
      <c r="S651" s="12">
        <f t="shared" si="85"/>
        <v>0</v>
      </c>
      <c r="T651" s="30">
        <f t="shared" si="86"/>
        <v>0</v>
      </c>
      <c r="U651" s="9" t="str">
        <f t="shared" si="87"/>
        <v>18-24</v>
      </c>
    </row>
    <row r="652" spans="1:21">
      <c r="A652" t="s">
        <v>684</v>
      </c>
      <c r="B652" s="8">
        <v>3380</v>
      </c>
      <c r="C652" s="23">
        <v>0.14374000000000001</v>
      </c>
      <c r="D652" s="19" t="s">
        <v>45</v>
      </c>
      <c r="E652" s="21">
        <v>93.391999999999996</v>
      </c>
      <c r="F652" s="21">
        <v>7.6040000000000001</v>
      </c>
      <c r="G652" s="23">
        <v>0</v>
      </c>
      <c r="H652" s="26">
        <v>1</v>
      </c>
      <c r="I652" s="19" t="s">
        <v>17</v>
      </c>
      <c r="J652" s="8">
        <v>53</v>
      </c>
      <c r="K652" s="19" t="s">
        <v>31</v>
      </c>
      <c r="L652" s="19" t="s">
        <v>23</v>
      </c>
      <c r="M652" s="8">
        <v>3</v>
      </c>
      <c r="N652" s="33">
        <f t="shared" si="80"/>
        <v>0.13150973172014729</v>
      </c>
      <c r="O652" s="23">
        <f t="shared" si="81"/>
        <v>1.8903208837453972E-2</v>
      </c>
      <c r="P652" s="59">
        <f t="shared" si="82"/>
        <v>8.1420250128490662E-2</v>
      </c>
      <c r="Q652" s="30">
        <f t="shared" si="83"/>
        <v>0.14374000000000001</v>
      </c>
      <c r="R652" s="30">
        <f t="shared" si="84"/>
        <v>-1</v>
      </c>
      <c r="S652" s="12">
        <f t="shared" si="85"/>
        <v>0</v>
      </c>
      <c r="T652" s="30">
        <f t="shared" si="86"/>
        <v>0</v>
      </c>
      <c r="U652" s="9" t="str">
        <f t="shared" si="87"/>
        <v>45-54</v>
      </c>
    </row>
    <row r="653" spans="1:21">
      <c r="A653" t="s">
        <v>685</v>
      </c>
      <c r="B653" s="8">
        <v>5760</v>
      </c>
      <c r="C653" s="23">
        <v>6.4310000000000006E-2</v>
      </c>
      <c r="D653" s="19" t="s">
        <v>40</v>
      </c>
      <c r="E653" s="21">
        <v>69.650999999999996</v>
      </c>
      <c r="F653" s="21">
        <v>4.3840000000000003</v>
      </c>
      <c r="G653" s="23">
        <v>0</v>
      </c>
      <c r="H653" s="26">
        <v>0</v>
      </c>
      <c r="I653" s="19" t="s">
        <v>17</v>
      </c>
      <c r="J653" s="8">
        <v>31</v>
      </c>
      <c r="K653" s="19" t="s">
        <v>22</v>
      </c>
      <c r="L653" s="19" t="s">
        <v>19</v>
      </c>
      <c r="M653" s="8">
        <v>2</v>
      </c>
      <c r="N653" s="33">
        <f t="shared" si="80"/>
        <v>0</v>
      </c>
      <c r="O653" s="23">
        <f t="shared" si="81"/>
        <v>1.4669251824817519E-2</v>
      </c>
      <c r="P653" s="59">
        <f t="shared" si="82"/>
        <v>6.2942384172517268E-2</v>
      </c>
      <c r="Q653" s="30">
        <f t="shared" si="83"/>
        <v>0</v>
      </c>
      <c r="R653" s="30">
        <f t="shared" si="84"/>
        <v>-1</v>
      </c>
      <c r="S653" s="12">
        <f t="shared" si="85"/>
        <v>0</v>
      </c>
      <c r="T653" s="30">
        <f t="shared" si="86"/>
        <v>0</v>
      </c>
      <c r="U653" s="9" t="str">
        <f t="shared" si="87"/>
        <v>25-34</v>
      </c>
    </row>
    <row r="654" spans="1:21">
      <c r="A654" t="s">
        <v>686</v>
      </c>
      <c r="B654" s="8">
        <v>7549</v>
      </c>
      <c r="C654" s="23">
        <v>0.18448999999999999</v>
      </c>
      <c r="D654" s="19" t="s">
        <v>40</v>
      </c>
      <c r="E654" s="21">
        <v>79.414000000000001</v>
      </c>
      <c r="F654" s="21">
        <v>5.0529999999999999</v>
      </c>
      <c r="G654" s="23">
        <v>0</v>
      </c>
      <c r="H654" s="26">
        <v>0</v>
      </c>
      <c r="I654" s="19" t="s">
        <v>26</v>
      </c>
      <c r="J654" s="8">
        <v>18</v>
      </c>
      <c r="K654" s="19" t="s">
        <v>22</v>
      </c>
      <c r="L654" s="19" t="s">
        <v>19</v>
      </c>
      <c r="M654" s="8">
        <v>4</v>
      </c>
      <c r="N654" s="33">
        <f t="shared" si="80"/>
        <v>0</v>
      </c>
      <c r="O654" s="23">
        <f t="shared" si="81"/>
        <v>3.6510983574114385E-2</v>
      </c>
      <c r="P654" s="59">
        <f t="shared" si="82"/>
        <v>6.3628579343692551E-2</v>
      </c>
      <c r="Q654" s="30">
        <f t="shared" si="83"/>
        <v>0</v>
      </c>
      <c r="R654" s="30">
        <f t="shared" si="84"/>
        <v>-1</v>
      </c>
      <c r="S654" s="12">
        <f t="shared" si="85"/>
        <v>0</v>
      </c>
      <c r="T654" s="30">
        <f t="shared" si="86"/>
        <v>0</v>
      </c>
      <c r="U654" s="9" t="str">
        <f t="shared" si="87"/>
        <v>18-24</v>
      </c>
    </row>
    <row r="655" spans="1:21">
      <c r="A655" t="s">
        <v>687</v>
      </c>
      <c r="B655" s="8">
        <v>1770</v>
      </c>
      <c r="C655" s="23">
        <v>4.1160000000000002E-2</v>
      </c>
      <c r="D655" s="19" t="s">
        <v>28</v>
      </c>
      <c r="E655" s="21">
        <v>56.156999999999996</v>
      </c>
      <c r="F655" s="21">
        <v>6.7119999999999997</v>
      </c>
      <c r="G655" s="23">
        <v>0</v>
      </c>
      <c r="H655" s="26">
        <v>0</v>
      </c>
      <c r="I655" s="19" t="s">
        <v>1067</v>
      </c>
      <c r="J655" s="8">
        <v>44</v>
      </c>
      <c r="K655" s="19" t="s">
        <v>18</v>
      </c>
      <c r="L655" s="19" t="s">
        <v>32</v>
      </c>
      <c r="M655" s="8">
        <v>1</v>
      </c>
      <c r="N655" s="33">
        <f t="shared" si="80"/>
        <v>0</v>
      </c>
      <c r="O655" s="23">
        <f t="shared" si="81"/>
        <v>6.1323003575685349E-3</v>
      </c>
      <c r="P655" s="59">
        <f t="shared" si="82"/>
        <v>0.11952205424078922</v>
      </c>
      <c r="Q655" s="30">
        <f t="shared" si="83"/>
        <v>0</v>
      </c>
      <c r="R655" s="30">
        <f t="shared" si="84"/>
        <v>-1</v>
      </c>
      <c r="S655" s="12">
        <f t="shared" si="85"/>
        <v>0</v>
      </c>
      <c r="T655" s="30">
        <f t="shared" si="86"/>
        <v>0</v>
      </c>
      <c r="U655" s="9" t="str">
        <f t="shared" si="87"/>
        <v>35-44</v>
      </c>
    </row>
    <row r="656" spans="1:21">
      <c r="A656" t="s">
        <v>688</v>
      </c>
      <c r="B656" s="8">
        <v>7225</v>
      </c>
      <c r="C656" s="23">
        <v>0.13869000000000001</v>
      </c>
      <c r="D656" s="19" t="s">
        <v>28</v>
      </c>
      <c r="E656" s="21">
        <v>45.122999999999998</v>
      </c>
      <c r="F656" s="21">
        <v>9.3460000000000001</v>
      </c>
      <c r="G656" s="23">
        <v>0.34057999999999999</v>
      </c>
      <c r="H656" s="26">
        <v>1</v>
      </c>
      <c r="I656" s="19" t="s">
        <v>17</v>
      </c>
      <c r="J656" s="8">
        <v>41</v>
      </c>
      <c r="K656" s="19" t="s">
        <v>22</v>
      </c>
      <c r="L656" s="19" t="s">
        <v>38</v>
      </c>
      <c r="M656" s="8">
        <v>5</v>
      </c>
      <c r="N656" s="33">
        <f t="shared" si="80"/>
        <v>0.10699764605178685</v>
      </c>
      <c r="O656" s="23">
        <f t="shared" si="81"/>
        <v>1.483950353092232E-2</v>
      </c>
      <c r="P656" s="59">
        <f t="shared" si="82"/>
        <v>0.20712275336302996</v>
      </c>
      <c r="Q656" s="30">
        <f t="shared" si="83"/>
        <v>0.13869000000000001</v>
      </c>
      <c r="R656" s="30">
        <f t="shared" si="84"/>
        <v>1.4556925517340831</v>
      </c>
      <c r="S656" s="12">
        <f t="shared" si="85"/>
        <v>2.4556925517340829</v>
      </c>
      <c r="T656" s="30">
        <f t="shared" si="86"/>
        <v>3.644125829231757E-2</v>
      </c>
      <c r="U656" s="9" t="str">
        <f t="shared" si="87"/>
        <v>35-44</v>
      </c>
    </row>
    <row r="657" spans="1:21">
      <c r="A657" t="s">
        <v>689</v>
      </c>
      <c r="B657" s="8">
        <v>5413</v>
      </c>
      <c r="C657" s="23">
        <v>1.9189999999999999E-2</v>
      </c>
      <c r="D657" s="19" t="s">
        <v>45</v>
      </c>
      <c r="E657" s="21">
        <v>94.259</v>
      </c>
      <c r="F657" s="21">
        <v>4.5380000000000003</v>
      </c>
      <c r="G657" s="23">
        <v>0</v>
      </c>
      <c r="H657" s="26">
        <v>0</v>
      </c>
      <c r="I657" s="19" t="s">
        <v>17</v>
      </c>
      <c r="J657" s="8">
        <v>20</v>
      </c>
      <c r="K657" s="19" t="s">
        <v>37</v>
      </c>
      <c r="L657" s="19" t="s">
        <v>45</v>
      </c>
      <c r="M657" s="8" t="s">
        <v>1065</v>
      </c>
      <c r="N657" s="33">
        <f t="shared" si="80"/>
        <v>0</v>
      </c>
      <c r="O657" s="23">
        <f t="shared" si="81"/>
        <v>4.2287351256059934E-3</v>
      </c>
      <c r="P657" s="59">
        <f t="shared" si="82"/>
        <v>4.8143943814383777E-2</v>
      </c>
      <c r="Q657" s="30">
        <f t="shared" si="83"/>
        <v>0</v>
      </c>
      <c r="R657" s="30">
        <f t="shared" si="84"/>
        <v>-1</v>
      </c>
      <c r="S657" s="12">
        <f t="shared" si="85"/>
        <v>0</v>
      </c>
      <c r="T657" s="30">
        <f t="shared" si="86"/>
        <v>0</v>
      </c>
      <c r="U657" s="9" t="str">
        <f t="shared" si="87"/>
        <v>18-24</v>
      </c>
    </row>
    <row r="658" spans="1:21">
      <c r="A658" t="s">
        <v>690</v>
      </c>
      <c r="B658" s="8">
        <v>6522</v>
      </c>
      <c r="C658" s="23">
        <v>0.13636000000000001</v>
      </c>
      <c r="D658" s="19" t="s">
        <v>15</v>
      </c>
      <c r="E658" s="21">
        <v>74.397000000000006</v>
      </c>
      <c r="F658" s="21">
        <v>9.9160000000000004</v>
      </c>
      <c r="G658" s="23">
        <v>0</v>
      </c>
      <c r="H658" s="26">
        <v>0</v>
      </c>
      <c r="I658" s="19" t="s">
        <v>29</v>
      </c>
      <c r="J658" s="8">
        <v>23</v>
      </c>
      <c r="K658" s="19" t="s">
        <v>37</v>
      </c>
      <c r="L658" s="19" t="s">
        <v>23</v>
      </c>
      <c r="M658" s="8">
        <v>3</v>
      </c>
      <c r="N658" s="33">
        <f t="shared" si="80"/>
        <v>0</v>
      </c>
      <c r="O658" s="23">
        <f t="shared" si="81"/>
        <v>1.3751512706736588E-2</v>
      </c>
      <c r="P658" s="59">
        <f t="shared" si="82"/>
        <v>0.13328494428538784</v>
      </c>
      <c r="Q658" s="30">
        <f t="shared" si="83"/>
        <v>0</v>
      </c>
      <c r="R658" s="30">
        <f t="shared" si="84"/>
        <v>-1</v>
      </c>
      <c r="S658" s="12">
        <f t="shared" si="85"/>
        <v>0</v>
      </c>
      <c r="T658" s="30">
        <f t="shared" si="86"/>
        <v>0</v>
      </c>
      <c r="U658" s="9" t="str">
        <f t="shared" si="87"/>
        <v>18-24</v>
      </c>
    </row>
    <row r="659" spans="1:21">
      <c r="A659" t="s">
        <v>691</v>
      </c>
      <c r="B659" s="8">
        <v>2831</v>
      </c>
      <c r="C659" s="23">
        <v>6.8709999999999993E-2</v>
      </c>
      <c r="D659" s="19" t="s">
        <v>28</v>
      </c>
      <c r="E659" s="21">
        <v>80.256</v>
      </c>
      <c r="F659" s="21">
        <v>0.38</v>
      </c>
      <c r="G659" s="23">
        <v>0</v>
      </c>
      <c r="H659" s="26">
        <v>0</v>
      </c>
      <c r="I659" s="19" t="s">
        <v>17</v>
      </c>
      <c r="J659" s="8">
        <v>41</v>
      </c>
      <c r="K659" s="19" t="s">
        <v>37</v>
      </c>
      <c r="L659" s="19" t="s">
        <v>19</v>
      </c>
      <c r="M659" s="8">
        <v>1</v>
      </c>
      <c r="N659" s="33">
        <f t="shared" si="80"/>
        <v>0</v>
      </c>
      <c r="O659" s="23">
        <f t="shared" si="81"/>
        <v>0.18081578947368418</v>
      </c>
      <c r="P659" s="59">
        <f t="shared" si="82"/>
        <v>4.734848484848485E-3</v>
      </c>
      <c r="Q659" s="30">
        <f t="shared" si="83"/>
        <v>0</v>
      </c>
      <c r="R659" s="30">
        <f t="shared" si="84"/>
        <v>-1</v>
      </c>
      <c r="S659" s="12">
        <f t="shared" si="85"/>
        <v>0</v>
      </c>
      <c r="T659" s="30">
        <f t="shared" si="86"/>
        <v>0</v>
      </c>
      <c r="U659" s="9" t="str">
        <f t="shared" si="87"/>
        <v>35-44</v>
      </c>
    </row>
    <row r="660" spans="1:21">
      <c r="A660" t="s">
        <v>692</v>
      </c>
      <c r="B660" s="8">
        <v>5711</v>
      </c>
      <c r="C660" s="23">
        <v>5.4820000000000001E-2</v>
      </c>
      <c r="D660" s="19" t="s">
        <v>25</v>
      </c>
      <c r="E660" s="21">
        <v>20.725999999999999</v>
      </c>
      <c r="F660" s="21">
        <v>1.518</v>
      </c>
      <c r="G660" s="23">
        <v>0</v>
      </c>
      <c r="H660" s="26">
        <v>0</v>
      </c>
      <c r="I660" s="19" t="s">
        <v>21</v>
      </c>
      <c r="J660" s="8">
        <v>20</v>
      </c>
      <c r="K660" s="19" t="s">
        <v>31</v>
      </c>
      <c r="L660" s="19" t="s">
        <v>32</v>
      </c>
      <c r="M660" s="8" t="s">
        <v>1065</v>
      </c>
      <c r="N660" s="33">
        <f t="shared" si="80"/>
        <v>0</v>
      </c>
      <c r="O660" s="23">
        <f t="shared" si="81"/>
        <v>3.6113306982872198E-2</v>
      </c>
      <c r="P660" s="59">
        <f t="shared" si="82"/>
        <v>7.3241339380488282E-2</v>
      </c>
      <c r="Q660" s="30">
        <f t="shared" si="83"/>
        <v>0</v>
      </c>
      <c r="R660" s="30">
        <f t="shared" si="84"/>
        <v>-1</v>
      </c>
      <c r="S660" s="12">
        <f t="shared" si="85"/>
        <v>0</v>
      </c>
      <c r="T660" s="30">
        <f t="shared" si="86"/>
        <v>0</v>
      </c>
      <c r="U660" s="9" t="str">
        <f t="shared" si="87"/>
        <v>18-24</v>
      </c>
    </row>
    <row r="661" spans="1:21">
      <c r="A661" t="s">
        <v>693</v>
      </c>
      <c r="B661" s="8">
        <v>6886</v>
      </c>
      <c r="C661" s="23">
        <v>0.11008</v>
      </c>
      <c r="D661" s="19" t="s">
        <v>32</v>
      </c>
      <c r="E661" s="21">
        <v>85.399000000000001</v>
      </c>
      <c r="F661" s="21">
        <v>9.2530000000000001</v>
      </c>
      <c r="G661" s="23">
        <v>0</v>
      </c>
      <c r="H661" s="26">
        <v>0</v>
      </c>
      <c r="I661" s="19" t="s">
        <v>17</v>
      </c>
      <c r="J661" s="8">
        <v>32</v>
      </c>
      <c r="K661" s="19" t="s">
        <v>22</v>
      </c>
      <c r="L661" s="19" t="s">
        <v>32</v>
      </c>
      <c r="M661" s="8">
        <v>4</v>
      </c>
      <c r="N661" s="33">
        <f t="shared" si="80"/>
        <v>0</v>
      </c>
      <c r="O661" s="23">
        <f t="shared" si="81"/>
        <v>1.1896682157138225E-2</v>
      </c>
      <c r="P661" s="59">
        <f t="shared" si="82"/>
        <v>0.10835021487371047</v>
      </c>
      <c r="Q661" s="30">
        <f t="shared" si="83"/>
        <v>0</v>
      </c>
      <c r="R661" s="30">
        <f t="shared" si="84"/>
        <v>-1</v>
      </c>
      <c r="S661" s="12">
        <f t="shared" si="85"/>
        <v>0</v>
      </c>
      <c r="T661" s="30">
        <f t="shared" si="86"/>
        <v>0</v>
      </c>
      <c r="U661" s="9" t="str">
        <f t="shared" si="87"/>
        <v>25-34</v>
      </c>
    </row>
    <row r="662" spans="1:21">
      <c r="A662" t="s">
        <v>694</v>
      </c>
      <c r="B662" s="8">
        <v>2624</v>
      </c>
      <c r="C662" s="23">
        <v>6.3869999999999996E-2</v>
      </c>
      <c r="D662" s="19" t="s">
        <v>15</v>
      </c>
      <c r="E662" s="21">
        <v>64.513000000000005</v>
      </c>
      <c r="F662" s="21">
        <v>0.313</v>
      </c>
      <c r="G662" s="23">
        <v>0</v>
      </c>
      <c r="H662" s="26">
        <v>0</v>
      </c>
      <c r="I662" s="19" t="s">
        <v>26</v>
      </c>
      <c r="J662" s="8">
        <v>22</v>
      </c>
      <c r="K662" s="19" t="s">
        <v>31</v>
      </c>
      <c r="L662" s="19" t="s">
        <v>38</v>
      </c>
      <c r="M662" s="8">
        <v>4</v>
      </c>
      <c r="N662" s="33">
        <f t="shared" si="80"/>
        <v>0</v>
      </c>
      <c r="O662" s="23">
        <f t="shared" si="81"/>
        <v>0.20405750798722044</v>
      </c>
      <c r="P662" s="59">
        <f t="shared" si="82"/>
        <v>4.8517353091624936E-3</v>
      </c>
      <c r="Q662" s="30">
        <f t="shared" si="83"/>
        <v>0</v>
      </c>
      <c r="R662" s="30">
        <f t="shared" si="84"/>
        <v>-1</v>
      </c>
      <c r="S662" s="12">
        <f t="shared" si="85"/>
        <v>0</v>
      </c>
      <c r="T662" s="30">
        <f t="shared" si="86"/>
        <v>0</v>
      </c>
      <c r="U662" s="9" t="str">
        <f t="shared" si="87"/>
        <v>18-24</v>
      </c>
    </row>
    <row r="663" spans="1:21">
      <c r="A663" t="s">
        <v>695</v>
      </c>
      <c r="B663" s="8">
        <v>7774</v>
      </c>
      <c r="C663" s="23">
        <v>0</v>
      </c>
      <c r="D663" s="19" t="s">
        <v>15</v>
      </c>
      <c r="E663" s="21">
        <v>30.812000000000001</v>
      </c>
      <c r="F663" s="21">
        <v>6.14</v>
      </c>
      <c r="G663" s="23">
        <v>0</v>
      </c>
      <c r="H663" s="26">
        <v>0</v>
      </c>
      <c r="I663" s="19" t="s">
        <v>29</v>
      </c>
      <c r="J663" s="8">
        <v>37</v>
      </c>
      <c r="K663" s="19" t="s">
        <v>22</v>
      </c>
      <c r="L663" s="19" t="s">
        <v>23</v>
      </c>
      <c r="M663" s="8" t="s">
        <v>1065</v>
      </c>
      <c r="N663" s="33">
        <f t="shared" si="80"/>
        <v>0</v>
      </c>
      <c r="O663" s="23">
        <f t="shared" si="81"/>
        <v>0</v>
      </c>
      <c r="P663" s="59">
        <f t="shared" si="82"/>
        <v>0.1992730105153836</v>
      </c>
      <c r="Q663" s="30">
        <f t="shared" si="83"/>
        <v>0</v>
      </c>
      <c r="R663" s="30">
        <f t="shared" si="84"/>
        <v>0</v>
      </c>
      <c r="S663" s="12">
        <f t="shared" si="85"/>
        <v>0</v>
      </c>
      <c r="T663" s="30">
        <f t="shared" si="86"/>
        <v>0</v>
      </c>
      <c r="U663" s="9" t="str">
        <f t="shared" si="87"/>
        <v>35-44</v>
      </c>
    </row>
    <row r="664" spans="1:21">
      <c r="A664" t="s">
        <v>696</v>
      </c>
      <c r="B664" s="8">
        <v>3678</v>
      </c>
      <c r="C664" s="23">
        <v>0.14419000000000001</v>
      </c>
      <c r="D664" s="19" t="s">
        <v>40</v>
      </c>
      <c r="E664" s="21">
        <v>96.744</v>
      </c>
      <c r="F664" s="21">
        <v>6.5</v>
      </c>
      <c r="G664" s="23">
        <v>0</v>
      </c>
      <c r="H664" s="26">
        <v>0</v>
      </c>
      <c r="I664" s="19" t="s">
        <v>21</v>
      </c>
      <c r="J664" s="8">
        <v>41</v>
      </c>
      <c r="K664" s="19" t="s">
        <v>18</v>
      </c>
      <c r="L664" s="19" t="s">
        <v>23</v>
      </c>
      <c r="M664" s="8">
        <v>1</v>
      </c>
      <c r="N664" s="33">
        <f t="shared" si="80"/>
        <v>0</v>
      </c>
      <c r="O664" s="23">
        <f t="shared" si="81"/>
        <v>2.2183076923076923E-2</v>
      </c>
      <c r="P664" s="59">
        <f t="shared" si="82"/>
        <v>6.7187629206979238E-2</v>
      </c>
      <c r="Q664" s="30">
        <f t="shared" si="83"/>
        <v>0</v>
      </c>
      <c r="R664" s="30">
        <f t="shared" si="84"/>
        <v>-1</v>
      </c>
      <c r="S664" s="12">
        <f t="shared" si="85"/>
        <v>0</v>
      </c>
      <c r="T664" s="30">
        <f t="shared" si="86"/>
        <v>0</v>
      </c>
      <c r="U664" s="9" t="str">
        <f t="shared" si="87"/>
        <v>35-44</v>
      </c>
    </row>
    <row r="665" spans="1:21">
      <c r="A665" t="s">
        <v>697</v>
      </c>
      <c r="B665" s="8">
        <v>5754</v>
      </c>
      <c r="C665" s="23">
        <v>0.10564999999999999</v>
      </c>
      <c r="D665" s="19" t="s">
        <v>32</v>
      </c>
      <c r="E665" s="21">
        <v>19.393999999999998</v>
      </c>
      <c r="F665" s="21">
        <v>0.68799999999999994</v>
      </c>
      <c r="G665" s="23">
        <v>0</v>
      </c>
      <c r="H665" s="26">
        <v>0</v>
      </c>
      <c r="I665" s="19" t="s">
        <v>26</v>
      </c>
      <c r="J665" s="8">
        <v>63</v>
      </c>
      <c r="K665" s="19" t="s">
        <v>37</v>
      </c>
      <c r="L665" s="19" t="s">
        <v>45</v>
      </c>
      <c r="M665" s="8">
        <v>5</v>
      </c>
      <c r="N665" s="33">
        <f t="shared" si="80"/>
        <v>0</v>
      </c>
      <c r="O665" s="23">
        <f t="shared" si="81"/>
        <v>0.15356104651162791</v>
      </c>
      <c r="P665" s="59">
        <f t="shared" si="82"/>
        <v>3.5474889140971431E-2</v>
      </c>
      <c r="Q665" s="30">
        <f t="shared" si="83"/>
        <v>0</v>
      </c>
      <c r="R665" s="30">
        <f t="shared" si="84"/>
        <v>-1</v>
      </c>
      <c r="S665" s="12">
        <f t="shared" si="85"/>
        <v>0</v>
      </c>
      <c r="T665" s="30">
        <f t="shared" si="86"/>
        <v>0</v>
      </c>
      <c r="U665" s="9" t="str">
        <f t="shared" si="87"/>
        <v>55+</v>
      </c>
    </row>
    <row r="666" spans="1:21">
      <c r="A666" t="s">
        <v>698</v>
      </c>
      <c r="B666" s="8">
        <v>9891</v>
      </c>
      <c r="C666" s="23">
        <v>0.15823999999999999</v>
      </c>
      <c r="D666" s="19" t="s">
        <v>28</v>
      </c>
      <c r="E666" s="21">
        <v>72.644000000000005</v>
      </c>
      <c r="F666" s="21">
        <v>3.5049999999999999</v>
      </c>
      <c r="G666" s="23">
        <v>0</v>
      </c>
      <c r="H666" s="26">
        <v>0</v>
      </c>
      <c r="I666" s="19" t="s">
        <v>29</v>
      </c>
      <c r="J666" s="8">
        <v>58</v>
      </c>
      <c r="K666" s="19" t="s">
        <v>18</v>
      </c>
      <c r="L666" s="19" t="s">
        <v>19</v>
      </c>
      <c r="M666" s="8">
        <v>5</v>
      </c>
      <c r="N666" s="33">
        <f t="shared" si="80"/>
        <v>0</v>
      </c>
      <c r="O666" s="23">
        <f t="shared" si="81"/>
        <v>4.5146932952924393E-2</v>
      </c>
      <c r="P666" s="59">
        <f t="shared" si="82"/>
        <v>4.8248995099388792E-2</v>
      </c>
      <c r="Q666" s="30">
        <f t="shared" si="83"/>
        <v>0</v>
      </c>
      <c r="R666" s="30">
        <f t="shared" si="84"/>
        <v>-1</v>
      </c>
      <c r="S666" s="12">
        <f t="shared" si="85"/>
        <v>0</v>
      </c>
      <c r="T666" s="30">
        <f t="shared" si="86"/>
        <v>0</v>
      </c>
      <c r="U666" s="9" t="str">
        <f t="shared" si="87"/>
        <v>55+</v>
      </c>
    </row>
    <row r="667" spans="1:21">
      <c r="A667" t="s">
        <v>699</v>
      </c>
      <c r="B667" s="8">
        <v>9736</v>
      </c>
      <c r="C667" s="23">
        <v>0.14999000000000001</v>
      </c>
      <c r="D667" s="19" t="s">
        <v>15</v>
      </c>
      <c r="E667" s="21">
        <v>66.036000000000001</v>
      </c>
      <c r="F667" s="21">
        <v>8.4990000000000006</v>
      </c>
      <c r="G667" s="23">
        <v>0.23524</v>
      </c>
      <c r="H667" s="26">
        <v>1</v>
      </c>
      <c r="I667" s="19" t="s">
        <v>34</v>
      </c>
      <c r="J667" s="8">
        <v>33</v>
      </c>
      <c r="K667" s="19" t="s">
        <v>22</v>
      </c>
      <c r="L667" s="19" t="s">
        <v>23</v>
      </c>
      <c r="M667" s="8">
        <v>4</v>
      </c>
      <c r="N667" s="33">
        <f t="shared" si="80"/>
        <v>0.11766090128250381</v>
      </c>
      <c r="O667" s="23">
        <f t="shared" si="81"/>
        <v>1.7647958583362749E-2</v>
      </c>
      <c r="P667" s="59">
        <f t="shared" si="82"/>
        <v>0.12870252589496639</v>
      </c>
      <c r="Q667" s="30">
        <f t="shared" si="83"/>
        <v>0.14999000000000001</v>
      </c>
      <c r="R667" s="30">
        <f t="shared" si="84"/>
        <v>0.56837122474831647</v>
      </c>
      <c r="S667" s="12">
        <f t="shared" si="85"/>
        <v>1.5683712247483164</v>
      </c>
      <c r="T667" s="30">
        <f t="shared" si="86"/>
        <v>2.7678550417696197E-2</v>
      </c>
      <c r="U667" s="9" t="str">
        <f t="shared" si="87"/>
        <v>25-34</v>
      </c>
    </row>
    <row r="668" spans="1:21">
      <c r="A668" t="s">
        <v>700</v>
      </c>
      <c r="B668" s="8">
        <v>6247</v>
      </c>
      <c r="C668" s="23">
        <v>0.13772999999999999</v>
      </c>
      <c r="D668" s="19" t="s">
        <v>40</v>
      </c>
      <c r="E668" s="21">
        <v>44.277000000000001</v>
      </c>
      <c r="F668" s="21">
        <v>0.66300000000000003</v>
      </c>
      <c r="G668" s="23">
        <v>0</v>
      </c>
      <c r="H668" s="26">
        <v>0</v>
      </c>
      <c r="I668" s="19" t="s">
        <v>21</v>
      </c>
      <c r="J668" s="8">
        <v>41</v>
      </c>
      <c r="K668" s="19" t="s">
        <v>18</v>
      </c>
      <c r="L668" s="19" t="s">
        <v>38</v>
      </c>
      <c r="M668" s="8" t="s">
        <v>1065</v>
      </c>
      <c r="N668" s="33">
        <f t="shared" si="80"/>
        <v>0</v>
      </c>
      <c r="O668" s="23">
        <f t="shared" si="81"/>
        <v>0.20773755656108595</v>
      </c>
      <c r="P668" s="59">
        <f t="shared" si="82"/>
        <v>1.4973914221830748E-2</v>
      </c>
      <c r="Q668" s="30">
        <f t="shared" si="83"/>
        <v>0</v>
      </c>
      <c r="R668" s="30">
        <f t="shared" si="84"/>
        <v>-1</v>
      </c>
      <c r="S668" s="12">
        <f t="shared" si="85"/>
        <v>0</v>
      </c>
      <c r="T668" s="30">
        <f t="shared" si="86"/>
        <v>0</v>
      </c>
      <c r="U668" s="9" t="str">
        <f t="shared" si="87"/>
        <v>35-44</v>
      </c>
    </row>
    <row r="669" spans="1:21">
      <c r="A669" t="s">
        <v>701</v>
      </c>
      <c r="B669" s="8">
        <v>3771</v>
      </c>
      <c r="C669" s="23">
        <v>0.13639999999999999</v>
      </c>
      <c r="D669" s="19" t="s">
        <v>28</v>
      </c>
      <c r="E669" s="21">
        <v>91.218999999999994</v>
      </c>
      <c r="F669" s="21">
        <v>5.7</v>
      </c>
      <c r="G669" s="23">
        <v>0</v>
      </c>
      <c r="H669" s="26">
        <v>0</v>
      </c>
      <c r="I669" s="19" t="s">
        <v>34</v>
      </c>
      <c r="J669" s="8">
        <v>41</v>
      </c>
      <c r="K669" s="19" t="s">
        <v>22</v>
      </c>
      <c r="L669" s="19" t="s">
        <v>45</v>
      </c>
      <c r="M669" s="8">
        <v>4</v>
      </c>
      <c r="N669" s="33">
        <f t="shared" si="80"/>
        <v>0</v>
      </c>
      <c r="O669" s="23">
        <f t="shared" si="81"/>
        <v>2.3929824561403506E-2</v>
      </c>
      <c r="P669" s="59">
        <f t="shared" si="82"/>
        <v>6.2486981878775258E-2</v>
      </c>
      <c r="Q669" s="30">
        <f t="shared" si="83"/>
        <v>0</v>
      </c>
      <c r="R669" s="30">
        <f t="shared" si="84"/>
        <v>-1</v>
      </c>
      <c r="S669" s="12">
        <f t="shared" si="85"/>
        <v>0</v>
      </c>
      <c r="T669" s="30">
        <f t="shared" si="86"/>
        <v>0</v>
      </c>
      <c r="U669" s="9" t="str">
        <f t="shared" si="87"/>
        <v>35-44</v>
      </c>
    </row>
    <row r="670" spans="1:21">
      <c r="A670" t="s">
        <v>702</v>
      </c>
      <c r="B670" s="8">
        <v>4900</v>
      </c>
      <c r="C670" s="23">
        <v>0.1142</v>
      </c>
      <c r="D670" s="19" t="s">
        <v>32</v>
      </c>
      <c r="E670" s="21">
        <v>61.463000000000001</v>
      </c>
      <c r="F670" s="21">
        <v>4.5119999999999996</v>
      </c>
      <c r="G670" s="23">
        <v>0</v>
      </c>
      <c r="H670" s="26">
        <v>0</v>
      </c>
      <c r="I670" s="19" t="s">
        <v>26</v>
      </c>
      <c r="J670" s="8">
        <v>26</v>
      </c>
      <c r="K670" s="19" t="s">
        <v>37</v>
      </c>
      <c r="L670" s="19" t="s">
        <v>45</v>
      </c>
      <c r="M670" s="8">
        <v>2</v>
      </c>
      <c r="N670" s="33">
        <f t="shared" si="80"/>
        <v>0</v>
      </c>
      <c r="O670" s="23">
        <f t="shared" si="81"/>
        <v>2.5310283687943264E-2</v>
      </c>
      <c r="P670" s="59">
        <f t="shared" si="82"/>
        <v>7.3410019035842697E-2</v>
      </c>
      <c r="Q670" s="30">
        <f t="shared" si="83"/>
        <v>0</v>
      </c>
      <c r="R670" s="30">
        <f t="shared" si="84"/>
        <v>-1</v>
      </c>
      <c r="S670" s="12">
        <f t="shared" si="85"/>
        <v>0</v>
      </c>
      <c r="T670" s="30">
        <f t="shared" si="86"/>
        <v>0</v>
      </c>
      <c r="U670" s="9" t="str">
        <f t="shared" si="87"/>
        <v>25-34</v>
      </c>
    </row>
    <row r="671" spans="1:21">
      <c r="A671" t="s">
        <v>703</v>
      </c>
      <c r="B671" s="8">
        <v>3189</v>
      </c>
      <c r="C671" s="23">
        <v>7.6550000000000007E-2</v>
      </c>
      <c r="D671" s="19" t="s">
        <v>25</v>
      </c>
      <c r="E671" s="21">
        <v>12.769</v>
      </c>
      <c r="F671" s="21">
        <v>4.9939999999999998</v>
      </c>
      <c r="G671" s="23">
        <v>0</v>
      </c>
      <c r="H671" s="26">
        <v>0</v>
      </c>
      <c r="I671" s="19" t="s">
        <v>21</v>
      </c>
      <c r="J671" s="8">
        <v>30</v>
      </c>
      <c r="K671" s="19" t="s">
        <v>31</v>
      </c>
      <c r="L671" s="19" t="s">
        <v>45</v>
      </c>
      <c r="M671" s="8">
        <v>2</v>
      </c>
      <c r="N671" s="33">
        <f t="shared" si="80"/>
        <v>0</v>
      </c>
      <c r="O671" s="23">
        <f t="shared" si="81"/>
        <v>1.5328394072887467E-2</v>
      </c>
      <c r="P671" s="59">
        <f t="shared" si="82"/>
        <v>0.39110345367687366</v>
      </c>
      <c r="Q671" s="30">
        <f t="shared" si="83"/>
        <v>0</v>
      </c>
      <c r="R671" s="30">
        <f t="shared" si="84"/>
        <v>-1</v>
      </c>
      <c r="S671" s="12">
        <f t="shared" si="85"/>
        <v>0</v>
      </c>
      <c r="T671" s="30">
        <f t="shared" si="86"/>
        <v>0</v>
      </c>
      <c r="U671" s="9" t="str">
        <f t="shared" si="87"/>
        <v>25-34</v>
      </c>
    </row>
    <row r="672" spans="1:21">
      <c r="A672" t="s">
        <v>704</v>
      </c>
      <c r="B672" s="8">
        <v>6627</v>
      </c>
      <c r="C672" s="23">
        <v>0.18199000000000001</v>
      </c>
      <c r="D672" s="19" t="s">
        <v>40</v>
      </c>
      <c r="E672" s="21">
        <v>59.085999999999999</v>
      </c>
      <c r="F672" s="21">
        <v>1.772</v>
      </c>
      <c r="G672" s="23">
        <v>0</v>
      </c>
      <c r="H672" s="26">
        <v>0</v>
      </c>
      <c r="I672" s="19" t="s">
        <v>34</v>
      </c>
      <c r="J672" s="8">
        <v>45</v>
      </c>
      <c r="K672" s="19" t="s">
        <v>31</v>
      </c>
      <c r="L672" s="19" t="s">
        <v>45</v>
      </c>
      <c r="M672" s="8">
        <v>2</v>
      </c>
      <c r="N672" s="33">
        <f t="shared" si="80"/>
        <v>0</v>
      </c>
      <c r="O672" s="23">
        <f t="shared" si="81"/>
        <v>0.10270316027088036</v>
      </c>
      <c r="P672" s="59">
        <f t="shared" si="82"/>
        <v>2.9990183799884915E-2</v>
      </c>
      <c r="Q672" s="30">
        <f t="shared" si="83"/>
        <v>0</v>
      </c>
      <c r="R672" s="30">
        <f t="shared" si="84"/>
        <v>-1</v>
      </c>
      <c r="S672" s="12">
        <f t="shared" si="85"/>
        <v>0</v>
      </c>
      <c r="T672" s="30">
        <f t="shared" si="86"/>
        <v>0</v>
      </c>
      <c r="U672" s="9" t="str">
        <f t="shared" si="87"/>
        <v>45-54</v>
      </c>
    </row>
    <row r="673" spans="1:21">
      <c r="A673" t="s">
        <v>705</v>
      </c>
      <c r="B673" s="8">
        <v>9801</v>
      </c>
      <c r="C673" s="23">
        <v>0.19320000000000001</v>
      </c>
      <c r="D673" s="19" t="s">
        <v>25</v>
      </c>
      <c r="E673" s="21">
        <v>42.173000000000002</v>
      </c>
      <c r="F673" s="21">
        <v>4.4619999999999997</v>
      </c>
      <c r="G673" s="23">
        <v>7.238E-2</v>
      </c>
      <c r="H673" s="26">
        <v>1</v>
      </c>
      <c r="I673" s="19" t="s">
        <v>21</v>
      </c>
      <c r="J673" s="8">
        <v>40</v>
      </c>
      <c r="K673" s="19" t="s">
        <v>22</v>
      </c>
      <c r="L673" s="19" t="s">
        <v>38</v>
      </c>
      <c r="M673" s="8">
        <v>4</v>
      </c>
      <c r="N673" s="33">
        <f t="shared" si="80"/>
        <v>0.22411474675033619</v>
      </c>
      <c r="O673" s="23">
        <f t="shared" si="81"/>
        <v>4.3298969072164954E-2</v>
      </c>
      <c r="P673" s="59">
        <f t="shared" si="82"/>
        <v>0.10580229056505346</v>
      </c>
      <c r="Q673" s="30">
        <f t="shared" si="83"/>
        <v>0.19320000000000001</v>
      </c>
      <c r="R673" s="30">
        <f t="shared" si="84"/>
        <v>-0.62536231884057969</v>
      </c>
      <c r="S673" s="12">
        <f t="shared" si="85"/>
        <v>0.37463768115942025</v>
      </c>
      <c r="T673" s="30">
        <f t="shared" si="86"/>
        <v>1.6221425369789332E-2</v>
      </c>
      <c r="U673" s="9" t="str">
        <f t="shared" si="87"/>
        <v>35-44</v>
      </c>
    </row>
    <row r="674" spans="1:21">
      <c r="A674" t="s">
        <v>706</v>
      </c>
      <c r="B674" s="8">
        <v>2841</v>
      </c>
      <c r="C674" s="23">
        <v>0.11700000000000001</v>
      </c>
      <c r="D674" s="19" t="s">
        <v>28</v>
      </c>
      <c r="E674" s="21">
        <v>40.335999999999999</v>
      </c>
      <c r="F674" s="21">
        <v>5.6639999999999997</v>
      </c>
      <c r="G674" s="23">
        <v>0</v>
      </c>
      <c r="H674" s="26">
        <v>0</v>
      </c>
      <c r="I674" s="19" t="s">
        <v>29</v>
      </c>
      <c r="J674" s="8">
        <v>35</v>
      </c>
      <c r="K674" s="19" t="s">
        <v>31</v>
      </c>
      <c r="L674" s="19" t="s">
        <v>38</v>
      </c>
      <c r="M674" s="8">
        <v>3</v>
      </c>
      <c r="N674" s="33">
        <f t="shared" si="80"/>
        <v>0</v>
      </c>
      <c r="O674" s="23">
        <f t="shared" si="81"/>
        <v>2.0656779661016953E-2</v>
      </c>
      <c r="P674" s="59">
        <f t="shared" si="82"/>
        <v>0.14042046806822689</v>
      </c>
      <c r="Q674" s="30">
        <f t="shared" si="83"/>
        <v>0</v>
      </c>
      <c r="R674" s="30">
        <f t="shared" si="84"/>
        <v>-1</v>
      </c>
      <c r="S674" s="12">
        <f t="shared" si="85"/>
        <v>0</v>
      </c>
      <c r="T674" s="30">
        <f t="shared" si="86"/>
        <v>0</v>
      </c>
      <c r="U674" s="9" t="str">
        <f t="shared" si="87"/>
        <v>35-44</v>
      </c>
    </row>
    <row r="675" spans="1:21">
      <c r="A675" t="s">
        <v>707</v>
      </c>
      <c r="B675" s="8">
        <v>5659</v>
      </c>
      <c r="C675" s="23">
        <v>5.2830000000000002E-2</v>
      </c>
      <c r="D675" s="19" t="s">
        <v>32</v>
      </c>
      <c r="E675" s="21">
        <v>75.662000000000006</v>
      </c>
      <c r="F675" s="21">
        <v>0.41</v>
      </c>
      <c r="G675" s="23">
        <v>0</v>
      </c>
      <c r="H675" s="26">
        <v>0</v>
      </c>
      <c r="I675" s="19" t="s">
        <v>26</v>
      </c>
      <c r="J675" s="8">
        <v>55</v>
      </c>
      <c r="K675" s="19" t="s">
        <v>31</v>
      </c>
      <c r="L675" s="19" t="s">
        <v>32</v>
      </c>
      <c r="M675" s="8">
        <v>4</v>
      </c>
      <c r="N675" s="33">
        <f t="shared" si="80"/>
        <v>0</v>
      </c>
      <c r="O675" s="23">
        <f t="shared" si="81"/>
        <v>0.12885365853658537</v>
      </c>
      <c r="P675" s="59">
        <f t="shared" si="82"/>
        <v>5.4188364040072944E-3</v>
      </c>
      <c r="Q675" s="30">
        <f t="shared" si="83"/>
        <v>0</v>
      </c>
      <c r="R675" s="30">
        <f t="shared" si="84"/>
        <v>-1</v>
      </c>
      <c r="S675" s="12">
        <f t="shared" si="85"/>
        <v>0</v>
      </c>
      <c r="T675" s="30">
        <f t="shared" si="86"/>
        <v>0</v>
      </c>
      <c r="U675" s="9" t="str">
        <f t="shared" si="87"/>
        <v>55+</v>
      </c>
    </row>
    <row r="676" spans="1:21">
      <c r="A676" t="s">
        <v>708</v>
      </c>
      <c r="B676" s="8">
        <v>9652</v>
      </c>
      <c r="C676" s="23">
        <v>0.13192999999999999</v>
      </c>
      <c r="D676" s="19" t="s">
        <v>28</v>
      </c>
      <c r="E676" s="21">
        <v>99.113</v>
      </c>
      <c r="F676" s="21">
        <v>8.6760000000000002</v>
      </c>
      <c r="G676" s="23">
        <v>5.5870000000000003E-2</v>
      </c>
      <c r="H676" s="26">
        <v>1</v>
      </c>
      <c r="I676" s="19" t="s">
        <v>29</v>
      </c>
      <c r="J676" s="8">
        <v>29</v>
      </c>
      <c r="K676" s="19" t="s">
        <v>31</v>
      </c>
      <c r="L676" s="19" t="s">
        <v>23</v>
      </c>
      <c r="M676" s="8">
        <v>3</v>
      </c>
      <c r="N676" s="33">
        <f t="shared" si="80"/>
        <v>0.1152604887044721</v>
      </c>
      <c r="O676" s="23">
        <f t="shared" si="81"/>
        <v>1.5206316274781004E-2</v>
      </c>
      <c r="P676" s="59">
        <f t="shared" si="82"/>
        <v>8.7536448296388972E-2</v>
      </c>
      <c r="Q676" s="30">
        <f t="shared" si="83"/>
        <v>0.13192999999999999</v>
      </c>
      <c r="R676" s="30">
        <f t="shared" si="84"/>
        <v>-0.57651785037519887</v>
      </c>
      <c r="S676" s="12">
        <f t="shared" si="85"/>
        <v>0.42348214962480107</v>
      </c>
      <c r="T676" s="30">
        <f t="shared" si="86"/>
        <v>6.4396035039188566E-3</v>
      </c>
      <c r="U676" s="9" t="str">
        <f t="shared" si="87"/>
        <v>25-34</v>
      </c>
    </row>
    <row r="677" spans="1:21">
      <c r="A677" t="s">
        <v>709</v>
      </c>
      <c r="B677" s="8">
        <v>8198</v>
      </c>
      <c r="C677" s="23">
        <v>6.6720000000000002E-2</v>
      </c>
      <c r="D677" s="19" t="s">
        <v>25</v>
      </c>
      <c r="E677" s="21">
        <v>75.915999999999997</v>
      </c>
      <c r="F677" s="21">
        <v>5.5979999999999999</v>
      </c>
      <c r="G677" s="23">
        <v>0</v>
      </c>
      <c r="H677" s="26">
        <v>0</v>
      </c>
      <c r="I677" s="19" t="s">
        <v>34</v>
      </c>
      <c r="J677" s="8">
        <v>39</v>
      </c>
      <c r="K677" s="19" t="s">
        <v>37</v>
      </c>
      <c r="L677" s="19" t="s">
        <v>19</v>
      </c>
      <c r="M677" s="8">
        <v>5</v>
      </c>
      <c r="N677" s="33">
        <f t="shared" si="80"/>
        <v>0</v>
      </c>
      <c r="O677" s="23">
        <f t="shared" si="81"/>
        <v>1.1918542336548769E-2</v>
      </c>
      <c r="P677" s="59">
        <f t="shared" si="82"/>
        <v>7.3739396174719432E-2</v>
      </c>
      <c r="Q677" s="30">
        <f t="shared" si="83"/>
        <v>0</v>
      </c>
      <c r="R677" s="30">
        <f t="shared" si="84"/>
        <v>-1</v>
      </c>
      <c r="S677" s="12">
        <f t="shared" si="85"/>
        <v>0</v>
      </c>
      <c r="T677" s="30">
        <f t="shared" si="86"/>
        <v>0</v>
      </c>
      <c r="U677" s="9" t="str">
        <f t="shared" si="87"/>
        <v>35-44</v>
      </c>
    </row>
    <row r="678" spans="1:21">
      <c r="A678" t="s">
        <v>710</v>
      </c>
      <c r="B678" s="8">
        <v>1918</v>
      </c>
      <c r="C678" s="23">
        <v>0.11856</v>
      </c>
      <c r="D678" s="19" t="s">
        <v>32</v>
      </c>
      <c r="E678" s="21">
        <v>44.198999999999998</v>
      </c>
      <c r="F678" s="21">
        <v>2.96</v>
      </c>
      <c r="G678" s="23">
        <v>0</v>
      </c>
      <c r="H678" s="26">
        <v>0</v>
      </c>
      <c r="I678" s="19" t="s">
        <v>17</v>
      </c>
      <c r="J678" s="8">
        <v>57</v>
      </c>
      <c r="K678" s="19" t="s">
        <v>22</v>
      </c>
      <c r="L678" s="19" t="s">
        <v>19</v>
      </c>
      <c r="M678" s="8">
        <v>4</v>
      </c>
      <c r="N678" s="33">
        <f t="shared" si="80"/>
        <v>0</v>
      </c>
      <c r="O678" s="23">
        <f t="shared" si="81"/>
        <v>4.0054054054054052E-2</v>
      </c>
      <c r="P678" s="59">
        <f t="shared" si="82"/>
        <v>6.6969840946627751E-2</v>
      </c>
      <c r="Q678" s="30">
        <f t="shared" si="83"/>
        <v>0</v>
      </c>
      <c r="R678" s="30">
        <f t="shared" si="84"/>
        <v>-1</v>
      </c>
      <c r="S678" s="12">
        <f t="shared" si="85"/>
        <v>0</v>
      </c>
      <c r="T678" s="30">
        <f t="shared" si="86"/>
        <v>0</v>
      </c>
      <c r="U678" s="9" t="str">
        <f t="shared" si="87"/>
        <v>55+</v>
      </c>
    </row>
    <row r="679" spans="1:21">
      <c r="A679" t="s">
        <v>711</v>
      </c>
      <c r="B679" s="8">
        <v>5207</v>
      </c>
      <c r="C679" s="23">
        <v>4.9849999999999998E-2</v>
      </c>
      <c r="D679" s="19" t="s">
        <v>45</v>
      </c>
      <c r="E679" s="21">
        <v>11.335000000000001</v>
      </c>
      <c r="F679" s="21">
        <v>7.25</v>
      </c>
      <c r="G679" s="23">
        <v>0</v>
      </c>
      <c r="H679" s="26">
        <v>0</v>
      </c>
      <c r="I679" s="19" t="s">
        <v>26</v>
      </c>
      <c r="J679" s="8">
        <v>18</v>
      </c>
      <c r="K679" s="19" t="s">
        <v>18</v>
      </c>
      <c r="L679" s="19" t="s">
        <v>23</v>
      </c>
      <c r="M679" s="8">
        <v>5</v>
      </c>
      <c r="N679" s="33">
        <f t="shared" si="80"/>
        <v>0</v>
      </c>
      <c r="O679" s="23">
        <f t="shared" si="81"/>
        <v>6.8758620689655173E-3</v>
      </c>
      <c r="P679" s="59">
        <f t="shared" si="82"/>
        <v>0.63961182179091303</v>
      </c>
      <c r="Q679" s="30">
        <f t="shared" si="83"/>
        <v>0</v>
      </c>
      <c r="R679" s="30">
        <f t="shared" si="84"/>
        <v>-1</v>
      </c>
      <c r="S679" s="12">
        <f t="shared" si="85"/>
        <v>0</v>
      </c>
      <c r="T679" s="30">
        <f t="shared" si="86"/>
        <v>0</v>
      </c>
      <c r="U679" s="9" t="str">
        <f t="shared" si="87"/>
        <v>18-24</v>
      </c>
    </row>
    <row r="680" spans="1:21">
      <c r="A680" t="s">
        <v>712</v>
      </c>
      <c r="B680" s="8">
        <v>9575</v>
      </c>
      <c r="C680" s="23">
        <v>4.5609999999999998E-2</v>
      </c>
      <c r="D680" s="19" t="s">
        <v>15</v>
      </c>
      <c r="E680" s="21">
        <v>74.198999999999998</v>
      </c>
      <c r="F680" s="21">
        <v>5.1520000000000001</v>
      </c>
      <c r="G680" s="23">
        <v>0.36907000000000001</v>
      </c>
      <c r="H680" s="26">
        <v>1</v>
      </c>
      <c r="I680" s="19" t="s">
        <v>26</v>
      </c>
      <c r="J680" s="8">
        <v>48</v>
      </c>
      <c r="K680" s="19" t="s">
        <v>31</v>
      </c>
      <c r="L680" s="19" t="s">
        <v>23</v>
      </c>
      <c r="M680" s="8">
        <v>1</v>
      </c>
      <c r="N680" s="33">
        <f t="shared" si="80"/>
        <v>0.19409937888198758</v>
      </c>
      <c r="O680" s="23">
        <f t="shared" si="81"/>
        <v>8.8528726708074525E-3</v>
      </c>
      <c r="P680" s="59">
        <f t="shared" si="82"/>
        <v>6.9434898044448037E-2</v>
      </c>
      <c r="Q680" s="30">
        <f t="shared" si="83"/>
        <v>4.5609999999999998E-2</v>
      </c>
      <c r="R680" s="30">
        <f t="shared" si="84"/>
        <v>7.0918658188993655</v>
      </c>
      <c r="S680" s="12">
        <f t="shared" si="85"/>
        <v>8.0918658188993646</v>
      </c>
      <c r="T680" s="30">
        <f t="shared" si="86"/>
        <v>7.1636257763975156E-2</v>
      </c>
      <c r="U680" s="9" t="str">
        <f t="shared" si="87"/>
        <v>45-54</v>
      </c>
    </row>
    <row r="681" spans="1:21">
      <c r="A681" t="s">
        <v>713</v>
      </c>
      <c r="B681" s="8">
        <v>7256</v>
      </c>
      <c r="C681" s="23">
        <v>0</v>
      </c>
      <c r="D681" s="19" t="s">
        <v>15</v>
      </c>
      <c r="E681" s="21">
        <v>93.646000000000001</v>
      </c>
      <c r="F681" s="21">
        <v>9.484</v>
      </c>
      <c r="G681" s="23">
        <v>0.14265</v>
      </c>
      <c r="H681" s="26">
        <v>1</v>
      </c>
      <c r="I681" s="19" t="s">
        <v>26</v>
      </c>
      <c r="J681" s="8">
        <v>51</v>
      </c>
      <c r="K681" s="19" t="s">
        <v>37</v>
      </c>
      <c r="L681" s="19" t="s">
        <v>38</v>
      </c>
      <c r="M681" s="8">
        <v>5</v>
      </c>
      <c r="N681" s="33">
        <f t="shared" si="80"/>
        <v>0.10544074230282581</v>
      </c>
      <c r="O681" s="23">
        <f t="shared" si="81"/>
        <v>0</v>
      </c>
      <c r="P681" s="59">
        <f t="shared" si="82"/>
        <v>0.10127501441599214</v>
      </c>
      <c r="Q681" s="30">
        <f t="shared" si="83"/>
        <v>0</v>
      </c>
      <c r="R681" s="30">
        <f t="shared" si="84"/>
        <v>0</v>
      </c>
      <c r="S681" s="12" t="e">
        <f t="shared" si="85"/>
        <v>#DIV/0!</v>
      </c>
      <c r="T681" s="30">
        <f t="shared" si="86"/>
        <v>1.5041121889498101E-2</v>
      </c>
      <c r="U681" s="9" t="str">
        <f t="shared" si="87"/>
        <v>45-54</v>
      </c>
    </row>
    <row r="682" spans="1:21">
      <c r="A682" t="s">
        <v>714</v>
      </c>
      <c r="B682" s="8">
        <v>6035</v>
      </c>
      <c r="C682" s="23">
        <v>7.9000000000000008E-3</v>
      </c>
      <c r="D682" s="19" t="s">
        <v>15</v>
      </c>
      <c r="E682" s="21">
        <v>94.272000000000006</v>
      </c>
      <c r="F682" s="21">
        <v>5.4589999999999996</v>
      </c>
      <c r="G682" s="23">
        <v>0</v>
      </c>
      <c r="H682" s="26">
        <v>0</v>
      </c>
      <c r="I682" s="19" t="s">
        <v>17</v>
      </c>
      <c r="J682" s="8">
        <v>44</v>
      </c>
      <c r="K682" s="19" t="s">
        <v>37</v>
      </c>
      <c r="L682" s="19" t="s">
        <v>45</v>
      </c>
      <c r="M682" s="8">
        <v>3</v>
      </c>
      <c r="N682" s="33">
        <f t="shared" si="80"/>
        <v>0</v>
      </c>
      <c r="O682" s="23">
        <f t="shared" si="81"/>
        <v>1.4471514929474264E-3</v>
      </c>
      <c r="P682" s="59">
        <f t="shared" si="82"/>
        <v>5.7906907671418865E-2</v>
      </c>
      <c r="Q682" s="30">
        <f t="shared" si="83"/>
        <v>0</v>
      </c>
      <c r="R682" s="30">
        <f t="shared" si="84"/>
        <v>-1</v>
      </c>
      <c r="S682" s="12">
        <f t="shared" si="85"/>
        <v>0</v>
      </c>
      <c r="T682" s="30">
        <f t="shared" si="86"/>
        <v>0</v>
      </c>
      <c r="U682" s="9" t="str">
        <f t="shared" si="87"/>
        <v>35-44</v>
      </c>
    </row>
    <row r="683" spans="1:21">
      <c r="A683" t="s">
        <v>715</v>
      </c>
      <c r="B683" s="8">
        <v>1844</v>
      </c>
      <c r="C683" s="23">
        <v>5.0180000000000002E-2</v>
      </c>
      <c r="D683" s="19" t="s">
        <v>28</v>
      </c>
      <c r="E683" s="21">
        <v>25.152000000000001</v>
      </c>
      <c r="F683" s="21">
        <v>0.69</v>
      </c>
      <c r="G683" s="23">
        <v>0.16996</v>
      </c>
      <c r="H683" s="26">
        <v>1</v>
      </c>
      <c r="I683" s="19" t="s">
        <v>21</v>
      </c>
      <c r="J683" s="8">
        <v>41</v>
      </c>
      <c r="K683" s="19" t="s">
        <v>31</v>
      </c>
      <c r="L683" s="19" t="s">
        <v>38</v>
      </c>
      <c r="M683" s="8">
        <v>5</v>
      </c>
      <c r="N683" s="33">
        <f t="shared" si="80"/>
        <v>1.4492753623188408</v>
      </c>
      <c r="O683" s="23">
        <f t="shared" si="81"/>
        <v>7.2724637681159429E-2</v>
      </c>
      <c r="P683" s="59">
        <f t="shared" si="82"/>
        <v>2.7433206106870226E-2</v>
      </c>
      <c r="Q683" s="30">
        <f t="shared" si="83"/>
        <v>5.0180000000000002E-2</v>
      </c>
      <c r="R683" s="30">
        <f t="shared" si="84"/>
        <v>2.3870067756078117</v>
      </c>
      <c r="S683" s="12">
        <f t="shared" si="85"/>
        <v>3.3870067756078117</v>
      </c>
      <c r="T683" s="30">
        <f t="shared" si="86"/>
        <v>0.24631884057971015</v>
      </c>
      <c r="U683" s="9" t="str">
        <f t="shared" si="87"/>
        <v>35-44</v>
      </c>
    </row>
    <row r="684" spans="1:21">
      <c r="A684" t="s">
        <v>716</v>
      </c>
      <c r="B684" s="8">
        <v>7603</v>
      </c>
      <c r="C684" s="23">
        <v>6.7199999999999996E-2</v>
      </c>
      <c r="D684" s="19" t="s">
        <v>15</v>
      </c>
      <c r="E684" s="21">
        <v>40.506999999999998</v>
      </c>
      <c r="F684" s="21">
        <v>0.33300000000000002</v>
      </c>
      <c r="G684" s="23">
        <v>0</v>
      </c>
      <c r="H684" s="26">
        <v>0</v>
      </c>
      <c r="I684" s="19" t="s">
        <v>21</v>
      </c>
      <c r="J684" s="8">
        <v>38</v>
      </c>
      <c r="K684" s="19" t="s">
        <v>18</v>
      </c>
      <c r="L684" s="19" t="s">
        <v>32</v>
      </c>
      <c r="M684" s="8">
        <v>3</v>
      </c>
      <c r="N684" s="33">
        <f t="shared" si="80"/>
        <v>0</v>
      </c>
      <c r="O684" s="23">
        <f t="shared" si="81"/>
        <v>0.20180180180180177</v>
      </c>
      <c r="P684" s="59">
        <f t="shared" si="82"/>
        <v>8.2208013429777571E-3</v>
      </c>
      <c r="Q684" s="30">
        <f t="shared" si="83"/>
        <v>0</v>
      </c>
      <c r="R684" s="30">
        <f t="shared" si="84"/>
        <v>-1</v>
      </c>
      <c r="S684" s="12">
        <f t="shared" si="85"/>
        <v>0</v>
      </c>
      <c r="T684" s="30">
        <f t="shared" si="86"/>
        <v>0</v>
      </c>
      <c r="U684" s="9" t="str">
        <f t="shared" si="87"/>
        <v>35-44</v>
      </c>
    </row>
    <row r="685" spans="1:21">
      <c r="A685" t="s">
        <v>717</v>
      </c>
      <c r="B685" s="8">
        <v>5532</v>
      </c>
      <c r="C685" s="23">
        <v>0.15345</v>
      </c>
      <c r="D685" s="19" t="s">
        <v>28</v>
      </c>
      <c r="E685" s="21">
        <v>18.899000000000001</v>
      </c>
      <c r="F685" s="21">
        <v>4.6120000000000001</v>
      </c>
      <c r="G685" s="23">
        <v>0.45672000000000001</v>
      </c>
      <c r="H685" s="26">
        <v>1</v>
      </c>
      <c r="I685" s="19" t="s">
        <v>21</v>
      </c>
      <c r="J685" s="8">
        <v>61</v>
      </c>
      <c r="K685" s="19" t="s">
        <v>31</v>
      </c>
      <c r="L685" s="19" t="s">
        <v>23</v>
      </c>
      <c r="M685" s="8">
        <v>3</v>
      </c>
      <c r="N685" s="33">
        <f t="shared" si="80"/>
        <v>0.21682567215958368</v>
      </c>
      <c r="O685" s="23">
        <f t="shared" si="81"/>
        <v>3.3271899392888118E-2</v>
      </c>
      <c r="P685" s="59">
        <f t="shared" si="82"/>
        <v>0.24403407587703052</v>
      </c>
      <c r="Q685" s="30">
        <f t="shared" si="83"/>
        <v>0.15345</v>
      </c>
      <c r="R685" s="30">
        <f t="shared" si="84"/>
        <v>1.9763440860215056</v>
      </c>
      <c r="S685" s="12">
        <f t="shared" si="85"/>
        <v>2.9763440860215056</v>
      </c>
      <c r="T685" s="30">
        <f t="shared" si="86"/>
        <v>9.9028620988725072E-2</v>
      </c>
      <c r="U685" s="9" t="str">
        <f t="shared" si="87"/>
        <v>55+</v>
      </c>
    </row>
    <row r="686" spans="1:21">
      <c r="A686" t="s">
        <v>718</v>
      </c>
      <c r="B686" s="8">
        <v>9916</v>
      </c>
      <c r="C686" s="23">
        <v>4.1640000000000003E-2</v>
      </c>
      <c r="D686" s="19" t="s">
        <v>28</v>
      </c>
      <c r="E686" s="21">
        <v>23.367999999999999</v>
      </c>
      <c r="F686" s="21">
        <v>5.9530000000000003</v>
      </c>
      <c r="G686" s="23">
        <v>0</v>
      </c>
      <c r="H686" s="26">
        <v>0</v>
      </c>
      <c r="I686" s="19" t="s">
        <v>21</v>
      </c>
      <c r="J686" s="8">
        <v>62</v>
      </c>
      <c r="K686" s="19" t="s">
        <v>37</v>
      </c>
      <c r="L686" s="19" t="s">
        <v>19</v>
      </c>
      <c r="M686" s="8" t="s">
        <v>1065</v>
      </c>
      <c r="N686" s="33">
        <f t="shared" si="80"/>
        <v>0</v>
      </c>
      <c r="O686" s="23">
        <f t="shared" si="81"/>
        <v>6.9947925415756763E-3</v>
      </c>
      <c r="P686" s="59">
        <f t="shared" si="82"/>
        <v>0.25475008558712775</v>
      </c>
      <c r="Q686" s="30">
        <f t="shared" si="83"/>
        <v>0</v>
      </c>
      <c r="R686" s="30">
        <f t="shared" si="84"/>
        <v>-1</v>
      </c>
      <c r="S686" s="12">
        <f t="shared" si="85"/>
        <v>0</v>
      </c>
      <c r="T686" s="30">
        <f t="shared" si="86"/>
        <v>0</v>
      </c>
      <c r="U686" s="9" t="str">
        <f t="shared" si="87"/>
        <v>55+</v>
      </c>
    </row>
    <row r="687" spans="1:21">
      <c r="A687" t="s">
        <v>719</v>
      </c>
      <c r="B687" s="8">
        <v>6642</v>
      </c>
      <c r="C687" s="23">
        <v>0.1822</v>
      </c>
      <c r="D687" s="19" t="s">
        <v>15</v>
      </c>
      <c r="E687" s="21">
        <v>64.846000000000004</v>
      </c>
      <c r="F687" s="21">
        <v>6.4770000000000003</v>
      </c>
      <c r="G687" s="23">
        <v>0</v>
      </c>
      <c r="H687" s="26">
        <v>0</v>
      </c>
      <c r="I687" s="19" t="s">
        <v>34</v>
      </c>
      <c r="J687" s="8">
        <v>49</v>
      </c>
      <c r="K687" s="19" t="s">
        <v>22</v>
      </c>
      <c r="L687" s="19" t="s">
        <v>19</v>
      </c>
      <c r="M687" s="8" t="s">
        <v>1065</v>
      </c>
      <c r="N687" s="33">
        <f t="shared" si="80"/>
        <v>0</v>
      </c>
      <c r="O687" s="23">
        <f t="shared" si="81"/>
        <v>2.8130307241006638E-2</v>
      </c>
      <c r="P687" s="59">
        <f t="shared" si="82"/>
        <v>9.9882799247447793E-2</v>
      </c>
      <c r="Q687" s="30">
        <f t="shared" si="83"/>
        <v>0</v>
      </c>
      <c r="R687" s="30">
        <f t="shared" si="84"/>
        <v>-1</v>
      </c>
      <c r="S687" s="12">
        <f t="shared" si="85"/>
        <v>0</v>
      </c>
      <c r="T687" s="30">
        <f t="shared" si="86"/>
        <v>0</v>
      </c>
      <c r="U687" s="9" t="str">
        <f t="shared" si="87"/>
        <v>45-54</v>
      </c>
    </row>
    <row r="688" spans="1:21">
      <c r="A688" t="s">
        <v>720</v>
      </c>
      <c r="B688" s="8">
        <v>3611</v>
      </c>
      <c r="C688" s="23">
        <v>4.0939999999999997E-2</v>
      </c>
      <c r="D688" s="19" t="s">
        <v>28</v>
      </c>
      <c r="E688" s="21">
        <v>32.204000000000001</v>
      </c>
      <c r="F688" s="21">
        <v>2.6179999999999999</v>
      </c>
      <c r="G688" s="23">
        <v>0</v>
      </c>
      <c r="H688" s="26">
        <v>0</v>
      </c>
      <c r="I688" s="19" t="s">
        <v>26</v>
      </c>
      <c r="J688" s="8">
        <v>41</v>
      </c>
      <c r="K688" s="19" t="s">
        <v>31</v>
      </c>
      <c r="L688" s="19" t="s">
        <v>32</v>
      </c>
      <c r="M688" s="8" t="s">
        <v>1065</v>
      </c>
      <c r="N688" s="33">
        <f t="shared" si="80"/>
        <v>0</v>
      </c>
      <c r="O688" s="23">
        <f t="shared" si="81"/>
        <v>1.563789152024446E-2</v>
      </c>
      <c r="P688" s="59">
        <f t="shared" si="82"/>
        <v>8.1294249161594834E-2</v>
      </c>
      <c r="Q688" s="30">
        <f t="shared" si="83"/>
        <v>0</v>
      </c>
      <c r="R688" s="30">
        <f t="shared" si="84"/>
        <v>-1</v>
      </c>
      <c r="S688" s="12">
        <f t="shared" si="85"/>
        <v>0</v>
      </c>
      <c r="T688" s="30">
        <f t="shared" si="86"/>
        <v>0</v>
      </c>
      <c r="U688" s="9" t="str">
        <f t="shared" si="87"/>
        <v>35-44</v>
      </c>
    </row>
    <row r="689" spans="1:21">
      <c r="A689" t="s">
        <v>721</v>
      </c>
      <c r="B689" s="8">
        <v>6412</v>
      </c>
      <c r="C689" s="23">
        <v>4.095E-2</v>
      </c>
      <c r="D689" s="19" t="s">
        <v>32</v>
      </c>
      <c r="E689" s="21">
        <v>46.674999999999997</v>
      </c>
      <c r="F689" s="21">
        <v>0.127</v>
      </c>
      <c r="G689" s="23">
        <v>0</v>
      </c>
      <c r="H689" s="26">
        <v>0</v>
      </c>
      <c r="I689" s="19" t="s">
        <v>17</v>
      </c>
      <c r="J689" s="8">
        <v>36</v>
      </c>
      <c r="K689" s="19" t="s">
        <v>37</v>
      </c>
      <c r="L689" s="19" t="s">
        <v>32</v>
      </c>
      <c r="M689" s="8">
        <v>1</v>
      </c>
      <c r="N689" s="33">
        <f t="shared" si="80"/>
        <v>0</v>
      </c>
      <c r="O689" s="23">
        <f t="shared" si="81"/>
        <v>0.32244094488188974</v>
      </c>
      <c r="P689" s="59">
        <f t="shared" si="82"/>
        <v>2.7209426888055708E-3</v>
      </c>
      <c r="Q689" s="30">
        <f t="shared" si="83"/>
        <v>0</v>
      </c>
      <c r="R689" s="30">
        <f t="shared" si="84"/>
        <v>-1</v>
      </c>
      <c r="S689" s="12">
        <f t="shared" si="85"/>
        <v>0</v>
      </c>
      <c r="T689" s="30">
        <f t="shared" si="86"/>
        <v>0</v>
      </c>
      <c r="U689" s="9" t="str">
        <f t="shared" si="87"/>
        <v>35-44</v>
      </c>
    </row>
    <row r="690" spans="1:21">
      <c r="A690" t="s">
        <v>722</v>
      </c>
      <c r="B690" s="8">
        <v>8693</v>
      </c>
      <c r="C690" s="23">
        <v>0.17383000000000001</v>
      </c>
      <c r="D690" s="19" t="s">
        <v>25</v>
      </c>
      <c r="E690" s="21">
        <v>70.225999999999999</v>
      </c>
      <c r="F690" s="21">
        <v>2.7189999999999999</v>
      </c>
      <c r="G690" s="23">
        <v>0</v>
      </c>
      <c r="H690" s="26">
        <v>0</v>
      </c>
      <c r="I690" s="19" t="s">
        <v>29</v>
      </c>
      <c r="J690" s="8">
        <v>58</v>
      </c>
      <c r="K690" s="19" t="s">
        <v>31</v>
      </c>
      <c r="L690" s="19" t="s">
        <v>32</v>
      </c>
      <c r="M690" s="8" t="s">
        <v>1065</v>
      </c>
      <c r="N690" s="33">
        <f t="shared" si="80"/>
        <v>0</v>
      </c>
      <c r="O690" s="23">
        <f t="shared" si="81"/>
        <v>6.3931592497241646E-2</v>
      </c>
      <c r="P690" s="59">
        <f t="shared" si="82"/>
        <v>3.8717853786346935E-2</v>
      </c>
      <c r="Q690" s="30">
        <f t="shared" si="83"/>
        <v>0</v>
      </c>
      <c r="R690" s="30">
        <f t="shared" si="84"/>
        <v>-1</v>
      </c>
      <c r="S690" s="12">
        <f t="shared" si="85"/>
        <v>0</v>
      </c>
      <c r="T690" s="30">
        <f t="shared" si="86"/>
        <v>0</v>
      </c>
      <c r="U690" s="9" t="str">
        <f t="shared" si="87"/>
        <v>55+</v>
      </c>
    </row>
    <row r="691" spans="1:21">
      <c r="A691" t="s">
        <v>723</v>
      </c>
      <c r="B691" s="8">
        <v>2385</v>
      </c>
      <c r="C691" s="23">
        <v>0</v>
      </c>
      <c r="D691" s="19" t="s">
        <v>28</v>
      </c>
      <c r="E691" s="21">
        <v>16.949000000000002</v>
      </c>
      <c r="F691" s="21">
        <v>4.99</v>
      </c>
      <c r="G691" s="23">
        <v>0.45479000000000003</v>
      </c>
      <c r="H691" s="26">
        <v>1</v>
      </c>
      <c r="I691" s="19" t="s">
        <v>29</v>
      </c>
      <c r="J691" s="8">
        <v>56</v>
      </c>
      <c r="K691" s="19" t="s">
        <v>31</v>
      </c>
      <c r="L691" s="19" t="s">
        <v>32</v>
      </c>
      <c r="M691" s="8">
        <v>4</v>
      </c>
      <c r="N691" s="33">
        <f t="shared" si="80"/>
        <v>0.20040080160320639</v>
      </c>
      <c r="O691" s="23">
        <f t="shared" si="81"/>
        <v>0</v>
      </c>
      <c r="P691" s="59">
        <f t="shared" si="82"/>
        <v>0.2944126497138474</v>
      </c>
      <c r="Q691" s="30">
        <f t="shared" si="83"/>
        <v>0</v>
      </c>
      <c r="R691" s="30">
        <f t="shared" si="84"/>
        <v>0</v>
      </c>
      <c r="S691" s="12" t="e">
        <f t="shared" si="85"/>
        <v>#DIV/0!</v>
      </c>
      <c r="T691" s="30">
        <f t="shared" si="86"/>
        <v>9.114028056112225E-2</v>
      </c>
      <c r="U691" s="9" t="str">
        <f t="shared" si="87"/>
        <v>55+</v>
      </c>
    </row>
    <row r="692" spans="1:21">
      <c r="A692" t="s">
        <v>724</v>
      </c>
      <c r="B692" s="8">
        <v>4542</v>
      </c>
      <c r="C692" s="23">
        <v>0.12252</v>
      </c>
      <c r="D692" s="19" t="s">
        <v>25</v>
      </c>
      <c r="E692" s="21">
        <v>17.338999999999999</v>
      </c>
      <c r="F692" s="21">
        <v>8.6809999999999992</v>
      </c>
      <c r="G692" s="23">
        <v>0</v>
      </c>
      <c r="H692" s="26">
        <v>0</v>
      </c>
      <c r="I692" s="19" t="s">
        <v>1067</v>
      </c>
      <c r="J692" s="8">
        <v>19</v>
      </c>
      <c r="K692" s="19" t="s">
        <v>18</v>
      </c>
      <c r="L692" s="19" t="s">
        <v>38</v>
      </c>
      <c r="M692" s="8">
        <v>5</v>
      </c>
      <c r="N692" s="33">
        <f t="shared" si="80"/>
        <v>0</v>
      </c>
      <c r="O692" s="23">
        <f t="shared" si="81"/>
        <v>1.4113581384633108E-2</v>
      </c>
      <c r="P692" s="59">
        <f t="shared" si="82"/>
        <v>0.50066324470846069</v>
      </c>
      <c r="Q692" s="30">
        <f t="shared" si="83"/>
        <v>0</v>
      </c>
      <c r="R692" s="30">
        <f t="shared" si="84"/>
        <v>-1</v>
      </c>
      <c r="S692" s="12">
        <f t="shared" si="85"/>
        <v>0</v>
      </c>
      <c r="T692" s="30">
        <f t="shared" si="86"/>
        <v>0</v>
      </c>
      <c r="U692" s="9" t="str">
        <f t="shared" si="87"/>
        <v>18-24</v>
      </c>
    </row>
    <row r="693" spans="1:21">
      <c r="A693" t="s">
        <v>725</v>
      </c>
      <c r="B693" s="8">
        <v>7251</v>
      </c>
      <c r="C693" s="23">
        <v>0.11398999999999999</v>
      </c>
      <c r="D693" s="19" t="s">
        <v>15</v>
      </c>
      <c r="E693" s="21">
        <v>20.401</v>
      </c>
      <c r="F693" s="21">
        <v>7.2930000000000001</v>
      </c>
      <c r="G693" s="23">
        <v>0</v>
      </c>
      <c r="H693" s="26">
        <v>0</v>
      </c>
      <c r="I693" s="19" t="s">
        <v>29</v>
      </c>
      <c r="J693" s="8">
        <v>43</v>
      </c>
      <c r="K693" s="19" t="s">
        <v>37</v>
      </c>
      <c r="L693" s="19" t="s">
        <v>19</v>
      </c>
      <c r="M693" s="8">
        <v>5</v>
      </c>
      <c r="N693" s="33">
        <f t="shared" si="80"/>
        <v>0</v>
      </c>
      <c r="O693" s="23">
        <f t="shared" si="81"/>
        <v>1.563005621829151E-2</v>
      </c>
      <c r="P693" s="59">
        <f t="shared" si="82"/>
        <v>0.35748247634919855</v>
      </c>
      <c r="Q693" s="30">
        <f t="shared" si="83"/>
        <v>0</v>
      </c>
      <c r="R693" s="30">
        <f t="shared" si="84"/>
        <v>-1</v>
      </c>
      <c r="S693" s="12">
        <f t="shared" si="85"/>
        <v>0</v>
      </c>
      <c r="T693" s="30">
        <f t="shared" si="86"/>
        <v>0</v>
      </c>
      <c r="U693" s="9" t="str">
        <f t="shared" si="87"/>
        <v>35-44</v>
      </c>
    </row>
    <row r="694" spans="1:21">
      <c r="A694" t="s">
        <v>726</v>
      </c>
      <c r="B694" s="8">
        <v>3494</v>
      </c>
      <c r="C694" s="23">
        <v>0.18715999999999999</v>
      </c>
      <c r="D694" s="19" t="s">
        <v>15</v>
      </c>
      <c r="E694" s="21">
        <v>9.3800000000000008</v>
      </c>
      <c r="F694" s="21">
        <v>3.6030000000000002</v>
      </c>
      <c r="G694" s="23">
        <v>0.25634000000000001</v>
      </c>
      <c r="H694" s="26">
        <v>1</v>
      </c>
      <c r="I694" s="19" t="s">
        <v>17</v>
      </c>
      <c r="J694" s="8">
        <v>60</v>
      </c>
      <c r="K694" s="19" t="s">
        <v>37</v>
      </c>
      <c r="L694" s="19" t="s">
        <v>23</v>
      </c>
      <c r="M694" s="8">
        <v>3</v>
      </c>
      <c r="N694" s="33">
        <f t="shared" si="80"/>
        <v>0.27754648903691365</v>
      </c>
      <c r="O694" s="23">
        <f t="shared" si="81"/>
        <v>5.1945600888148757E-2</v>
      </c>
      <c r="P694" s="59">
        <f t="shared" si="82"/>
        <v>0.38411513859275054</v>
      </c>
      <c r="Q694" s="30">
        <f t="shared" si="83"/>
        <v>0.18715999999999999</v>
      </c>
      <c r="R694" s="30">
        <f t="shared" si="84"/>
        <v>0.36963026287668316</v>
      </c>
      <c r="S694" s="12">
        <f t="shared" si="85"/>
        <v>1.3696302628766832</v>
      </c>
      <c r="T694" s="30">
        <f t="shared" si="86"/>
        <v>7.1146266999722457E-2</v>
      </c>
      <c r="U694" s="9" t="str">
        <f t="shared" si="87"/>
        <v>55+</v>
      </c>
    </row>
    <row r="695" spans="1:21">
      <c r="A695" t="s">
        <v>727</v>
      </c>
      <c r="B695" s="8">
        <v>9157</v>
      </c>
      <c r="C695" s="23">
        <v>0</v>
      </c>
      <c r="D695" s="19" t="s">
        <v>45</v>
      </c>
      <c r="E695" s="21">
        <v>21.4</v>
      </c>
      <c r="F695" s="21">
        <v>7.2619999999999996</v>
      </c>
      <c r="G695" s="23">
        <v>0</v>
      </c>
      <c r="H695" s="26">
        <v>0</v>
      </c>
      <c r="I695" s="19" t="s">
        <v>26</v>
      </c>
      <c r="J695" s="8">
        <v>65</v>
      </c>
      <c r="K695" s="19" t="s">
        <v>18</v>
      </c>
      <c r="L695" s="19" t="s">
        <v>45</v>
      </c>
      <c r="M695" s="8">
        <v>4</v>
      </c>
      <c r="N695" s="33">
        <f t="shared" si="80"/>
        <v>0</v>
      </c>
      <c r="O695" s="23">
        <f t="shared" si="81"/>
        <v>0</v>
      </c>
      <c r="P695" s="59">
        <f t="shared" si="82"/>
        <v>0.33934579439252338</v>
      </c>
      <c r="Q695" s="30">
        <f t="shared" si="83"/>
        <v>0</v>
      </c>
      <c r="R695" s="30">
        <f t="shared" si="84"/>
        <v>0</v>
      </c>
      <c r="S695" s="12">
        <f t="shared" si="85"/>
        <v>0</v>
      </c>
      <c r="T695" s="30">
        <f t="shared" si="86"/>
        <v>0</v>
      </c>
      <c r="U695" s="9" t="str">
        <f t="shared" si="87"/>
        <v>55+</v>
      </c>
    </row>
    <row r="696" spans="1:21">
      <c r="A696" t="s">
        <v>728</v>
      </c>
      <c r="B696" s="8">
        <v>4572</v>
      </c>
      <c r="C696" s="23">
        <v>0.19608</v>
      </c>
      <c r="D696" s="19" t="s">
        <v>28</v>
      </c>
      <c r="E696" s="21">
        <v>10.227</v>
      </c>
      <c r="F696" s="21">
        <v>7.9329999999999998</v>
      </c>
      <c r="G696" s="23">
        <v>0</v>
      </c>
      <c r="H696" s="26">
        <v>0</v>
      </c>
      <c r="I696" s="19" t="s">
        <v>29</v>
      </c>
      <c r="J696" s="8">
        <v>36</v>
      </c>
      <c r="K696" s="19" t="s">
        <v>22</v>
      </c>
      <c r="L696" s="19" t="s">
        <v>23</v>
      </c>
      <c r="M696" s="8">
        <v>4</v>
      </c>
      <c r="N696" s="33">
        <f t="shared" si="80"/>
        <v>0</v>
      </c>
      <c r="O696" s="23">
        <f t="shared" si="81"/>
        <v>2.4717004916172951E-2</v>
      </c>
      <c r="P696" s="59">
        <f t="shared" si="82"/>
        <v>0.77569179622567708</v>
      </c>
      <c r="Q696" s="30">
        <f t="shared" si="83"/>
        <v>0</v>
      </c>
      <c r="R696" s="30">
        <f t="shared" si="84"/>
        <v>-1</v>
      </c>
      <c r="S696" s="12">
        <f t="shared" si="85"/>
        <v>0</v>
      </c>
      <c r="T696" s="30">
        <f t="shared" si="86"/>
        <v>0</v>
      </c>
      <c r="U696" s="9" t="str">
        <f t="shared" si="87"/>
        <v>35-44</v>
      </c>
    </row>
    <row r="697" spans="1:21">
      <c r="A697" t="s">
        <v>729</v>
      </c>
      <c r="B697" s="8">
        <v>7698</v>
      </c>
      <c r="C697" s="23">
        <v>0</v>
      </c>
      <c r="D697" s="19" t="s">
        <v>45</v>
      </c>
      <c r="E697" s="21">
        <v>32.322000000000003</v>
      </c>
      <c r="F697" s="21">
        <v>0</v>
      </c>
      <c r="G697" s="23">
        <v>0</v>
      </c>
      <c r="H697" s="26">
        <v>0</v>
      </c>
      <c r="I697" s="19" t="s">
        <v>21</v>
      </c>
      <c r="J697" s="8">
        <v>33</v>
      </c>
      <c r="K697" s="19" t="s">
        <v>37</v>
      </c>
      <c r="L697" s="19" t="s">
        <v>45</v>
      </c>
      <c r="M697" s="8" t="s">
        <v>1065</v>
      </c>
      <c r="N697" s="33">
        <f t="shared" si="80"/>
        <v>0</v>
      </c>
      <c r="O697" s="23">
        <f t="shared" si="81"/>
        <v>0</v>
      </c>
      <c r="P697" s="59">
        <f t="shared" si="82"/>
        <v>0</v>
      </c>
      <c r="Q697" s="30">
        <f t="shared" si="83"/>
        <v>0</v>
      </c>
      <c r="R697" s="30">
        <f t="shared" si="84"/>
        <v>0</v>
      </c>
      <c r="S697" s="12">
        <f t="shared" si="85"/>
        <v>0</v>
      </c>
      <c r="T697" s="30">
        <f t="shared" si="86"/>
        <v>0</v>
      </c>
      <c r="U697" s="9" t="str">
        <f t="shared" si="87"/>
        <v>25-34</v>
      </c>
    </row>
    <row r="698" spans="1:21">
      <c r="A698" t="s">
        <v>730</v>
      </c>
      <c r="B698" s="8">
        <v>3888</v>
      </c>
      <c r="C698" s="23">
        <v>6.225E-2</v>
      </c>
      <c r="D698" s="19" t="s">
        <v>40</v>
      </c>
      <c r="E698" s="21">
        <v>63.095999999999997</v>
      </c>
      <c r="F698" s="21">
        <v>5.28</v>
      </c>
      <c r="G698" s="23">
        <v>0</v>
      </c>
      <c r="H698" s="26">
        <v>0</v>
      </c>
      <c r="I698" s="19" t="s">
        <v>17</v>
      </c>
      <c r="J698" s="8">
        <v>41</v>
      </c>
      <c r="K698" s="19" t="s">
        <v>22</v>
      </c>
      <c r="L698" s="19" t="s">
        <v>32</v>
      </c>
      <c r="M698" s="8">
        <v>3</v>
      </c>
      <c r="N698" s="33">
        <f t="shared" si="80"/>
        <v>0</v>
      </c>
      <c r="O698" s="23">
        <f t="shared" si="81"/>
        <v>1.1789772727272727E-2</v>
      </c>
      <c r="P698" s="59">
        <f t="shared" si="82"/>
        <v>8.3682008368200847E-2</v>
      </c>
      <c r="Q698" s="30">
        <f t="shared" si="83"/>
        <v>0</v>
      </c>
      <c r="R698" s="30">
        <f t="shared" si="84"/>
        <v>-1</v>
      </c>
      <c r="S698" s="12">
        <f t="shared" si="85"/>
        <v>0</v>
      </c>
      <c r="T698" s="30">
        <f t="shared" si="86"/>
        <v>0</v>
      </c>
      <c r="U698" s="9" t="str">
        <f t="shared" si="87"/>
        <v>35-44</v>
      </c>
    </row>
    <row r="699" spans="1:21">
      <c r="A699" t="s">
        <v>731</v>
      </c>
      <c r="B699" s="8">
        <v>7155</v>
      </c>
      <c r="C699" s="23">
        <v>0.18876000000000001</v>
      </c>
      <c r="D699" s="19" t="s">
        <v>15</v>
      </c>
      <c r="E699" s="21">
        <v>72.302000000000007</v>
      </c>
      <c r="F699" s="21">
        <v>0.748</v>
      </c>
      <c r="G699" s="23">
        <v>7.6700000000000004E-2</v>
      </c>
      <c r="H699" s="26">
        <v>1</v>
      </c>
      <c r="I699" s="19" t="s">
        <v>21</v>
      </c>
      <c r="J699" s="8">
        <v>65</v>
      </c>
      <c r="K699" s="19" t="s">
        <v>22</v>
      </c>
      <c r="L699" s="19" t="s">
        <v>38</v>
      </c>
      <c r="M699" s="8" t="s">
        <v>1065</v>
      </c>
      <c r="N699" s="33">
        <f t="shared" si="80"/>
        <v>1.3368983957219251</v>
      </c>
      <c r="O699" s="23">
        <f t="shared" si="81"/>
        <v>0.25235294117647061</v>
      </c>
      <c r="P699" s="59">
        <f t="shared" si="82"/>
        <v>1.0345495283671267E-2</v>
      </c>
      <c r="Q699" s="30">
        <f t="shared" si="83"/>
        <v>0.18876000000000001</v>
      </c>
      <c r="R699" s="30">
        <f t="shared" si="84"/>
        <v>-0.59366391184572997</v>
      </c>
      <c r="S699" s="12">
        <f t="shared" si="85"/>
        <v>0.40633608815426997</v>
      </c>
      <c r="T699" s="30">
        <f t="shared" si="86"/>
        <v>0.10254010695187166</v>
      </c>
      <c r="U699" s="9" t="str">
        <f t="shared" si="87"/>
        <v>55+</v>
      </c>
    </row>
    <row r="700" spans="1:21">
      <c r="A700" t="s">
        <v>732</v>
      </c>
      <c r="B700" s="8">
        <v>3281</v>
      </c>
      <c r="C700" s="23">
        <v>0.15823999999999999</v>
      </c>
      <c r="D700" s="19" t="s">
        <v>15</v>
      </c>
      <c r="E700" s="21">
        <v>32.860999999999997</v>
      </c>
      <c r="F700" s="21">
        <v>6.359</v>
      </c>
      <c r="G700" s="23">
        <v>0</v>
      </c>
      <c r="H700" s="26">
        <v>0</v>
      </c>
      <c r="I700" s="19" t="s">
        <v>26</v>
      </c>
      <c r="J700" s="8">
        <v>27</v>
      </c>
      <c r="K700" s="19" t="s">
        <v>31</v>
      </c>
      <c r="L700" s="19" t="s">
        <v>38</v>
      </c>
      <c r="M700" s="8">
        <v>5</v>
      </c>
      <c r="N700" s="33">
        <f t="shared" si="80"/>
        <v>0</v>
      </c>
      <c r="O700" s="23">
        <f t="shared" si="81"/>
        <v>2.4884415788646013E-2</v>
      </c>
      <c r="P700" s="59">
        <f t="shared" si="82"/>
        <v>0.19351206597486384</v>
      </c>
      <c r="Q700" s="30">
        <f t="shared" si="83"/>
        <v>0</v>
      </c>
      <c r="R700" s="30">
        <f t="shared" si="84"/>
        <v>-1</v>
      </c>
      <c r="S700" s="12">
        <f t="shared" si="85"/>
        <v>0</v>
      </c>
      <c r="T700" s="30">
        <f t="shared" si="86"/>
        <v>0</v>
      </c>
      <c r="U700" s="9" t="str">
        <f t="shared" si="87"/>
        <v>25-34</v>
      </c>
    </row>
    <row r="701" spans="1:21">
      <c r="A701" t="s">
        <v>733</v>
      </c>
      <c r="B701" s="8">
        <v>9602</v>
      </c>
      <c r="C701" s="23">
        <v>0.15135000000000001</v>
      </c>
      <c r="D701" s="19" t="s">
        <v>28</v>
      </c>
      <c r="E701" s="21">
        <v>12.999000000000001</v>
      </c>
      <c r="F701" s="21">
        <v>9.07</v>
      </c>
      <c r="G701" s="23">
        <v>0</v>
      </c>
      <c r="H701" s="26">
        <v>0</v>
      </c>
      <c r="I701" s="19" t="s">
        <v>17</v>
      </c>
      <c r="J701" s="8">
        <v>41</v>
      </c>
      <c r="K701" s="19" t="s">
        <v>37</v>
      </c>
      <c r="L701" s="19" t="s">
        <v>45</v>
      </c>
      <c r="M701" s="8" t="s">
        <v>1065</v>
      </c>
      <c r="N701" s="33">
        <f t="shared" si="80"/>
        <v>0</v>
      </c>
      <c r="O701" s="23">
        <f t="shared" si="81"/>
        <v>1.6686879823594267E-2</v>
      </c>
      <c r="P701" s="59">
        <f t="shared" si="82"/>
        <v>0.69774598046003533</v>
      </c>
      <c r="Q701" s="30">
        <f t="shared" si="83"/>
        <v>0</v>
      </c>
      <c r="R701" s="30">
        <f t="shared" si="84"/>
        <v>-1</v>
      </c>
      <c r="S701" s="12">
        <f t="shared" si="85"/>
        <v>0</v>
      </c>
      <c r="T701" s="30">
        <f t="shared" si="86"/>
        <v>0</v>
      </c>
      <c r="U701" s="9" t="str">
        <f t="shared" si="87"/>
        <v>35-44</v>
      </c>
    </row>
    <row r="702" spans="1:21">
      <c r="A702" t="s">
        <v>734</v>
      </c>
      <c r="B702" s="8">
        <v>3054</v>
      </c>
      <c r="C702" s="23">
        <v>0.18013000000000001</v>
      </c>
      <c r="D702" s="19" t="s">
        <v>28</v>
      </c>
      <c r="E702" s="21">
        <v>2.3809999999999998</v>
      </c>
      <c r="F702" s="21">
        <v>7.5039999999999996</v>
      </c>
      <c r="G702" s="23">
        <v>0</v>
      </c>
      <c r="H702" s="26">
        <v>0</v>
      </c>
      <c r="I702" s="19" t="s">
        <v>34</v>
      </c>
      <c r="J702" s="8">
        <v>37</v>
      </c>
      <c r="K702" s="19" t="s">
        <v>22</v>
      </c>
      <c r="L702" s="19" t="s">
        <v>19</v>
      </c>
      <c r="M702" s="8">
        <v>3</v>
      </c>
      <c r="N702" s="33">
        <f t="shared" si="80"/>
        <v>0</v>
      </c>
      <c r="O702" s="23">
        <f t="shared" si="81"/>
        <v>2.4004530916844354E-2</v>
      </c>
      <c r="P702" s="59">
        <f t="shared" si="82"/>
        <v>3.1516169676606469</v>
      </c>
      <c r="Q702" s="30">
        <f t="shared" si="83"/>
        <v>0</v>
      </c>
      <c r="R702" s="30">
        <f t="shared" si="84"/>
        <v>-1</v>
      </c>
      <c r="S702" s="12">
        <f t="shared" si="85"/>
        <v>0</v>
      </c>
      <c r="T702" s="30">
        <f t="shared" si="86"/>
        <v>0</v>
      </c>
      <c r="U702" s="9" t="str">
        <f t="shared" si="87"/>
        <v>35-44</v>
      </c>
    </row>
    <row r="703" spans="1:21">
      <c r="A703" t="s">
        <v>735</v>
      </c>
      <c r="B703" s="8">
        <v>3938</v>
      </c>
      <c r="C703" s="23">
        <v>1.465E-2</v>
      </c>
      <c r="D703" s="19" t="s">
        <v>32</v>
      </c>
      <c r="E703" s="21">
        <v>64.569000000000003</v>
      </c>
      <c r="F703" s="21">
        <v>1.5449999999999999</v>
      </c>
      <c r="G703" s="23">
        <v>0</v>
      </c>
      <c r="H703" s="26">
        <v>0</v>
      </c>
      <c r="I703" s="19" t="s">
        <v>26</v>
      </c>
      <c r="J703" s="8">
        <v>56</v>
      </c>
      <c r="K703" s="19" t="s">
        <v>18</v>
      </c>
      <c r="L703" s="19" t="s">
        <v>45</v>
      </c>
      <c r="M703" s="8">
        <v>2</v>
      </c>
      <c r="N703" s="33">
        <f t="shared" si="80"/>
        <v>0</v>
      </c>
      <c r="O703" s="23">
        <f t="shared" si="81"/>
        <v>9.4822006472491914E-3</v>
      </c>
      <c r="P703" s="59">
        <f t="shared" si="82"/>
        <v>2.3927891093249082E-2</v>
      </c>
      <c r="Q703" s="30">
        <f t="shared" si="83"/>
        <v>0</v>
      </c>
      <c r="R703" s="30">
        <f t="shared" si="84"/>
        <v>-1</v>
      </c>
      <c r="S703" s="12">
        <f t="shared" si="85"/>
        <v>0</v>
      </c>
      <c r="T703" s="30">
        <f t="shared" si="86"/>
        <v>0</v>
      </c>
      <c r="U703" s="9" t="str">
        <f t="shared" si="87"/>
        <v>55+</v>
      </c>
    </row>
    <row r="704" spans="1:21">
      <c r="A704" t="s">
        <v>736</v>
      </c>
      <c r="B704" s="8">
        <v>7453</v>
      </c>
      <c r="C704" s="23">
        <v>0.11991</v>
      </c>
      <c r="D704" s="19" t="s">
        <v>32</v>
      </c>
      <c r="E704" s="21">
        <v>19.093</v>
      </c>
      <c r="F704" s="21">
        <v>7.2789999999999999</v>
      </c>
      <c r="G704" s="23">
        <v>0</v>
      </c>
      <c r="H704" s="26">
        <v>0</v>
      </c>
      <c r="I704" s="19" t="s">
        <v>29</v>
      </c>
      <c r="J704" s="8">
        <v>49</v>
      </c>
      <c r="K704" s="19" t="s">
        <v>22</v>
      </c>
      <c r="L704" s="19" t="s">
        <v>23</v>
      </c>
      <c r="M704" s="8">
        <v>3</v>
      </c>
      <c r="N704" s="33">
        <f t="shared" si="80"/>
        <v>0</v>
      </c>
      <c r="O704" s="23">
        <f t="shared" si="81"/>
        <v>1.6473416678115128E-2</v>
      </c>
      <c r="P704" s="59">
        <f t="shared" si="82"/>
        <v>0.38123919761169012</v>
      </c>
      <c r="Q704" s="30">
        <f t="shared" si="83"/>
        <v>0</v>
      </c>
      <c r="R704" s="30">
        <f t="shared" si="84"/>
        <v>-1</v>
      </c>
      <c r="S704" s="12">
        <f t="shared" si="85"/>
        <v>0</v>
      </c>
      <c r="T704" s="30">
        <f t="shared" si="86"/>
        <v>0</v>
      </c>
      <c r="U704" s="9" t="str">
        <f t="shared" si="87"/>
        <v>45-54</v>
      </c>
    </row>
    <row r="705" spans="1:21">
      <c r="A705" t="s">
        <v>737</v>
      </c>
      <c r="B705" s="8">
        <v>7585</v>
      </c>
      <c r="C705" s="23">
        <v>5.7090000000000002E-2</v>
      </c>
      <c r="D705" s="19" t="s">
        <v>40</v>
      </c>
      <c r="E705" s="21">
        <v>66.012</v>
      </c>
      <c r="F705" s="21">
        <v>8.59</v>
      </c>
      <c r="G705" s="23">
        <v>0</v>
      </c>
      <c r="H705" s="26">
        <v>0</v>
      </c>
      <c r="I705" s="19" t="s">
        <v>26</v>
      </c>
      <c r="J705" s="8">
        <v>53</v>
      </c>
      <c r="K705" s="19" t="s">
        <v>31</v>
      </c>
      <c r="L705" s="19" t="s">
        <v>32</v>
      </c>
      <c r="M705" s="8" t="s">
        <v>1065</v>
      </c>
      <c r="N705" s="33">
        <f t="shared" si="80"/>
        <v>0</v>
      </c>
      <c r="O705" s="23">
        <f t="shared" si="81"/>
        <v>6.6461001164144357E-3</v>
      </c>
      <c r="P705" s="59">
        <f t="shared" si="82"/>
        <v>0.1301278555414167</v>
      </c>
      <c r="Q705" s="30">
        <f t="shared" si="83"/>
        <v>0</v>
      </c>
      <c r="R705" s="30">
        <f t="shared" si="84"/>
        <v>-1</v>
      </c>
      <c r="S705" s="12">
        <f t="shared" si="85"/>
        <v>0</v>
      </c>
      <c r="T705" s="30">
        <f t="shared" si="86"/>
        <v>0</v>
      </c>
      <c r="U705" s="9" t="str">
        <f t="shared" si="87"/>
        <v>45-54</v>
      </c>
    </row>
    <row r="706" spans="1:21">
      <c r="A706" t="s">
        <v>738</v>
      </c>
      <c r="B706" s="8">
        <v>2187</v>
      </c>
      <c r="C706" s="23">
        <v>3.1050000000000001E-2</v>
      </c>
      <c r="D706" s="19" t="s">
        <v>25</v>
      </c>
      <c r="E706" s="21">
        <v>62.9</v>
      </c>
      <c r="F706" s="21">
        <v>6.867</v>
      </c>
      <c r="G706" s="23">
        <v>0</v>
      </c>
      <c r="H706" s="26">
        <v>0</v>
      </c>
      <c r="I706" s="19" t="s">
        <v>26</v>
      </c>
      <c r="J706" s="8">
        <v>44</v>
      </c>
      <c r="K706" s="19" t="s">
        <v>37</v>
      </c>
      <c r="L706" s="19" t="s">
        <v>45</v>
      </c>
      <c r="M706" s="8">
        <v>5</v>
      </c>
      <c r="N706" s="33">
        <f t="shared" ref="N706:N769" si="88">IF(F706=0,0,H706/F706)</f>
        <v>0</v>
      </c>
      <c r="O706" s="23">
        <f t="shared" ref="O706:O769" si="89">IF(F706=0,0,C706/F706)</f>
        <v>4.5216251638269984E-3</v>
      </c>
      <c r="P706" s="59">
        <f t="shared" ref="P706:P769" si="90">IF(E706=0,0,F706/E706)</f>
        <v>0.10917329093799683</v>
      </c>
      <c r="Q706" s="30">
        <f t="shared" ref="Q706:Q769" si="91">IF(H706=0,0,C706/H706)</f>
        <v>0</v>
      </c>
      <c r="R706" s="30">
        <f t="shared" ref="R706:R769" si="92">IF(C706=0,0,(G706-C706)/C706)</f>
        <v>-1</v>
      </c>
      <c r="S706" s="12">
        <f t="shared" ref="S706:S769" si="93">IF(G706=0,0,G706/C706)</f>
        <v>0</v>
      </c>
      <c r="T706" s="30">
        <f t="shared" ref="T706:T769" si="94">IF(F706=0,0,G706/F706)</f>
        <v>0</v>
      </c>
      <c r="U706" s="9" t="str">
        <f t="shared" si="87"/>
        <v>35-44</v>
      </c>
    </row>
    <row r="707" spans="1:21">
      <c r="A707" t="s">
        <v>739</v>
      </c>
      <c r="B707" s="8">
        <v>3104</v>
      </c>
      <c r="C707" s="23">
        <v>1.1429999999999999E-2</v>
      </c>
      <c r="D707" s="19" t="s">
        <v>40</v>
      </c>
      <c r="E707" s="21">
        <v>68.025000000000006</v>
      </c>
      <c r="F707" s="21">
        <v>9.1989999999999998</v>
      </c>
      <c r="G707" s="23">
        <v>0</v>
      </c>
      <c r="H707" s="26">
        <v>1</v>
      </c>
      <c r="I707" s="19" t="s">
        <v>34</v>
      </c>
      <c r="J707" s="8">
        <v>26</v>
      </c>
      <c r="K707" s="19" t="s">
        <v>31</v>
      </c>
      <c r="L707" s="19" t="s">
        <v>45</v>
      </c>
      <c r="M707" s="8" t="s">
        <v>1065</v>
      </c>
      <c r="N707" s="33">
        <f t="shared" si="88"/>
        <v>0.10870746820306555</v>
      </c>
      <c r="O707" s="23">
        <f t="shared" si="89"/>
        <v>1.2425263615610392E-3</v>
      </c>
      <c r="P707" s="59">
        <f t="shared" si="90"/>
        <v>0.13522969496508636</v>
      </c>
      <c r="Q707" s="30">
        <f t="shared" si="91"/>
        <v>1.1429999999999999E-2</v>
      </c>
      <c r="R707" s="30">
        <f t="shared" si="92"/>
        <v>-1</v>
      </c>
      <c r="S707" s="12">
        <f t="shared" si="93"/>
        <v>0</v>
      </c>
      <c r="T707" s="30">
        <f t="shared" si="94"/>
        <v>0</v>
      </c>
      <c r="U707" s="9" t="str">
        <f t="shared" ref="U707:U770" si="95">IF(J707&lt;25,"18-24",IF(J707&lt;35,"25-34",IF(J707&lt;45,"35-44",IF(J707&lt;55,"45-54","55+"))))</f>
        <v>25-34</v>
      </c>
    </row>
    <row r="708" spans="1:21">
      <c r="A708" t="s">
        <v>740</v>
      </c>
      <c r="B708" s="8">
        <v>7997</v>
      </c>
      <c r="C708" s="23">
        <v>7.2359999999999994E-2</v>
      </c>
      <c r="D708" s="19" t="s">
        <v>40</v>
      </c>
      <c r="E708" s="21">
        <v>77.367000000000004</v>
      </c>
      <c r="F708" s="21">
        <v>1.9259999999999999</v>
      </c>
      <c r="G708" s="23">
        <v>0</v>
      </c>
      <c r="H708" s="26">
        <v>0</v>
      </c>
      <c r="I708" s="19" t="s">
        <v>34</v>
      </c>
      <c r="J708" s="8">
        <v>37</v>
      </c>
      <c r="K708" s="19" t="s">
        <v>18</v>
      </c>
      <c r="L708" s="19" t="s">
        <v>19</v>
      </c>
      <c r="M708" s="8">
        <v>3</v>
      </c>
      <c r="N708" s="33">
        <f t="shared" si="88"/>
        <v>0</v>
      </c>
      <c r="O708" s="23">
        <f t="shared" si="89"/>
        <v>3.7570093457943925E-2</v>
      </c>
      <c r="P708" s="59">
        <f t="shared" si="90"/>
        <v>2.4894334793904377E-2</v>
      </c>
      <c r="Q708" s="30">
        <f t="shared" si="91"/>
        <v>0</v>
      </c>
      <c r="R708" s="30">
        <f t="shared" si="92"/>
        <v>-1</v>
      </c>
      <c r="S708" s="12">
        <f t="shared" si="93"/>
        <v>0</v>
      </c>
      <c r="T708" s="30">
        <f t="shared" si="94"/>
        <v>0</v>
      </c>
      <c r="U708" s="9" t="str">
        <f t="shared" si="95"/>
        <v>35-44</v>
      </c>
    </row>
    <row r="709" spans="1:21">
      <c r="A709" t="s">
        <v>741</v>
      </c>
      <c r="B709" s="8">
        <v>9060</v>
      </c>
      <c r="C709" s="23">
        <v>0.14316999999999999</v>
      </c>
      <c r="D709" s="19" t="s">
        <v>32</v>
      </c>
      <c r="E709" s="21">
        <v>55.642000000000003</v>
      </c>
      <c r="F709" s="21">
        <v>8.6590000000000007</v>
      </c>
      <c r="G709" s="23">
        <v>0.17329</v>
      </c>
      <c r="H709" s="26">
        <v>1</v>
      </c>
      <c r="I709" s="19" t="s">
        <v>21</v>
      </c>
      <c r="J709" s="8">
        <v>38</v>
      </c>
      <c r="K709" s="19" t="s">
        <v>18</v>
      </c>
      <c r="L709" s="19" t="s">
        <v>19</v>
      </c>
      <c r="M709" s="8">
        <v>3</v>
      </c>
      <c r="N709" s="33">
        <f t="shared" si="88"/>
        <v>0.11548677676406051</v>
      </c>
      <c r="O709" s="23">
        <f t="shared" si="89"/>
        <v>1.6534241829310542E-2</v>
      </c>
      <c r="P709" s="59">
        <f t="shared" si="90"/>
        <v>0.15561985550483448</v>
      </c>
      <c r="Q709" s="30">
        <f t="shared" si="91"/>
        <v>0.14316999999999999</v>
      </c>
      <c r="R709" s="30">
        <f t="shared" si="92"/>
        <v>0.21037926940001403</v>
      </c>
      <c r="S709" s="12">
        <f t="shared" si="93"/>
        <v>1.2103792694000139</v>
      </c>
      <c r="T709" s="30">
        <f t="shared" si="94"/>
        <v>2.0012703545444044E-2</v>
      </c>
      <c r="U709" s="9" t="str">
        <f t="shared" si="95"/>
        <v>35-44</v>
      </c>
    </row>
    <row r="710" spans="1:21">
      <c r="A710" t="s">
        <v>742</v>
      </c>
      <c r="B710" s="8">
        <v>3680</v>
      </c>
      <c r="C710" s="23">
        <v>6.1920000000000003E-2</v>
      </c>
      <c r="D710" s="19" t="s">
        <v>32</v>
      </c>
      <c r="E710" s="21">
        <v>51.905000000000001</v>
      </c>
      <c r="F710" s="21">
        <v>0.57099999999999995</v>
      </c>
      <c r="G710" s="23">
        <v>0.42752000000000001</v>
      </c>
      <c r="H710" s="26">
        <v>1</v>
      </c>
      <c r="I710" s="19" t="s">
        <v>29</v>
      </c>
      <c r="J710" s="8">
        <v>22</v>
      </c>
      <c r="K710" s="19" t="s">
        <v>22</v>
      </c>
      <c r="L710" s="19" t="s">
        <v>32</v>
      </c>
      <c r="M710" s="8">
        <v>1</v>
      </c>
      <c r="N710" s="33">
        <f t="shared" si="88"/>
        <v>1.7513134851138354</v>
      </c>
      <c r="O710" s="23">
        <f t="shared" si="89"/>
        <v>0.10844133099824869</v>
      </c>
      <c r="P710" s="59">
        <f t="shared" si="90"/>
        <v>1.1000866968500143E-2</v>
      </c>
      <c r="Q710" s="30">
        <f t="shared" si="91"/>
        <v>6.1920000000000003E-2</v>
      </c>
      <c r="R710" s="30">
        <f t="shared" si="92"/>
        <v>5.9043927648578816</v>
      </c>
      <c r="S710" s="12">
        <f t="shared" si="93"/>
        <v>6.9043927648578807</v>
      </c>
      <c r="T710" s="30">
        <f t="shared" si="94"/>
        <v>0.74872154115586698</v>
      </c>
      <c r="U710" s="9" t="str">
        <f t="shared" si="95"/>
        <v>18-24</v>
      </c>
    </row>
    <row r="711" spans="1:21">
      <c r="A711" t="s">
        <v>743</v>
      </c>
      <c r="B711" s="8">
        <v>1829</v>
      </c>
      <c r="C711" s="23">
        <v>0.16234999999999999</v>
      </c>
      <c r="D711" s="19" t="s">
        <v>15</v>
      </c>
      <c r="E711" s="21">
        <v>42.085000000000001</v>
      </c>
      <c r="F711" s="21">
        <v>8.2789999999999999</v>
      </c>
      <c r="G711" s="23">
        <v>0</v>
      </c>
      <c r="H711" s="26">
        <v>0</v>
      </c>
      <c r="I711" s="19" t="s">
        <v>26</v>
      </c>
      <c r="J711" s="8">
        <v>37</v>
      </c>
      <c r="K711" s="19" t="s">
        <v>22</v>
      </c>
      <c r="L711" s="19" t="s">
        <v>45</v>
      </c>
      <c r="M711" s="8">
        <v>2</v>
      </c>
      <c r="N711" s="33">
        <f t="shared" si="88"/>
        <v>0</v>
      </c>
      <c r="O711" s="23">
        <f t="shared" si="89"/>
        <v>1.9609856262833673E-2</v>
      </c>
      <c r="P711" s="59">
        <f t="shared" si="90"/>
        <v>0.1967209219436854</v>
      </c>
      <c r="Q711" s="30">
        <f t="shared" si="91"/>
        <v>0</v>
      </c>
      <c r="R711" s="30">
        <f t="shared" si="92"/>
        <v>-1</v>
      </c>
      <c r="S711" s="12">
        <f t="shared" si="93"/>
        <v>0</v>
      </c>
      <c r="T711" s="30">
        <f t="shared" si="94"/>
        <v>0</v>
      </c>
      <c r="U711" s="9" t="str">
        <f t="shared" si="95"/>
        <v>35-44</v>
      </c>
    </row>
    <row r="712" spans="1:21">
      <c r="A712" t="s">
        <v>744</v>
      </c>
      <c r="B712" s="8">
        <v>6999</v>
      </c>
      <c r="C712" s="23">
        <v>2.664E-2</v>
      </c>
      <c r="D712" s="19" t="s">
        <v>15</v>
      </c>
      <c r="E712" s="21">
        <v>58.037999999999997</v>
      </c>
      <c r="F712" s="21">
        <v>9.7490000000000006</v>
      </c>
      <c r="G712" s="23">
        <v>0.15124000000000001</v>
      </c>
      <c r="H712" s="26">
        <v>1</v>
      </c>
      <c r="I712" s="19" t="s">
        <v>17</v>
      </c>
      <c r="J712" s="8">
        <v>19</v>
      </c>
      <c r="K712" s="19" t="s">
        <v>31</v>
      </c>
      <c r="L712" s="19" t="s">
        <v>23</v>
      </c>
      <c r="M712" s="8">
        <v>1</v>
      </c>
      <c r="N712" s="33">
        <f t="shared" si="88"/>
        <v>0.10257462303826033</v>
      </c>
      <c r="O712" s="23">
        <f t="shared" si="89"/>
        <v>2.7325879577392554E-3</v>
      </c>
      <c r="P712" s="59">
        <f t="shared" si="90"/>
        <v>0.16797615355456771</v>
      </c>
      <c r="Q712" s="30">
        <f t="shared" si="91"/>
        <v>2.664E-2</v>
      </c>
      <c r="R712" s="30">
        <f t="shared" si="92"/>
        <v>4.6771771771771773</v>
      </c>
      <c r="S712" s="12">
        <f t="shared" si="93"/>
        <v>5.6771771771771773</v>
      </c>
      <c r="T712" s="30">
        <f t="shared" si="94"/>
        <v>1.5513385988306493E-2</v>
      </c>
      <c r="U712" s="9" t="str">
        <f t="shared" si="95"/>
        <v>18-24</v>
      </c>
    </row>
    <row r="713" spans="1:21">
      <c r="A713" t="s">
        <v>745</v>
      </c>
      <c r="B713" s="8">
        <v>6806</v>
      </c>
      <c r="C713" s="23">
        <v>0.12485</v>
      </c>
      <c r="D713" s="19" t="s">
        <v>28</v>
      </c>
      <c r="E713" s="21">
        <v>81.462999999999994</v>
      </c>
      <c r="F713" s="21">
        <v>1.6240000000000001</v>
      </c>
      <c r="G713" s="23">
        <v>0</v>
      </c>
      <c r="H713" s="26">
        <v>0</v>
      </c>
      <c r="I713" s="19" t="s">
        <v>34</v>
      </c>
      <c r="J713" s="8">
        <v>50</v>
      </c>
      <c r="K713" s="19" t="s">
        <v>31</v>
      </c>
      <c r="L713" s="19" t="s">
        <v>45</v>
      </c>
      <c r="M713" s="8">
        <v>3</v>
      </c>
      <c r="N713" s="33">
        <f t="shared" si="88"/>
        <v>0</v>
      </c>
      <c r="O713" s="23">
        <f t="shared" si="89"/>
        <v>7.687807881773398E-2</v>
      </c>
      <c r="P713" s="59">
        <f t="shared" si="90"/>
        <v>1.9935430809078971E-2</v>
      </c>
      <c r="Q713" s="30">
        <f t="shared" si="91"/>
        <v>0</v>
      </c>
      <c r="R713" s="30">
        <f t="shared" si="92"/>
        <v>-1</v>
      </c>
      <c r="S713" s="12">
        <f t="shared" si="93"/>
        <v>0</v>
      </c>
      <c r="T713" s="30">
        <f t="shared" si="94"/>
        <v>0</v>
      </c>
      <c r="U713" s="9" t="str">
        <f t="shared" si="95"/>
        <v>45-54</v>
      </c>
    </row>
    <row r="714" spans="1:21">
      <c r="A714" t="s">
        <v>746</v>
      </c>
      <c r="B714" s="8">
        <v>4925</v>
      </c>
      <c r="C714" s="23">
        <v>0.12249</v>
      </c>
      <c r="D714" s="19" t="s">
        <v>25</v>
      </c>
      <c r="E714" s="21">
        <v>11.05</v>
      </c>
      <c r="F714" s="21">
        <v>6.3220000000000001</v>
      </c>
      <c r="G714" s="23">
        <v>0</v>
      </c>
      <c r="H714" s="26">
        <v>0</v>
      </c>
      <c r="I714" s="19" t="s">
        <v>29</v>
      </c>
      <c r="J714" s="8">
        <v>61</v>
      </c>
      <c r="K714" s="19" t="s">
        <v>18</v>
      </c>
      <c r="L714" s="19" t="s">
        <v>38</v>
      </c>
      <c r="M714" s="8">
        <v>2</v>
      </c>
      <c r="N714" s="33">
        <f t="shared" si="88"/>
        <v>0</v>
      </c>
      <c r="O714" s="23">
        <f t="shared" si="89"/>
        <v>1.9375197722239796E-2</v>
      </c>
      <c r="P714" s="59">
        <f t="shared" si="90"/>
        <v>0.57212669683257911</v>
      </c>
      <c r="Q714" s="30">
        <f t="shared" si="91"/>
        <v>0</v>
      </c>
      <c r="R714" s="30">
        <f t="shared" si="92"/>
        <v>-1</v>
      </c>
      <c r="S714" s="12">
        <f t="shared" si="93"/>
        <v>0</v>
      </c>
      <c r="T714" s="30">
        <f t="shared" si="94"/>
        <v>0</v>
      </c>
      <c r="U714" s="9" t="str">
        <f t="shared" si="95"/>
        <v>55+</v>
      </c>
    </row>
    <row r="715" spans="1:21">
      <c r="A715" t="s">
        <v>747</v>
      </c>
      <c r="B715" s="8">
        <v>5348</v>
      </c>
      <c r="C715" s="23">
        <v>0</v>
      </c>
      <c r="D715" s="19" t="s">
        <v>40</v>
      </c>
      <c r="E715" s="21">
        <v>28.632999999999999</v>
      </c>
      <c r="F715" s="21">
        <v>9.1850000000000005</v>
      </c>
      <c r="G715" s="23">
        <v>0</v>
      </c>
      <c r="H715" s="26">
        <v>0</v>
      </c>
      <c r="I715" s="19" t="s">
        <v>29</v>
      </c>
      <c r="J715" s="8">
        <v>63</v>
      </c>
      <c r="K715" s="19" t="s">
        <v>22</v>
      </c>
      <c r="L715" s="19" t="s">
        <v>38</v>
      </c>
      <c r="M715" s="8">
        <v>2</v>
      </c>
      <c r="N715" s="33">
        <f t="shared" si="88"/>
        <v>0</v>
      </c>
      <c r="O715" s="23">
        <f t="shared" si="89"/>
        <v>0</v>
      </c>
      <c r="P715" s="59">
        <f t="shared" si="90"/>
        <v>0.32078371110257398</v>
      </c>
      <c r="Q715" s="30">
        <f t="shared" si="91"/>
        <v>0</v>
      </c>
      <c r="R715" s="30">
        <f t="shared" si="92"/>
        <v>0</v>
      </c>
      <c r="S715" s="12">
        <f t="shared" si="93"/>
        <v>0</v>
      </c>
      <c r="T715" s="30">
        <f t="shared" si="94"/>
        <v>0</v>
      </c>
      <c r="U715" s="9" t="str">
        <f t="shared" si="95"/>
        <v>55+</v>
      </c>
    </row>
    <row r="716" spans="1:21">
      <c r="A716" t="s">
        <v>748</v>
      </c>
      <c r="B716" s="8">
        <v>2163</v>
      </c>
      <c r="C716" s="23">
        <v>0.16067000000000001</v>
      </c>
      <c r="D716" s="19" t="s">
        <v>40</v>
      </c>
      <c r="E716" s="21">
        <v>87.328000000000003</v>
      </c>
      <c r="F716" s="21">
        <v>4.0880000000000001</v>
      </c>
      <c r="G716" s="23">
        <v>0</v>
      </c>
      <c r="H716" s="26">
        <v>0</v>
      </c>
      <c r="I716" s="19" t="s">
        <v>21</v>
      </c>
      <c r="J716" s="8">
        <v>45</v>
      </c>
      <c r="K716" s="19" t="s">
        <v>37</v>
      </c>
      <c r="L716" s="19" t="s">
        <v>45</v>
      </c>
      <c r="M716" s="8" t="s">
        <v>1065</v>
      </c>
      <c r="N716" s="33">
        <f t="shared" si="88"/>
        <v>0</v>
      </c>
      <c r="O716" s="23">
        <f t="shared" si="89"/>
        <v>3.930283757338552E-2</v>
      </c>
      <c r="P716" s="59">
        <f t="shared" si="90"/>
        <v>4.6812019054598752E-2</v>
      </c>
      <c r="Q716" s="30">
        <f t="shared" si="91"/>
        <v>0</v>
      </c>
      <c r="R716" s="30">
        <f t="shared" si="92"/>
        <v>-1</v>
      </c>
      <c r="S716" s="12">
        <f t="shared" si="93"/>
        <v>0</v>
      </c>
      <c r="T716" s="30">
        <f t="shared" si="94"/>
        <v>0</v>
      </c>
      <c r="U716" s="9" t="str">
        <f t="shared" si="95"/>
        <v>45-54</v>
      </c>
    </row>
    <row r="717" spans="1:21">
      <c r="A717" t="s">
        <v>749</v>
      </c>
      <c r="B717" s="8">
        <v>3171</v>
      </c>
      <c r="C717" s="23">
        <v>0</v>
      </c>
      <c r="D717" s="19" t="s">
        <v>32</v>
      </c>
      <c r="E717" s="21">
        <v>53.185000000000002</v>
      </c>
      <c r="F717" s="21">
        <v>0.55100000000000005</v>
      </c>
      <c r="G717" s="23">
        <v>0.36349999999999999</v>
      </c>
      <c r="H717" s="26">
        <v>1</v>
      </c>
      <c r="I717" s="19" t="s">
        <v>34</v>
      </c>
      <c r="J717" s="8">
        <v>41</v>
      </c>
      <c r="K717" s="19" t="s">
        <v>37</v>
      </c>
      <c r="L717" s="19" t="s">
        <v>38</v>
      </c>
      <c r="M717" s="8">
        <v>1</v>
      </c>
      <c r="N717" s="33">
        <f t="shared" si="88"/>
        <v>1.8148820326678765</v>
      </c>
      <c r="O717" s="23">
        <f t="shared" si="89"/>
        <v>0</v>
      </c>
      <c r="P717" s="59">
        <f t="shared" si="90"/>
        <v>1.0360063927799193E-2</v>
      </c>
      <c r="Q717" s="30">
        <f t="shared" si="91"/>
        <v>0</v>
      </c>
      <c r="R717" s="30">
        <f t="shared" si="92"/>
        <v>0</v>
      </c>
      <c r="S717" s="12" t="e">
        <f t="shared" si="93"/>
        <v>#DIV/0!</v>
      </c>
      <c r="T717" s="30">
        <f t="shared" si="94"/>
        <v>0.65970961887477308</v>
      </c>
      <c r="U717" s="9" t="str">
        <f t="shared" si="95"/>
        <v>35-44</v>
      </c>
    </row>
    <row r="718" spans="1:21">
      <c r="A718" t="s">
        <v>750</v>
      </c>
      <c r="B718" s="8">
        <v>6286</v>
      </c>
      <c r="C718" s="23">
        <v>0</v>
      </c>
      <c r="D718" s="19" t="s">
        <v>15</v>
      </c>
      <c r="E718" s="21">
        <v>39.198999999999998</v>
      </c>
      <c r="F718" s="21">
        <v>1.228</v>
      </c>
      <c r="G718" s="23">
        <v>0.40111999999999998</v>
      </c>
      <c r="H718" s="26">
        <v>1</v>
      </c>
      <c r="I718" s="19" t="s">
        <v>29</v>
      </c>
      <c r="J718" s="8">
        <v>37</v>
      </c>
      <c r="K718" s="19" t="s">
        <v>22</v>
      </c>
      <c r="L718" s="19" t="s">
        <v>19</v>
      </c>
      <c r="M718" s="8">
        <v>4</v>
      </c>
      <c r="N718" s="33">
        <f t="shared" si="88"/>
        <v>0.81433224755700329</v>
      </c>
      <c r="O718" s="23">
        <f t="shared" si="89"/>
        <v>0</v>
      </c>
      <c r="P718" s="59">
        <f t="shared" si="90"/>
        <v>3.1327329778820891E-2</v>
      </c>
      <c r="Q718" s="30">
        <f t="shared" si="91"/>
        <v>0</v>
      </c>
      <c r="R718" s="30">
        <f t="shared" si="92"/>
        <v>0</v>
      </c>
      <c r="S718" s="12" t="e">
        <f t="shared" si="93"/>
        <v>#DIV/0!</v>
      </c>
      <c r="T718" s="30">
        <f t="shared" si="94"/>
        <v>0.32664495114006514</v>
      </c>
      <c r="U718" s="9" t="str">
        <f t="shared" si="95"/>
        <v>35-44</v>
      </c>
    </row>
    <row r="719" spans="1:21">
      <c r="A719" t="s">
        <v>751</v>
      </c>
      <c r="B719" s="8">
        <v>7664</v>
      </c>
      <c r="C719" s="23">
        <v>0.15762000000000001</v>
      </c>
      <c r="D719" s="19" t="s">
        <v>40</v>
      </c>
      <c r="E719" s="21">
        <v>91.117000000000004</v>
      </c>
      <c r="F719" s="21">
        <v>4.5519999999999996</v>
      </c>
      <c r="G719" s="23">
        <v>0.14696000000000001</v>
      </c>
      <c r="H719" s="26">
        <v>1</v>
      </c>
      <c r="I719" s="19" t="s">
        <v>29</v>
      </c>
      <c r="J719" s="8">
        <v>65</v>
      </c>
      <c r="K719" s="19" t="s">
        <v>18</v>
      </c>
      <c r="L719" s="19" t="s">
        <v>38</v>
      </c>
      <c r="M719" s="8">
        <v>1</v>
      </c>
      <c r="N719" s="33">
        <f t="shared" si="88"/>
        <v>0.21968365553602814</v>
      </c>
      <c r="O719" s="23">
        <f t="shared" si="89"/>
        <v>3.462653778558876E-2</v>
      </c>
      <c r="P719" s="59">
        <f t="shared" si="90"/>
        <v>4.9957746633449297E-2</v>
      </c>
      <c r="Q719" s="30">
        <f t="shared" si="91"/>
        <v>0.15762000000000001</v>
      </c>
      <c r="R719" s="30">
        <f t="shared" si="92"/>
        <v>-6.7631011292983143E-2</v>
      </c>
      <c r="S719" s="12">
        <f t="shared" si="93"/>
        <v>0.9323689887070169</v>
      </c>
      <c r="T719" s="30">
        <f t="shared" si="94"/>
        <v>3.22847100175747E-2</v>
      </c>
      <c r="U719" s="9" t="str">
        <f t="shared" si="95"/>
        <v>55+</v>
      </c>
    </row>
    <row r="720" spans="1:21">
      <c r="A720" t="s">
        <v>752</v>
      </c>
      <c r="B720" s="8">
        <v>1854</v>
      </c>
      <c r="C720" s="23">
        <v>8.3089999999999997E-2</v>
      </c>
      <c r="D720" s="19" t="s">
        <v>15</v>
      </c>
      <c r="E720" s="21">
        <v>97.043999999999997</v>
      </c>
      <c r="F720" s="21">
        <v>1.482</v>
      </c>
      <c r="G720" s="23">
        <v>0</v>
      </c>
      <c r="H720" s="26">
        <v>0</v>
      </c>
      <c r="I720" s="19" t="s">
        <v>21</v>
      </c>
      <c r="J720" s="8">
        <v>46</v>
      </c>
      <c r="K720" s="19" t="s">
        <v>22</v>
      </c>
      <c r="L720" s="19" t="s">
        <v>19</v>
      </c>
      <c r="M720" s="8">
        <v>3</v>
      </c>
      <c r="N720" s="33">
        <f t="shared" si="88"/>
        <v>0</v>
      </c>
      <c r="O720" s="23">
        <f t="shared" si="89"/>
        <v>5.6066126855600536E-2</v>
      </c>
      <c r="P720" s="59">
        <f t="shared" si="90"/>
        <v>1.5271423271917894E-2</v>
      </c>
      <c r="Q720" s="30">
        <f t="shared" si="91"/>
        <v>0</v>
      </c>
      <c r="R720" s="30">
        <f t="shared" si="92"/>
        <v>-1</v>
      </c>
      <c r="S720" s="12">
        <f t="shared" si="93"/>
        <v>0</v>
      </c>
      <c r="T720" s="30">
        <f t="shared" si="94"/>
        <v>0</v>
      </c>
      <c r="U720" s="9" t="str">
        <f t="shared" si="95"/>
        <v>45-54</v>
      </c>
    </row>
    <row r="721" spans="1:21">
      <c r="A721" t="s">
        <v>753</v>
      </c>
      <c r="B721" s="8">
        <v>6418</v>
      </c>
      <c r="C721" s="23">
        <v>6.089E-2</v>
      </c>
      <c r="D721" s="19" t="s">
        <v>25</v>
      </c>
      <c r="E721" s="21">
        <v>37.326000000000001</v>
      </c>
      <c r="F721" s="21">
        <v>1.2589999999999999</v>
      </c>
      <c r="G721" s="23">
        <v>0.15919</v>
      </c>
      <c r="H721" s="26">
        <v>1</v>
      </c>
      <c r="I721" s="19" t="s">
        <v>34</v>
      </c>
      <c r="J721" s="8">
        <v>60</v>
      </c>
      <c r="K721" s="19" t="s">
        <v>37</v>
      </c>
      <c r="L721" s="19" t="s">
        <v>32</v>
      </c>
      <c r="M721" s="8">
        <v>5</v>
      </c>
      <c r="N721" s="33">
        <f t="shared" si="88"/>
        <v>0.79428117553613986</v>
      </c>
      <c r="O721" s="23">
        <f t="shared" si="89"/>
        <v>4.8363780778395558E-2</v>
      </c>
      <c r="P721" s="59">
        <f t="shared" si="90"/>
        <v>3.3729839789958742E-2</v>
      </c>
      <c r="Q721" s="30">
        <f t="shared" si="91"/>
        <v>6.089E-2</v>
      </c>
      <c r="R721" s="30">
        <f t="shared" si="92"/>
        <v>1.6143865987846937</v>
      </c>
      <c r="S721" s="12">
        <f t="shared" si="93"/>
        <v>2.6143865987846935</v>
      </c>
      <c r="T721" s="30">
        <f t="shared" si="94"/>
        <v>0.1264416203335981</v>
      </c>
      <c r="U721" s="9" t="str">
        <f t="shared" si="95"/>
        <v>55+</v>
      </c>
    </row>
    <row r="722" spans="1:21">
      <c r="A722" t="s">
        <v>754</v>
      </c>
      <c r="B722" s="8">
        <v>8648</v>
      </c>
      <c r="C722" s="23">
        <v>2.7390000000000001E-2</v>
      </c>
      <c r="D722" s="19" t="s">
        <v>25</v>
      </c>
      <c r="E722" s="21">
        <v>84.516999999999996</v>
      </c>
      <c r="F722" s="21">
        <v>3.6659999999999999</v>
      </c>
      <c r="G722" s="23">
        <v>0</v>
      </c>
      <c r="H722" s="26">
        <v>0</v>
      </c>
      <c r="I722" s="19" t="s">
        <v>29</v>
      </c>
      <c r="J722" s="8">
        <v>51</v>
      </c>
      <c r="K722" s="19" t="s">
        <v>37</v>
      </c>
      <c r="L722" s="19" t="s">
        <v>19</v>
      </c>
      <c r="M722" s="8">
        <v>2</v>
      </c>
      <c r="N722" s="33">
        <f t="shared" si="88"/>
        <v>0</v>
      </c>
      <c r="O722" s="23">
        <f t="shared" si="89"/>
        <v>7.4713584288052378E-3</v>
      </c>
      <c r="P722" s="59">
        <f t="shared" si="90"/>
        <v>4.3375888874427629E-2</v>
      </c>
      <c r="Q722" s="30">
        <f t="shared" si="91"/>
        <v>0</v>
      </c>
      <c r="R722" s="30">
        <f t="shared" si="92"/>
        <v>-1</v>
      </c>
      <c r="S722" s="12">
        <f t="shared" si="93"/>
        <v>0</v>
      </c>
      <c r="T722" s="30">
        <f t="shared" si="94"/>
        <v>0</v>
      </c>
      <c r="U722" s="9" t="str">
        <f t="shared" si="95"/>
        <v>45-54</v>
      </c>
    </row>
    <row r="723" spans="1:21">
      <c r="A723" t="s">
        <v>755</v>
      </c>
      <c r="B723" s="8">
        <v>5392</v>
      </c>
      <c r="C723" s="23">
        <v>0.17385</v>
      </c>
      <c r="D723" s="19" t="s">
        <v>32</v>
      </c>
      <c r="E723" s="21">
        <v>79.725999999999999</v>
      </c>
      <c r="F723" s="21">
        <v>3.0830000000000002</v>
      </c>
      <c r="G723" s="23">
        <v>0.46698000000000001</v>
      </c>
      <c r="H723" s="26">
        <v>1</v>
      </c>
      <c r="I723" s="19" t="s">
        <v>29</v>
      </c>
      <c r="J723" s="8">
        <v>50</v>
      </c>
      <c r="K723" s="19" t="s">
        <v>31</v>
      </c>
      <c r="L723" s="19" t="s">
        <v>32</v>
      </c>
      <c r="M723" s="8">
        <v>2</v>
      </c>
      <c r="N723" s="33">
        <f t="shared" si="88"/>
        <v>0.3243593902043464</v>
      </c>
      <c r="O723" s="23">
        <f t="shared" si="89"/>
        <v>5.6389879987025625E-2</v>
      </c>
      <c r="P723" s="59">
        <f t="shared" si="90"/>
        <v>3.8669944560118408E-2</v>
      </c>
      <c r="Q723" s="30">
        <f t="shared" si="91"/>
        <v>0.17385</v>
      </c>
      <c r="R723" s="30">
        <f t="shared" si="92"/>
        <v>1.6861087144089733</v>
      </c>
      <c r="S723" s="12">
        <f t="shared" si="93"/>
        <v>2.6861087144089733</v>
      </c>
      <c r="T723" s="30">
        <f t="shared" si="94"/>
        <v>0.15146934803762568</v>
      </c>
      <c r="U723" s="9" t="str">
        <f t="shared" si="95"/>
        <v>45-54</v>
      </c>
    </row>
    <row r="724" spans="1:21">
      <c r="A724" t="s">
        <v>756</v>
      </c>
      <c r="B724" s="8">
        <v>3952</v>
      </c>
      <c r="C724" s="23">
        <v>4.3830000000000001E-2</v>
      </c>
      <c r="D724" s="19" t="s">
        <v>40</v>
      </c>
      <c r="E724" s="21">
        <v>40.012999999999998</v>
      </c>
      <c r="F724" s="21">
        <v>9.1319999999999997</v>
      </c>
      <c r="G724" s="23">
        <v>0</v>
      </c>
      <c r="H724" s="26">
        <v>0</v>
      </c>
      <c r="I724" s="19" t="s">
        <v>17</v>
      </c>
      <c r="J724" s="8">
        <v>38</v>
      </c>
      <c r="K724" s="19" t="s">
        <v>31</v>
      </c>
      <c r="L724" s="19" t="s">
        <v>23</v>
      </c>
      <c r="M724" s="8" t="s">
        <v>1065</v>
      </c>
      <c r="N724" s="33">
        <f t="shared" si="88"/>
        <v>0</v>
      </c>
      <c r="O724" s="23">
        <f t="shared" si="89"/>
        <v>4.7996057818659663E-3</v>
      </c>
      <c r="P724" s="59">
        <f t="shared" si="90"/>
        <v>0.22822582660635293</v>
      </c>
      <c r="Q724" s="30">
        <f t="shared" si="91"/>
        <v>0</v>
      </c>
      <c r="R724" s="30">
        <f t="shared" si="92"/>
        <v>-1</v>
      </c>
      <c r="S724" s="12">
        <f t="shared" si="93"/>
        <v>0</v>
      </c>
      <c r="T724" s="30">
        <f t="shared" si="94"/>
        <v>0</v>
      </c>
      <c r="U724" s="9" t="str">
        <f t="shared" si="95"/>
        <v>35-44</v>
      </c>
    </row>
    <row r="725" spans="1:21">
      <c r="A725" t="s">
        <v>757</v>
      </c>
      <c r="B725" s="8">
        <v>3328</v>
      </c>
      <c r="C725" s="23">
        <v>0</v>
      </c>
      <c r="D725" s="19" t="s">
        <v>32</v>
      </c>
      <c r="E725" s="21">
        <v>66.608999999999995</v>
      </c>
      <c r="F725" s="21">
        <v>8.9879999999999995</v>
      </c>
      <c r="G725" s="23">
        <v>0</v>
      </c>
      <c r="H725" s="26">
        <v>0</v>
      </c>
      <c r="I725" s="19" t="s">
        <v>17</v>
      </c>
      <c r="J725" s="8">
        <v>51</v>
      </c>
      <c r="K725" s="19" t="s">
        <v>31</v>
      </c>
      <c r="L725" s="19" t="s">
        <v>45</v>
      </c>
      <c r="M725" s="8">
        <v>2</v>
      </c>
      <c r="N725" s="33">
        <f t="shared" si="88"/>
        <v>0</v>
      </c>
      <c r="O725" s="23">
        <f t="shared" si="89"/>
        <v>0</v>
      </c>
      <c r="P725" s="59">
        <f t="shared" si="90"/>
        <v>0.13493672026302753</v>
      </c>
      <c r="Q725" s="30">
        <f t="shared" si="91"/>
        <v>0</v>
      </c>
      <c r="R725" s="30">
        <f t="shared" si="92"/>
        <v>0</v>
      </c>
      <c r="S725" s="12">
        <f t="shared" si="93"/>
        <v>0</v>
      </c>
      <c r="T725" s="30">
        <f t="shared" si="94"/>
        <v>0</v>
      </c>
      <c r="U725" s="9" t="str">
        <f t="shared" si="95"/>
        <v>45-54</v>
      </c>
    </row>
    <row r="726" spans="1:21">
      <c r="A726" t="s">
        <v>758</v>
      </c>
      <c r="B726" s="8">
        <v>4068</v>
      </c>
      <c r="C726" s="23">
        <v>0.19089999999999999</v>
      </c>
      <c r="D726" s="19" t="s">
        <v>40</v>
      </c>
      <c r="E726" s="21">
        <v>18.332000000000001</v>
      </c>
      <c r="F726" s="21">
        <v>2.1320000000000001</v>
      </c>
      <c r="G726" s="23">
        <v>0</v>
      </c>
      <c r="H726" s="26">
        <v>0</v>
      </c>
      <c r="I726" s="19" t="s">
        <v>29</v>
      </c>
      <c r="J726" s="8">
        <v>41</v>
      </c>
      <c r="K726" s="19" t="s">
        <v>18</v>
      </c>
      <c r="L726" s="19" t="s">
        <v>32</v>
      </c>
      <c r="M726" s="8">
        <v>4</v>
      </c>
      <c r="N726" s="33">
        <f t="shared" si="88"/>
        <v>0</v>
      </c>
      <c r="O726" s="23">
        <f t="shared" si="89"/>
        <v>8.9540337711069409E-2</v>
      </c>
      <c r="P726" s="59">
        <f t="shared" si="90"/>
        <v>0.1162993672267074</v>
      </c>
      <c r="Q726" s="30">
        <f t="shared" si="91"/>
        <v>0</v>
      </c>
      <c r="R726" s="30">
        <f t="shared" si="92"/>
        <v>-1</v>
      </c>
      <c r="S726" s="12">
        <f t="shared" si="93"/>
        <v>0</v>
      </c>
      <c r="T726" s="30">
        <f t="shared" si="94"/>
        <v>0</v>
      </c>
      <c r="U726" s="9" t="str">
        <f t="shared" si="95"/>
        <v>35-44</v>
      </c>
    </row>
    <row r="727" spans="1:21">
      <c r="A727" t="s">
        <v>759</v>
      </c>
      <c r="B727" s="8">
        <v>2621</v>
      </c>
      <c r="C727" s="23">
        <v>0.15351000000000001</v>
      </c>
      <c r="D727" s="19" t="s">
        <v>32</v>
      </c>
      <c r="E727" s="21">
        <v>97.69</v>
      </c>
      <c r="F727" s="21">
        <v>4.7169999999999996</v>
      </c>
      <c r="G727" s="23">
        <v>0</v>
      </c>
      <c r="H727" s="26">
        <v>0</v>
      </c>
      <c r="I727" s="19" t="s">
        <v>17</v>
      </c>
      <c r="J727" s="8">
        <v>41</v>
      </c>
      <c r="K727" s="19" t="s">
        <v>22</v>
      </c>
      <c r="L727" s="19" t="s">
        <v>38</v>
      </c>
      <c r="M727" s="8" t="s">
        <v>1065</v>
      </c>
      <c r="N727" s="33">
        <f t="shared" si="88"/>
        <v>0</v>
      </c>
      <c r="O727" s="23">
        <f t="shared" si="89"/>
        <v>3.2543989824040706E-2</v>
      </c>
      <c r="P727" s="59">
        <f t="shared" si="90"/>
        <v>4.8285392568328381E-2</v>
      </c>
      <c r="Q727" s="30">
        <f t="shared" si="91"/>
        <v>0</v>
      </c>
      <c r="R727" s="30">
        <f t="shared" si="92"/>
        <v>-1</v>
      </c>
      <c r="S727" s="12">
        <f t="shared" si="93"/>
        <v>0</v>
      </c>
      <c r="T727" s="30">
        <f t="shared" si="94"/>
        <v>0</v>
      </c>
      <c r="U727" s="9" t="str">
        <f t="shared" si="95"/>
        <v>35-44</v>
      </c>
    </row>
    <row r="728" spans="1:21">
      <c r="A728" t="s">
        <v>760</v>
      </c>
      <c r="B728" s="8">
        <v>8592</v>
      </c>
      <c r="C728" s="23">
        <v>8.4750000000000006E-2</v>
      </c>
      <c r="D728" s="19" t="s">
        <v>40</v>
      </c>
      <c r="E728" s="21">
        <v>11.641</v>
      </c>
      <c r="F728" s="21">
        <v>5.5330000000000004</v>
      </c>
      <c r="G728" s="23">
        <v>0.18564</v>
      </c>
      <c r="H728" s="26">
        <v>1</v>
      </c>
      <c r="I728" s="19" t="s">
        <v>26</v>
      </c>
      <c r="J728" s="8">
        <v>33</v>
      </c>
      <c r="K728" s="19" t="s">
        <v>31</v>
      </c>
      <c r="L728" s="19" t="s">
        <v>32</v>
      </c>
      <c r="M728" s="8">
        <v>2</v>
      </c>
      <c r="N728" s="33">
        <f t="shared" si="88"/>
        <v>0.18073377914332187</v>
      </c>
      <c r="O728" s="23">
        <f t="shared" si="89"/>
        <v>1.5317187782396531E-2</v>
      </c>
      <c r="P728" s="59">
        <f t="shared" si="90"/>
        <v>0.47530280903702432</v>
      </c>
      <c r="Q728" s="30">
        <f t="shared" si="91"/>
        <v>8.4750000000000006E-2</v>
      </c>
      <c r="R728" s="30">
        <f t="shared" si="92"/>
        <v>1.190442477876106</v>
      </c>
      <c r="S728" s="12">
        <f t="shared" si="93"/>
        <v>2.1904424778761062</v>
      </c>
      <c r="T728" s="30">
        <f t="shared" si="94"/>
        <v>3.355141876016627E-2</v>
      </c>
      <c r="U728" s="9" t="str">
        <f t="shared" si="95"/>
        <v>25-34</v>
      </c>
    </row>
    <row r="729" spans="1:21">
      <c r="A729" t="s">
        <v>761</v>
      </c>
      <c r="B729" s="8">
        <v>9392</v>
      </c>
      <c r="C729" s="23">
        <v>5.3769999999999998E-2</v>
      </c>
      <c r="D729" s="19" t="s">
        <v>40</v>
      </c>
      <c r="E729" s="21">
        <v>94.361999999999995</v>
      </c>
      <c r="F729" s="21">
        <v>0</v>
      </c>
      <c r="G729" s="23">
        <v>0</v>
      </c>
      <c r="H729" s="26">
        <v>0</v>
      </c>
      <c r="I729" s="19" t="s">
        <v>29</v>
      </c>
      <c r="J729" s="8">
        <v>33</v>
      </c>
      <c r="K729" s="19" t="s">
        <v>22</v>
      </c>
      <c r="L729" s="19" t="s">
        <v>19</v>
      </c>
      <c r="M729" s="8" t="s">
        <v>1065</v>
      </c>
      <c r="N729" s="33">
        <f t="shared" si="88"/>
        <v>0</v>
      </c>
      <c r="O729" s="23">
        <f t="shared" si="89"/>
        <v>0</v>
      </c>
      <c r="P729" s="59">
        <f t="shared" si="90"/>
        <v>0</v>
      </c>
      <c r="Q729" s="30">
        <f t="shared" si="91"/>
        <v>0</v>
      </c>
      <c r="R729" s="30">
        <f t="shared" si="92"/>
        <v>-1</v>
      </c>
      <c r="S729" s="12">
        <f t="shared" si="93"/>
        <v>0</v>
      </c>
      <c r="T729" s="30">
        <f t="shared" si="94"/>
        <v>0</v>
      </c>
      <c r="U729" s="9" t="str">
        <f t="shared" si="95"/>
        <v>25-34</v>
      </c>
    </row>
    <row r="730" spans="1:21">
      <c r="A730" t="s">
        <v>762</v>
      </c>
      <c r="B730" s="8">
        <v>5490</v>
      </c>
      <c r="C730" s="23">
        <v>0.19892000000000001</v>
      </c>
      <c r="D730" s="19" t="s">
        <v>28</v>
      </c>
      <c r="E730" s="21">
        <v>94.251999999999995</v>
      </c>
      <c r="F730" s="21">
        <v>2.843</v>
      </c>
      <c r="G730" s="23">
        <v>0</v>
      </c>
      <c r="H730" s="26">
        <v>0</v>
      </c>
      <c r="I730" s="19" t="s">
        <v>29</v>
      </c>
      <c r="J730" s="8">
        <v>32</v>
      </c>
      <c r="K730" s="19" t="s">
        <v>37</v>
      </c>
      <c r="L730" s="19" t="s">
        <v>38</v>
      </c>
      <c r="M730" s="8">
        <v>4</v>
      </c>
      <c r="N730" s="33">
        <f t="shared" si="88"/>
        <v>0</v>
      </c>
      <c r="O730" s="23">
        <f t="shared" si="89"/>
        <v>6.9968343299331701E-2</v>
      </c>
      <c r="P730" s="59">
        <f t="shared" si="90"/>
        <v>3.0163816152442388E-2</v>
      </c>
      <c r="Q730" s="30">
        <f t="shared" si="91"/>
        <v>0</v>
      </c>
      <c r="R730" s="30">
        <f t="shared" si="92"/>
        <v>-1</v>
      </c>
      <c r="S730" s="12">
        <f t="shared" si="93"/>
        <v>0</v>
      </c>
      <c r="T730" s="30">
        <f t="shared" si="94"/>
        <v>0</v>
      </c>
      <c r="U730" s="9" t="str">
        <f t="shared" si="95"/>
        <v>25-34</v>
      </c>
    </row>
    <row r="731" spans="1:21">
      <c r="A731" t="s">
        <v>763</v>
      </c>
      <c r="B731" s="8">
        <v>5218</v>
      </c>
      <c r="C731" s="23">
        <v>8.7720000000000006E-2</v>
      </c>
      <c r="D731" s="19" t="s">
        <v>45</v>
      </c>
      <c r="E731" s="21">
        <v>62.712000000000003</v>
      </c>
      <c r="F731" s="21">
        <v>5.0910000000000002</v>
      </c>
      <c r="G731" s="23">
        <v>0</v>
      </c>
      <c r="H731" s="26">
        <v>0</v>
      </c>
      <c r="I731" s="19" t="s">
        <v>29</v>
      </c>
      <c r="J731" s="8">
        <v>41</v>
      </c>
      <c r="K731" s="19" t="s">
        <v>37</v>
      </c>
      <c r="L731" s="19" t="s">
        <v>23</v>
      </c>
      <c r="M731" s="8">
        <v>2</v>
      </c>
      <c r="N731" s="33">
        <f t="shared" si="88"/>
        <v>0</v>
      </c>
      <c r="O731" s="23">
        <f t="shared" si="89"/>
        <v>1.7230406599882144E-2</v>
      </c>
      <c r="P731" s="59">
        <f t="shared" si="90"/>
        <v>8.1180635285112893E-2</v>
      </c>
      <c r="Q731" s="30">
        <f t="shared" si="91"/>
        <v>0</v>
      </c>
      <c r="R731" s="30">
        <f t="shared" si="92"/>
        <v>-1</v>
      </c>
      <c r="S731" s="12">
        <f t="shared" si="93"/>
        <v>0</v>
      </c>
      <c r="T731" s="30">
        <f t="shared" si="94"/>
        <v>0</v>
      </c>
      <c r="U731" s="9" t="str">
        <f t="shared" si="95"/>
        <v>35-44</v>
      </c>
    </row>
    <row r="732" spans="1:21">
      <c r="A732" t="s">
        <v>764</v>
      </c>
      <c r="B732" s="8">
        <v>1515</v>
      </c>
      <c r="C732" s="23">
        <v>4.5679999999999998E-2</v>
      </c>
      <c r="D732" s="19" t="s">
        <v>25</v>
      </c>
      <c r="E732" s="21">
        <v>61.470999999999997</v>
      </c>
      <c r="F732" s="21">
        <v>8.5779999999999994</v>
      </c>
      <c r="G732" s="23">
        <v>0</v>
      </c>
      <c r="H732" s="26">
        <v>0</v>
      </c>
      <c r="I732" s="19" t="s">
        <v>29</v>
      </c>
      <c r="J732" s="8">
        <v>38</v>
      </c>
      <c r="K732" s="19" t="s">
        <v>18</v>
      </c>
      <c r="L732" s="19" t="s">
        <v>45</v>
      </c>
      <c r="M732" s="8">
        <v>4</v>
      </c>
      <c r="N732" s="33">
        <f t="shared" si="88"/>
        <v>0</v>
      </c>
      <c r="O732" s="23">
        <f t="shared" si="89"/>
        <v>5.3252506411750992E-3</v>
      </c>
      <c r="P732" s="59">
        <f t="shared" si="90"/>
        <v>0.13954547672886403</v>
      </c>
      <c r="Q732" s="30">
        <f t="shared" si="91"/>
        <v>0</v>
      </c>
      <c r="R732" s="30">
        <f t="shared" si="92"/>
        <v>-1</v>
      </c>
      <c r="S732" s="12">
        <f t="shared" si="93"/>
        <v>0</v>
      </c>
      <c r="T732" s="30">
        <f t="shared" si="94"/>
        <v>0</v>
      </c>
      <c r="U732" s="9" t="str">
        <f t="shared" si="95"/>
        <v>35-44</v>
      </c>
    </row>
    <row r="733" spans="1:21">
      <c r="A733" t="s">
        <v>765</v>
      </c>
      <c r="B733" s="8">
        <v>2428</v>
      </c>
      <c r="C733" s="23">
        <v>5.466E-2</v>
      </c>
      <c r="D733" s="19" t="s">
        <v>15</v>
      </c>
      <c r="E733" s="21">
        <v>89.192999999999998</v>
      </c>
      <c r="F733" s="21">
        <v>3.1509999999999998</v>
      </c>
      <c r="G733" s="23">
        <v>0</v>
      </c>
      <c r="H733" s="26">
        <v>0</v>
      </c>
      <c r="I733" s="19" t="s">
        <v>17</v>
      </c>
      <c r="J733" s="8">
        <v>37</v>
      </c>
      <c r="K733" s="19" t="s">
        <v>22</v>
      </c>
      <c r="L733" s="19" t="s">
        <v>38</v>
      </c>
      <c r="M733" s="8">
        <v>1</v>
      </c>
      <c r="N733" s="33">
        <f t="shared" si="88"/>
        <v>0</v>
      </c>
      <c r="O733" s="23">
        <f t="shared" si="89"/>
        <v>1.7346874008251349E-2</v>
      </c>
      <c r="P733" s="59">
        <f t="shared" si="90"/>
        <v>3.5327884475239088E-2</v>
      </c>
      <c r="Q733" s="30">
        <f t="shared" si="91"/>
        <v>0</v>
      </c>
      <c r="R733" s="30">
        <f t="shared" si="92"/>
        <v>-1</v>
      </c>
      <c r="S733" s="12">
        <f t="shared" si="93"/>
        <v>0</v>
      </c>
      <c r="T733" s="30">
        <f t="shared" si="94"/>
        <v>0</v>
      </c>
      <c r="U733" s="9" t="str">
        <f t="shared" si="95"/>
        <v>35-44</v>
      </c>
    </row>
    <row r="734" spans="1:21">
      <c r="A734" t="s">
        <v>766</v>
      </c>
      <c r="B734" s="8">
        <v>9765</v>
      </c>
      <c r="C734" s="23">
        <v>0.14036000000000001</v>
      </c>
      <c r="D734" s="19" t="s">
        <v>40</v>
      </c>
      <c r="E734" s="21">
        <v>90.224000000000004</v>
      </c>
      <c r="F734" s="21">
        <v>3.7509999999999999</v>
      </c>
      <c r="G734" s="23">
        <v>0.47622999999999999</v>
      </c>
      <c r="H734" s="26">
        <v>1</v>
      </c>
      <c r="I734" s="19" t="s">
        <v>26</v>
      </c>
      <c r="J734" s="8">
        <v>26</v>
      </c>
      <c r="K734" s="19" t="s">
        <v>37</v>
      </c>
      <c r="L734" s="19" t="s">
        <v>38</v>
      </c>
      <c r="M734" s="8">
        <v>4</v>
      </c>
      <c r="N734" s="33">
        <f t="shared" si="88"/>
        <v>0.26659557451346311</v>
      </c>
      <c r="O734" s="23">
        <f t="shared" si="89"/>
        <v>3.741935483870968E-2</v>
      </c>
      <c r="P734" s="59">
        <f t="shared" si="90"/>
        <v>4.1574303954601877E-2</v>
      </c>
      <c r="Q734" s="30">
        <f t="shared" si="91"/>
        <v>0.14036000000000001</v>
      </c>
      <c r="R734" s="30">
        <f t="shared" si="92"/>
        <v>2.3929182103163291</v>
      </c>
      <c r="S734" s="12">
        <f t="shared" si="93"/>
        <v>3.3929182103163291</v>
      </c>
      <c r="T734" s="30">
        <f t="shared" si="94"/>
        <v>0.12696081045054652</v>
      </c>
      <c r="U734" s="9" t="str">
        <f t="shared" si="95"/>
        <v>25-34</v>
      </c>
    </row>
    <row r="735" spans="1:21">
      <c r="A735" t="s">
        <v>767</v>
      </c>
      <c r="B735" s="8">
        <v>2320</v>
      </c>
      <c r="C735" s="23">
        <v>3.977E-2</v>
      </c>
      <c r="D735" s="19" t="s">
        <v>15</v>
      </c>
      <c r="E735" s="21">
        <v>63.078000000000003</v>
      </c>
      <c r="F735" s="21">
        <v>0.55300000000000005</v>
      </c>
      <c r="G735" s="23">
        <v>0.15082000000000001</v>
      </c>
      <c r="H735" s="26">
        <v>1</v>
      </c>
      <c r="I735" s="19" t="s">
        <v>26</v>
      </c>
      <c r="J735" s="8">
        <v>52</v>
      </c>
      <c r="K735" s="19" t="s">
        <v>18</v>
      </c>
      <c r="L735" s="19" t="s">
        <v>19</v>
      </c>
      <c r="M735" s="8">
        <v>1</v>
      </c>
      <c r="N735" s="33">
        <f t="shared" si="88"/>
        <v>1.8083182640144664</v>
      </c>
      <c r="O735" s="23">
        <f t="shared" si="89"/>
        <v>7.1916817359855334E-2</v>
      </c>
      <c r="P735" s="59">
        <f t="shared" si="90"/>
        <v>8.7669234915501455E-3</v>
      </c>
      <c r="Q735" s="30">
        <f t="shared" si="91"/>
        <v>3.977E-2</v>
      </c>
      <c r="R735" s="30">
        <f t="shared" si="92"/>
        <v>2.7923057581091277</v>
      </c>
      <c r="S735" s="12">
        <f t="shared" si="93"/>
        <v>3.7923057581091277</v>
      </c>
      <c r="T735" s="30">
        <f t="shared" si="94"/>
        <v>0.27273056057866185</v>
      </c>
      <c r="U735" s="9" t="str">
        <f t="shared" si="95"/>
        <v>45-54</v>
      </c>
    </row>
    <row r="736" spans="1:21">
      <c r="A736" t="s">
        <v>768</v>
      </c>
      <c r="B736" s="8">
        <v>5600</v>
      </c>
      <c r="C736" s="23">
        <v>0.13897000000000001</v>
      </c>
      <c r="D736" s="19" t="s">
        <v>32</v>
      </c>
      <c r="E736" s="21">
        <v>55.932000000000002</v>
      </c>
      <c r="F736" s="21">
        <v>9.7430000000000003</v>
      </c>
      <c r="G736" s="23">
        <v>0</v>
      </c>
      <c r="H736" s="26">
        <v>0</v>
      </c>
      <c r="I736" s="19" t="s">
        <v>17</v>
      </c>
      <c r="J736" s="8">
        <v>47</v>
      </c>
      <c r="K736" s="19" t="s">
        <v>31</v>
      </c>
      <c r="L736" s="19" t="s">
        <v>19</v>
      </c>
      <c r="M736" s="8">
        <v>3</v>
      </c>
      <c r="N736" s="33">
        <f t="shared" si="88"/>
        <v>0</v>
      </c>
      <c r="O736" s="23">
        <f t="shared" si="89"/>
        <v>1.4263573847890794E-2</v>
      </c>
      <c r="P736" s="59">
        <f t="shared" si="90"/>
        <v>0.17419366373453479</v>
      </c>
      <c r="Q736" s="30">
        <f t="shared" si="91"/>
        <v>0</v>
      </c>
      <c r="R736" s="30">
        <f t="shared" si="92"/>
        <v>-1</v>
      </c>
      <c r="S736" s="12">
        <f t="shared" si="93"/>
        <v>0</v>
      </c>
      <c r="T736" s="30">
        <f t="shared" si="94"/>
        <v>0</v>
      </c>
      <c r="U736" s="9" t="str">
        <f t="shared" si="95"/>
        <v>45-54</v>
      </c>
    </row>
    <row r="737" spans="1:21">
      <c r="A737" t="s">
        <v>769</v>
      </c>
      <c r="B737" s="8">
        <v>8141</v>
      </c>
      <c r="C737" s="23">
        <v>0.17763000000000001</v>
      </c>
      <c r="D737" s="19" t="s">
        <v>40</v>
      </c>
      <c r="E737" s="21">
        <v>1.8120000000000001</v>
      </c>
      <c r="F737" s="21">
        <v>2.8260000000000001</v>
      </c>
      <c r="G737" s="23">
        <v>0.36264000000000002</v>
      </c>
      <c r="H737" s="26">
        <v>1</v>
      </c>
      <c r="I737" s="19" t="s">
        <v>21</v>
      </c>
      <c r="J737" s="8">
        <v>64</v>
      </c>
      <c r="K737" s="19" t="s">
        <v>22</v>
      </c>
      <c r="L737" s="19" t="s">
        <v>32</v>
      </c>
      <c r="M737" s="8">
        <v>2</v>
      </c>
      <c r="N737" s="33">
        <f t="shared" si="88"/>
        <v>0.35385704175513094</v>
      </c>
      <c r="O737" s="23">
        <f t="shared" si="89"/>
        <v>6.2855626326963912E-2</v>
      </c>
      <c r="P737" s="59">
        <f t="shared" si="90"/>
        <v>1.5596026490066226</v>
      </c>
      <c r="Q737" s="30">
        <f t="shared" si="91"/>
        <v>0.17763000000000001</v>
      </c>
      <c r="R737" s="30">
        <f t="shared" si="92"/>
        <v>1.0415470359736532</v>
      </c>
      <c r="S737" s="12">
        <f t="shared" si="93"/>
        <v>2.0415470359736529</v>
      </c>
      <c r="T737" s="30">
        <f t="shared" si="94"/>
        <v>0.1283227176220807</v>
      </c>
      <c r="U737" s="9" t="str">
        <f t="shared" si="95"/>
        <v>55+</v>
      </c>
    </row>
    <row r="738" spans="1:21">
      <c r="A738" t="s">
        <v>770</v>
      </c>
      <c r="B738" s="8">
        <v>9225</v>
      </c>
      <c r="C738" s="23">
        <v>0.17676</v>
      </c>
      <c r="D738" s="19" t="s">
        <v>25</v>
      </c>
      <c r="E738" s="21">
        <v>16.571000000000002</v>
      </c>
      <c r="F738" s="21">
        <v>3.9670000000000001</v>
      </c>
      <c r="G738" s="23">
        <v>0</v>
      </c>
      <c r="H738" s="26">
        <v>0</v>
      </c>
      <c r="I738" s="19" t="s">
        <v>1067</v>
      </c>
      <c r="J738" s="8">
        <v>18</v>
      </c>
      <c r="K738" s="19" t="s">
        <v>37</v>
      </c>
      <c r="L738" s="19" t="s">
        <v>32</v>
      </c>
      <c r="M738" s="8">
        <v>4</v>
      </c>
      <c r="N738" s="33">
        <f t="shared" si="88"/>
        <v>0</v>
      </c>
      <c r="O738" s="23">
        <f t="shared" si="89"/>
        <v>4.4557600201663723E-2</v>
      </c>
      <c r="P738" s="59">
        <f t="shared" si="90"/>
        <v>0.23939412226178261</v>
      </c>
      <c r="Q738" s="30">
        <f t="shared" si="91"/>
        <v>0</v>
      </c>
      <c r="R738" s="30">
        <f t="shared" si="92"/>
        <v>-1</v>
      </c>
      <c r="S738" s="12">
        <f t="shared" si="93"/>
        <v>0</v>
      </c>
      <c r="T738" s="30">
        <f t="shared" si="94"/>
        <v>0</v>
      </c>
      <c r="U738" s="9" t="str">
        <f t="shared" si="95"/>
        <v>18-24</v>
      </c>
    </row>
    <row r="739" spans="1:21">
      <c r="A739" t="s">
        <v>771</v>
      </c>
      <c r="B739" s="8">
        <v>1412</v>
      </c>
      <c r="C739" s="23">
        <v>0.15970000000000001</v>
      </c>
      <c r="D739" s="19" t="s">
        <v>15</v>
      </c>
      <c r="E739" s="21">
        <v>32.631</v>
      </c>
      <c r="F739" s="21">
        <v>9.0239999999999991</v>
      </c>
      <c r="G739" s="23">
        <v>0.31431999999999999</v>
      </c>
      <c r="H739" s="26">
        <v>1</v>
      </c>
      <c r="I739" s="19" t="s">
        <v>29</v>
      </c>
      <c r="J739" s="8">
        <v>29</v>
      </c>
      <c r="K739" s="19" t="s">
        <v>22</v>
      </c>
      <c r="L739" s="19" t="s">
        <v>23</v>
      </c>
      <c r="M739" s="8">
        <v>5</v>
      </c>
      <c r="N739" s="33">
        <f t="shared" si="88"/>
        <v>0.11081560283687944</v>
      </c>
      <c r="O739" s="23">
        <f t="shared" si="89"/>
        <v>1.7697251773049649E-2</v>
      </c>
      <c r="P739" s="59">
        <f t="shared" si="90"/>
        <v>0.27654684196009927</v>
      </c>
      <c r="Q739" s="30">
        <f t="shared" si="91"/>
        <v>0.15970000000000001</v>
      </c>
      <c r="R739" s="30">
        <f t="shared" si="92"/>
        <v>0.96819035691922339</v>
      </c>
      <c r="S739" s="12">
        <f t="shared" si="93"/>
        <v>1.9681903569192234</v>
      </c>
      <c r="T739" s="30">
        <f t="shared" si="94"/>
        <v>3.4831560283687946E-2</v>
      </c>
      <c r="U739" s="9" t="str">
        <f t="shared" si="95"/>
        <v>25-34</v>
      </c>
    </row>
    <row r="740" spans="1:21">
      <c r="A740" t="s">
        <v>772</v>
      </c>
      <c r="B740" s="8">
        <v>9138</v>
      </c>
      <c r="C740" s="23">
        <v>4.265E-2</v>
      </c>
      <c r="D740" s="19" t="s">
        <v>28</v>
      </c>
      <c r="E740" s="21">
        <v>62.4</v>
      </c>
      <c r="F740" s="21">
        <v>9.2759999999999998</v>
      </c>
      <c r="G740" s="23">
        <v>1.8679999999999999E-2</v>
      </c>
      <c r="H740" s="26">
        <v>1</v>
      </c>
      <c r="I740" s="19" t="s">
        <v>17</v>
      </c>
      <c r="J740" s="8">
        <v>53</v>
      </c>
      <c r="K740" s="19" t="s">
        <v>18</v>
      </c>
      <c r="L740" s="19" t="s">
        <v>32</v>
      </c>
      <c r="M740" s="8">
        <v>1</v>
      </c>
      <c r="N740" s="33">
        <f t="shared" si="88"/>
        <v>0.10780508840017249</v>
      </c>
      <c r="O740" s="23">
        <f t="shared" si="89"/>
        <v>4.5978870202673565E-3</v>
      </c>
      <c r="P740" s="59">
        <f t="shared" si="90"/>
        <v>0.14865384615384616</v>
      </c>
      <c r="Q740" s="30">
        <f t="shared" si="91"/>
        <v>4.265E-2</v>
      </c>
      <c r="R740" s="30">
        <f t="shared" si="92"/>
        <v>-0.56201641266119584</v>
      </c>
      <c r="S740" s="12">
        <f t="shared" si="93"/>
        <v>0.43798358733880416</v>
      </c>
      <c r="T740" s="30">
        <f t="shared" si="94"/>
        <v>2.0137990513152222E-3</v>
      </c>
      <c r="U740" s="9" t="str">
        <f t="shared" si="95"/>
        <v>45-54</v>
      </c>
    </row>
    <row r="741" spans="1:21">
      <c r="A741" t="s">
        <v>773</v>
      </c>
      <c r="B741" s="8">
        <v>2497</v>
      </c>
      <c r="C741" s="23">
        <v>0</v>
      </c>
      <c r="D741" s="19" t="s">
        <v>32</v>
      </c>
      <c r="E741" s="21">
        <v>15.321999999999999</v>
      </c>
      <c r="F741" s="21">
        <v>3.456</v>
      </c>
      <c r="G741" s="23">
        <v>0</v>
      </c>
      <c r="H741" s="26">
        <v>0</v>
      </c>
      <c r="I741" s="19" t="s">
        <v>29</v>
      </c>
      <c r="J741" s="8">
        <v>32</v>
      </c>
      <c r="K741" s="19" t="s">
        <v>37</v>
      </c>
      <c r="L741" s="19" t="s">
        <v>32</v>
      </c>
      <c r="M741" s="8" t="s">
        <v>1065</v>
      </c>
      <c r="N741" s="33">
        <f t="shared" si="88"/>
        <v>0</v>
      </c>
      <c r="O741" s="23">
        <f t="shared" si="89"/>
        <v>0</v>
      </c>
      <c r="P741" s="59">
        <f t="shared" si="90"/>
        <v>0.22555802114606449</v>
      </c>
      <c r="Q741" s="30">
        <f t="shared" si="91"/>
        <v>0</v>
      </c>
      <c r="R741" s="30">
        <f t="shared" si="92"/>
        <v>0</v>
      </c>
      <c r="S741" s="12">
        <f t="shared" si="93"/>
        <v>0</v>
      </c>
      <c r="T741" s="30">
        <f t="shared" si="94"/>
        <v>0</v>
      </c>
      <c r="U741" s="9" t="str">
        <f t="shared" si="95"/>
        <v>25-34</v>
      </c>
    </row>
    <row r="742" spans="1:21">
      <c r="A742" t="s">
        <v>774</v>
      </c>
      <c r="B742" s="8">
        <v>5273</v>
      </c>
      <c r="C742" s="23">
        <v>0.12442</v>
      </c>
      <c r="D742" s="19" t="s">
        <v>45</v>
      </c>
      <c r="E742" s="21">
        <v>33.597000000000001</v>
      </c>
      <c r="F742" s="21">
        <v>7.274</v>
      </c>
      <c r="G742" s="23">
        <v>0</v>
      </c>
      <c r="H742" s="26">
        <v>0</v>
      </c>
      <c r="I742" s="19" t="s">
        <v>21</v>
      </c>
      <c r="J742" s="8">
        <v>39</v>
      </c>
      <c r="K742" s="19" t="s">
        <v>22</v>
      </c>
      <c r="L742" s="19" t="s">
        <v>19</v>
      </c>
      <c r="M742" s="8">
        <v>2</v>
      </c>
      <c r="N742" s="33">
        <f t="shared" si="88"/>
        <v>0</v>
      </c>
      <c r="O742" s="23">
        <f t="shared" si="89"/>
        <v>1.7104756667583175E-2</v>
      </c>
      <c r="P742" s="59">
        <f t="shared" si="90"/>
        <v>0.21650742625829686</v>
      </c>
      <c r="Q742" s="30">
        <f t="shared" si="91"/>
        <v>0</v>
      </c>
      <c r="R742" s="30">
        <f t="shared" si="92"/>
        <v>-1</v>
      </c>
      <c r="S742" s="12">
        <f t="shared" si="93"/>
        <v>0</v>
      </c>
      <c r="T742" s="30">
        <f t="shared" si="94"/>
        <v>0</v>
      </c>
      <c r="U742" s="9" t="str">
        <f t="shared" si="95"/>
        <v>35-44</v>
      </c>
    </row>
    <row r="743" spans="1:21">
      <c r="A743" t="s">
        <v>775</v>
      </c>
      <c r="B743" s="8">
        <v>3949</v>
      </c>
      <c r="C743" s="23">
        <v>0.16209000000000001</v>
      </c>
      <c r="D743" s="19" t="s">
        <v>28</v>
      </c>
      <c r="E743" s="21">
        <v>8.74</v>
      </c>
      <c r="F743" s="21">
        <v>9.9700000000000006</v>
      </c>
      <c r="G743" s="23">
        <v>0</v>
      </c>
      <c r="H743" s="26">
        <v>0</v>
      </c>
      <c r="I743" s="19" t="s">
        <v>29</v>
      </c>
      <c r="J743" s="8">
        <v>33</v>
      </c>
      <c r="K743" s="19" t="s">
        <v>31</v>
      </c>
      <c r="L743" s="19" t="s">
        <v>19</v>
      </c>
      <c r="M743" s="8">
        <v>5</v>
      </c>
      <c r="N743" s="33">
        <f t="shared" si="88"/>
        <v>0</v>
      </c>
      <c r="O743" s="23">
        <f t="shared" si="89"/>
        <v>1.6257773319959881E-2</v>
      </c>
      <c r="P743" s="59">
        <f t="shared" si="90"/>
        <v>1.1407322654462242</v>
      </c>
      <c r="Q743" s="30">
        <f t="shared" si="91"/>
        <v>0</v>
      </c>
      <c r="R743" s="30">
        <f t="shared" si="92"/>
        <v>-1</v>
      </c>
      <c r="S743" s="12">
        <f t="shared" si="93"/>
        <v>0</v>
      </c>
      <c r="T743" s="30">
        <f t="shared" si="94"/>
        <v>0</v>
      </c>
      <c r="U743" s="9" t="str">
        <f t="shared" si="95"/>
        <v>25-34</v>
      </c>
    </row>
    <row r="744" spans="1:21">
      <c r="A744" t="s">
        <v>776</v>
      </c>
      <c r="B744" s="8">
        <v>8165</v>
      </c>
      <c r="C744" s="23">
        <v>0.19086</v>
      </c>
      <c r="D744" s="19" t="s">
        <v>32</v>
      </c>
      <c r="E744" s="21">
        <v>10.29</v>
      </c>
      <c r="F744" s="21">
        <v>7.3869999999999996</v>
      </c>
      <c r="G744" s="23">
        <v>0</v>
      </c>
      <c r="H744" s="26">
        <v>0</v>
      </c>
      <c r="I744" s="19" t="s">
        <v>17</v>
      </c>
      <c r="J744" s="8">
        <v>49</v>
      </c>
      <c r="K744" s="19" t="s">
        <v>31</v>
      </c>
      <c r="L744" s="19" t="s">
        <v>19</v>
      </c>
      <c r="M744" s="8">
        <v>5</v>
      </c>
      <c r="N744" s="33">
        <f t="shared" si="88"/>
        <v>0</v>
      </c>
      <c r="O744" s="23">
        <f t="shared" si="89"/>
        <v>2.5837281711114123E-2</v>
      </c>
      <c r="P744" s="59">
        <f t="shared" si="90"/>
        <v>0.7178814382896016</v>
      </c>
      <c r="Q744" s="30">
        <f t="shared" si="91"/>
        <v>0</v>
      </c>
      <c r="R744" s="30">
        <f t="shared" si="92"/>
        <v>-1</v>
      </c>
      <c r="S744" s="12">
        <f t="shared" si="93"/>
        <v>0</v>
      </c>
      <c r="T744" s="30">
        <f t="shared" si="94"/>
        <v>0</v>
      </c>
      <c r="U744" s="9" t="str">
        <f t="shared" si="95"/>
        <v>45-54</v>
      </c>
    </row>
    <row r="745" spans="1:21">
      <c r="A745" t="s">
        <v>777</v>
      </c>
      <c r="B745" s="8">
        <v>9379</v>
      </c>
      <c r="C745" s="23">
        <v>5.8090000000000003E-2</v>
      </c>
      <c r="D745" s="19" t="s">
        <v>32</v>
      </c>
      <c r="E745" s="21">
        <v>55.506999999999998</v>
      </c>
      <c r="F745" s="21">
        <v>7.9180000000000001</v>
      </c>
      <c r="G745" s="23">
        <v>0</v>
      </c>
      <c r="H745" s="26">
        <v>0</v>
      </c>
      <c r="I745" s="19" t="s">
        <v>34</v>
      </c>
      <c r="J745" s="8">
        <v>34</v>
      </c>
      <c r="K745" s="19" t="s">
        <v>31</v>
      </c>
      <c r="L745" s="19" t="s">
        <v>45</v>
      </c>
      <c r="M745" s="8">
        <v>3</v>
      </c>
      <c r="N745" s="33">
        <f t="shared" si="88"/>
        <v>0</v>
      </c>
      <c r="O745" s="23">
        <f t="shared" si="89"/>
        <v>7.3364485981308415E-3</v>
      </c>
      <c r="P745" s="59">
        <f t="shared" si="90"/>
        <v>0.14264867494189923</v>
      </c>
      <c r="Q745" s="30">
        <f t="shared" si="91"/>
        <v>0</v>
      </c>
      <c r="R745" s="30">
        <f t="shared" si="92"/>
        <v>-1</v>
      </c>
      <c r="S745" s="12">
        <f t="shared" si="93"/>
        <v>0</v>
      </c>
      <c r="T745" s="30">
        <f t="shared" si="94"/>
        <v>0</v>
      </c>
      <c r="U745" s="9" t="str">
        <f t="shared" si="95"/>
        <v>25-34</v>
      </c>
    </row>
    <row r="746" spans="1:21">
      <c r="A746" t="s">
        <v>778</v>
      </c>
      <c r="B746" s="8">
        <v>8587</v>
      </c>
      <c r="C746" s="23">
        <v>0.14688000000000001</v>
      </c>
      <c r="D746" s="19" t="s">
        <v>32</v>
      </c>
      <c r="E746" s="21">
        <v>80.503</v>
      </c>
      <c r="F746" s="21">
        <v>7.2039999999999997</v>
      </c>
      <c r="G746" s="23">
        <v>0.31563999999999998</v>
      </c>
      <c r="H746" s="26">
        <v>1</v>
      </c>
      <c r="I746" s="19" t="s">
        <v>17</v>
      </c>
      <c r="J746" s="8">
        <v>65</v>
      </c>
      <c r="K746" s="19" t="s">
        <v>22</v>
      </c>
      <c r="L746" s="19" t="s">
        <v>19</v>
      </c>
      <c r="M746" s="8">
        <v>1</v>
      </c>
      <c r="N746" s="33">
        <f t="shared" si="88"/>
        <v>0.13881177123820101</v>
      </c>
      <c r="O746" s="23">
        <f t="shared" si="89"/>
        <v>2.0388672959466964E-2</v>
      </c>
      <c r="P746" s="59">
        <f t="shared" si="90"/>
        <v>8.948734829757897E-2</v>
      </c>
      <c r="Q746" s="30">
        <f t="shared" si="91"/>
        <v>0.14688000000000001</v>
      </c>
      <c r="R746" s="30">
        <f t="shared" si="92"/>
        <v>1.1489651416122002</v>
      </c>
      <c r="S746" s="12">
        <f t="shared" si="93"/>
        <v>2.1489651416122002</v>
      </c>
      <c r="T746" s="30">
        <f t="shared" si="94"/>
        <v>4.3814547473625759E-2</v>
      </c>
      <c r="U746" s="9" t="str">
        <f t="shared" si="95"/>
        <v>55+</v>
      </c>
    </row>
    <row r="747" spans="1:21">
      <c r="A747" t="s">
        <v>779</v>
      </c>
      <c r="B747" s="8">
        <v>5462</v>
      </c>
      <c r="C747" s="23">
        <v>0.19073999999999999</v>
      </c>
      <c r="D747" s="19" t="s">
        <v>32</v>
      </c>
      <c r="E747" s="21">
        <v>38.570999999999998</v>
      </c>
      <c r="F747" s="21">
        <v>1.19</v>
      </c>
      <c r="G747" s="23">
        <v>0</v>
      </c>
      <c r="H747" s="26">
        <v>0</v>
      </c>
      <c r="I747" s="19" t="s">
        <v>21</v>
      </c>
      <c r="J747" s="8">
        <v>34</v>
      </c>
      <c r="K747" s="19" t="s">
        <v>18</v>
      </c>
      <c r="L747" s="19" t="s">
        <v>32</v>
      </c>
      <c r="M747" s="8">
        <v>2</v>
      </c>
      <c r="N747" s="33">
        <f t="shared" si="88"/>
        <v>0</v>
      </c>
      <c r="O747" s="23">
        <f t="shared" si="89"/>
        <v>0.16028571428571428</v>
      </c>
      <c r="P747" s="59">
        <f t="shared" si="90"/>
        <v>3.0852194654014675E-2</v>
      </c>
      <c r="Q747" s="30">
        <f t="shared" si="91"/>
        <v>0</v>
      </c>
      <c r="R747" s="30">
        <f t="shared" si="92"/>
        <v>-1</v>
      </c>
      <c r="S747" s="12">
        <f t="shared" si="93"/>
        <v>0</v>
      </c>
      <c r="T747" s="30">
        <f t="shared" si="94"/>
        <v>0</v>
      </c>
      <c r="U747" s="9" t="str">
        <f t="shared" si="95"/>
        <v>25-34</v>
      </c>
    </row>
    <row r="748" spans="1:21">
      <c r="A748" t="s">
        <v>780</v>
      </c>
      <c r="B748" s="8">
        <v>8876</v>
      </c>
      <c r="C748" s="23">
        <v>0.17576</v>
      </c>
      <c r="D748" s="19" t="s">
        <v>45</v>
      </c>
      <c r="E748" s="21">
        <v>68.962000000000003</v>
      </c>
      <c r="F748" s="21">
        <v>1.0529999999999999</v>
      </c>
      <c r="G748" s="23">
        <v>0.44724000000000003</v>
      </c>
      <c r="H748" s="26">
        <v>1</v>
      </c>
      <c r="I748" s="19" t="s">
        <v>29</v>
      </c>
      <c r="J748" s="8">
        <v>52</v>
      </c>
      <c r="K748" s="19" t="s">
        <v>37</v>
      </c>
      <c r="L748" s="19" t="s">
        <v>32</v>
      </c>
      <c r="M748" s="8">
        <v>2</v>
      </c>
      <c r="N748" s="33">
        <f t="shared" si="88"/>
        <v>0.94966761633428309</v>
      </c>
      <c r="O748" s="23">
        <f t="shared" si="89"/>
        <v>0.16691358024691358</v>
      </c>
      <c r="P748" s="59">
        <f t="shared" si="90"/>
        <v>1.5269278733215392E-2</v>
      </c>
      <c r="Q748" s="30">
        <f t="shared" si="91"/>
        <v>0.17576</v>
      </c>
      <c r="R748" s="30">
        <f t="shared" si="92"/>
        <v>1.5446062812926722</v>
      </c>
      <c r="S748" s="12">
        <f t="shared" si="93"/>
        <v>2.5446062812926722</v>
      </c>
      <c r="T748" s="30">
        <f t="shared" si="94"/>
        <v>0.42472934472934476</v>
      </c>
      <c r="U748" s="9" t="str">
        <f t="shared" si="95"/>
        <v>45-54</v>
      </c>
    </row>
    <row r="749" spans="1:21">
      <c r="A749" t="s">
        <v>781</v>
      </c>
      <c r="B749" s="8">
        <v>2962</v>
      </c>
      <c r="C749" s="23">
        <v>0.10979999999999999</v>
      </c>
      <c r="D749" s="19" t="s">
        <v>28</v>
      </c>
      <c r="E749" s="21">
        <v>94.616</v>
      </c>
      <c r="F749" s="21">
        <v>5.8390000000000004</v>
      </c>
      <c r="G749" s="23">
        <v>0</v>
      </c>
      <c r="H749" s="26">
        <v>0</v>
      </c>
      <c r="I749" s="19" t="s">
        <v>1067</v>
      </c>
      <c r="J749" s="8">
        <v>23</v>
      </c>
      <c r="K749" s="19" t="s">
        <v>31</v>
      </c>
      <c r="L749" s="19" t="s">
        <v>45</v>
      </c>
      <c r="M749" s="8">
        <v>1</v>
      </c>
      <c r="N749" s="33">
        <f t="shared" si="88"/>
        <v>0</v>
      </c>
      <c r="O749" s="23">
        <f t="shared" si="89"/>
        <v>1.8804589827025174E-2</v>
      </c>
      <c r="P749" s="59">
        <f t="shared" si="90"/>
        <v>6.1712606747273191E-2</v>
      </c>
      <c r="Q749" s="30">
        <f t="shared" si="91"/>
        <v>0</v>
      </c>
      <c r="R749" s="30">
        <f t="shared" si="92"/>
        <v>-1</v>
      </c>
      <c r="S749" s="12">
        <f t="shared" si="93"/>
        <v>0</v>
      </c>
      <c r="T749" s="30">
        <f t="shared" si="94"/>
        <v>0</v>
      </c>
      <c r="U749" s="9" t="str">
        <f t="shared" si="95"/>
        <v>18-24</v>
      </c>
    </row>
    <row r="750" spans="1:21">
      <c r="A750" t="s">
        <v>782</v>
      </c>
      <c r="B750" s="8">
        <v>7552</v>
      </c>
      <c r="C750" s="23">
        <v>7.2169999999999998E-2</v>
      </c>
      <c r="D750" s="19" t="s">
        <v>15</v>
      </c>
      <c r="E750" s="21">
        <v>43.048000000000002</v>
      </c>
      <c r="F750" s="21">
        <v>5.6130000000000004</v>
      </c>
      <c r="G750" s="23">
        <v>0</v>
      </c>
      <c r="H750" s="26">
        <v>0</v>
      </c>
      <c r="I750" s="19" t="s">
        <v>34</v>
      </c>
      <c r="J750" s="8">
        <v>23</v>
      </c>
      <c r="K750" s="19" t="s">
        <v>31</v>
      </c>
      <c r="L750" s="19" t="s">
        <v>32</v>
      </c>
      <c r="M750" s="8">
        <v>3</v>
      </c>
      <c r="N750" s="33">
        <f t="shared" si="88"/>
        <v>0</v>
      </c>
      <c r="O750" s="23">
        <f t="shared" si="89"/>
        <v>1.2857651879565293E-2</v>
      </c>
      <c r="P750" s="59">
        <f t="shared" si="90"/>
        <v>0.13038933283776249</v>
      </c>
      <c r="Q750" s="30">
        <f t="shared" si="91"/>
        <v>0</v>
      </c>
      <c r="R750" s="30">
        <f t="shared" si="92"/>
        <v>-1</v>
      </c>
      <c r="S750" s="12">
        <f t="shared" si="93"/>
        <v>0</v>
      </c>
      <c r="T750" s="30">
        <f t="shared" si="94"/>
        <v>0</v>
      </c>
      <c r="U750" s="9" t="str">
        <f t="shared" si="95"/>
        <v>18-24</v>
      </c>
    </row>
    <row r="751" spans="1:21">
      <c r="A751" t="s">
        <v>783</v>
      </c>
      <c r="B751" s="8">
        <v>3413</v>
      </c>
      <c r="C751" s="23">
        <v>0.1081</v>
      </c>
      <c r="D751" s="19" t="s">
        <v>40</v>
      </c>
      <c r="E751" s="21">
        <v>46.536000000000001</v>
      </c>
      <c r="F751" s="21">
        <v>9.5210000000000008</v>
      </c>
      <c r="G751" s="23">
        <v>0</v>
      </c>
      <c r="H751" s="26">
        <v>0</v>
      </c>
      <c r="I751" s="19" t="s">
        <v>21</v>
      </c>
      <c r="J751" s="8">
        <v>32</v>
      </c>
      <c r="K751" s="19" t="s">
        <v>37</v>
      </c>
      <c r="L751" s="19" t="s">
        <v>45</v>
      </c>
      <c r="M751" s="8">
        <v>5</v>
      </c>
      <c r="N751" s="33">
        <f t="shared" si="88"/>
        <v>0</v>
      </c>
      <c r="O751" s="23">
        <f t="shared" si="89"/>
        <v>1.1353849385568743E-2</v>
      </c>
      <c r="P751" s="59">
        <f t="shared" si="90"/>
        <v>0.20459429259068249</v>
      </c>
      <c r="Q751" s="30">
        <f t="shared" si="91"/>
        <v>0</v>
      </c>
      <c r="R751" s="30">
        <f t="shared" si="92"/>
        <v>-1</v>
      </c>
      <c r="S751" s="12">
        <f t="shared" si="93"/>
        <v>0</v>
      </c>
      <c r="T751" s="30">
        <f t="shared" si="94"/>
        <v>0</v>
      </c>
      <c r="U751" s="9" t="str">
        <f t="shared" si="95"/>
        <v>25-34</v>
      </c>
    </row>
    <row r="752" spans="1:21">
      <c r="A752" t="s">
        <v>784</v>
      </c>
      <c r="B752" s="8">
        <v>7728</v>
      </c>
      <c r="C752" s="23">
        <v>0.14326</v>
      </c>
      <c r="D752" s="19" t="s">
        <v>25</v>
      </c>
      <c r="E752" s="21">
        <v>90.521000000000001</v>
      </c>
      <c r="F752" s="21">
        <v>7.1840000000000002</v>
      </c>
      <c r="G752" s="23">
        <v>0</v>
      </c>
      <c r="H752" s="26">
        <v>0</v>
      </c>
      <c r="I752" s="19" t="s">
        <v>17</v>
      </c>
      <c r="J752" s="8">
        <v>32</v>
      </c>
      <c r="K752" s="19" t="s">
        <v>37</v>
      </c>
      <c r="L752" s="19" t="s">
        <v>45</v>
      </c>
      <c r="M752" s="8" t="s">
        <v>1065</v>
      </c>
      <c r="N752" s="33">
        <f t="shared" si="88"/>
        <v>0</v>
      </c>
      <c r="O752" s="23">
        <f t="shared" si="89"/>
        <v>1.994153674832962E-2</v>
      </c>
      <c r="P752" s="59">
        <f t="shared" si="90"/>
        <v>7.9362799792313393E-2</v>
      </c>
      <c r="Q752" s="30">
        <f t="shared" si="91"/>
        <v>0</v>
      </c>
      <c r="R752" s="30">
        <f t="shared" si="92"/>
        <v>-1</v>
      </c>
      <c r="S752" s="12">
        <f t="shared" si="93"/>
        <v>0</v>
      </c>
      <c r="T752" s="30">
        <f t="shared" si="94"/>
        <v>0</v>
      </c>
      <c r="U752" s="9" t="str">
        <f t="shared" si="95"/>
        <v>25-34</v>
      </c>
    </row>
    <row r="753" spans="1:21">
      <c r="A753" t="s">
        <v>785</v>
      </c>
      <c r="B753" s="8">
        <v>7236</v>
      </c>
      <c r="C753" s="23">
        <v>0.19106000000000001</v>
      </c>
      <c r="D753" s="19" t="s">
        <v>28</v>
      </c>
      <c r="E753" s="21">
        <v>2.5289999999999999</v>
      </c>
      <c r="F753" s="21">
        <v>4.8339999999999996</v>
      </c>
      <c r="G753" s="23">
        <v>0.11555</v>
      </c>
      <c r="H753" s="26">
        <v>1</v>
      </c>
      <c r="I753" s="19" t="s">
        <v>17</v>
      </c>
      <c r="J753" s="8">
        <v>64</v>
      </c>
      <c r="K753" s="19" t="s">
        <v>22</v>
      </c>
      <c r="L753" s="19" t="s">
        <v>32</v>
      </c>
      <c r="M753" s="8">
        <v>3</v>
      </c>
      <c r="N753" s="33">
        <f t="shared" si="88"/>
        <v>0.20686801820438561</v>
      </c>
      <c r="O753" s="23">
        <f t="shared" si="89"/>
        <v>3.9524203558129918E-2</v>
      </c>
      <c r="P753" s="59">
        <f t="shared" si="90"/>
        <v>1.911427441676552</v>
      </c>
      <c r="Q753" s="30">
        <f t="shared" si="91"/>
        <v>0.19106000000000001</v>
      </c>
      <c r="R753" s="30">
        <f t="shared" si="92"/>
        <v>-0.39521616246205382</v>
      </c>
      <c r="S753" s="12">
        <f t="shared" si="93"/>
        <v>0.60478383753794618</v>
      </c>
      <c r="T753" s="30">
        <f t="shared" si="94"/>
        <v>2.3903599503516757E-2</v>
      </c>
      <c r="U753" s="9" t="str">
        <f t="shared" si="95"/>
        <v>55+</v>
      </c>
    </row>
    <row r="754" spans="1:21">
      <c r="A754" t="s">
        <v>786</v>
      </c>
      <c r="B754" s="8">
        <v>2691</v>
      </c>
      <c r="C754" s="23">
        <v>6.4390000000000003E-2</v>
      </c>
      <c r="D754" s="19" t="s">
        <v>25</v>
      </c>
      <c r="E754" s="21">
        <v>97.38</v>
      </c>
      <c r="F754" s="21">
        <v>4.7670000000000003</v>
      </c>
      <c r="G754" s="23">
        <v>0</v>
      </c>
      <c r="H754" s="26">
        <v>0</v>
      </c>
      <c r="I754" s="19" t="s">
        <v>29</v>
      </c>
      <c r="J754" s="8">
        <v>41</v>
      </c>
      <c r="K754" s="19" t="s">
        <v>18</v>
      </c>
      <c r="L754" s="19" t="s">
        <v>23</v>
      </c>
      <c r="M754" s="8">
        <v>4</v>
      </c>
      <c r="N754" s="33">
        <f t="shared" si="88"/>
        <v>0</v>
      </c>
      <c r="O754" s="23">
        <f t="shared" si="89"/>
        <v>1.3507447031676107E-2</v>
      </c>
      <c r="P754" s="59">
        <f t="shared" si="90"/>
        <v>4.8952556993222436E-2</v>
      </c>
      <c r="Q754" s="30">
        <f t="shared" si="91"/>
        <v>0</v>
      </c>
      <c r="R754" s="30">
        <f t="shared" si="92"/>
        <v>-1</v>
      </c>
      <c r="S754" s="12">
        <f t="shared" si="93"/>
        <v>0</v>
      </c>
      <c r="T754" s="30">
        <f t="shared" si="94"/>
        <v>0</v>
      </c>
      <c r="U754" s="9" t="str">
        <f t="shared" si="95"/>
        <v>35-44</v>
      </c>
    </row>
    <row r="755" spans="1:21">
      <c r="A755" t="s">
        <v>787</v>
      </c>
      <c r="B755" s="8">
        <v>8727</v>
      </c>
      <c r="C755" s="23">
        <v>7.4620000000000006E-2</v>
      </c>
      <c r="D755" s="19" t="s">
        <v>32</v>
      </c>
      <c r="E755" s="21">
        <v>32.366</v>
      </c>
      <c r="F755" s="21">
        <v>7.2469999999999999</v>
      </c>
      <c r="G755" s="23">
        <v>0</v>
      </c>
      <c r="H755" s="26">
        <v>0</v>
      </c>
      <c r="I755" s="19" t="s">
        <v>17</v>
      </c>
      <c r="J755" s="8">
        <v>63</v>
      </c>
      <c r="K755" s="19" t="s">
        <v>37</v>
      </c>
      <c r="L755" s="19" t="s">
        <v>32</v>
      </c>
      <c r="M755" s="8">
        <v>1</v>
      </c>
      <c r="N755" s="33">
        <f t="shared" si="88"/>
        <v>0</v>
      </c>
      <c r="O755" s="23">
        <f t="shared" si="89"/>
        <v>1.0296674485994205E-2</v>
      </c>
      <c r="P755" s="59">
        <f t="shared" si="90"/>
        <v>0.22390780448618922</v>
      </c>
      <c r="Q755" s="30">
        <f t="shared" si="91"/>
        <v>0</v>
      </c>
      <c r="R755" s="30">
        <f t="shared" si="92"/>
        <v>-1</v>
      </c>
      <c r="S755" s="12">
        <f t="shared" si="93"/>
        <v>0</v>
      </c>
      <c r="T755" s="30">
        <f t="shared" si="94"/>
        <v>0</v>
      </c>
      <c r="U755" s="9" t="str">
        <f t="shared" si="95"/>
        <v>55+</v>
      </c>
    </row>
    <row r="756" spans="1:21">
      <c r="A756" t="s">
        <v>788</v>
      </c>
      <c r="B756" s="8">
        <v>9003</v>
      </c>
      <c r="C756" s="23">
        <v>7.2279999999999997E-2</v>
      </c>
      <c r="D756" s="19" t="s">
        <v>15</v>
      </c>
      <c r="E756" s="21">
        <v>60.02</v>
      </c>
      <c r="F756" s="21">
        <v>6.234</v>
      </c>
      <c r="G756" s="23">
        <v>0</v>
      </c>
      <c r="H756" s="26">
        <v>0</v>
      </c>
      <c r="I756" s="19" t="s">
        <v>29</v>
      </c>
      <c r="J756" s="8">
        <v>43</v>
      </c>
      <c r="K756" s="19" t="s">
        <v>22</v>
      </c>
      <c r="L756" s="19" t="s">
        <v>19</v>
      </c>
      <c r="M756" s="8">
        <v>5</v>
      </c>
      <c r="N756" s="33">
        <f t="shared" si="88"/>
        <v>0</v>
      </c>
      <c r="O756" s="23">
        <f t="shared" si="89"/>
        <v>1.1594481873596406E-2</v>
      </c>
      <c r="P756" s="59">
        <f t="shared" si="90"/>
        <v>0.10386537820726424</v>
      </c>
      <c r="Q756" s="30">
        <f t="shared" si="91"/>
        <v>0</v>
      </c>
      <c r="R756" s="30">
        <f t="shared" si="92"/>
        <v>-1</v>
      </c>
      <c r="S756" s="12">
        <f t="shared" si="93"/>
        <v>0</v>
      </c>
      <c r="T756" s="30">
        <f t="shared" si="94"/>
        <v>0</v>
      </c>
      <c r="U756" s="9" t="str">
        <f t="shared" si="95"/>
        <v>35-44</v>
      </c>
    </row>
    <row r="757" spans="1:21">
      <c r="A757" t="s">
        <v>789</v>
      </c>
      <c r="B757" s="8">
        <v>2084</v>
      </c>
      <c r="C757" s="23">
        <v>0.19289000000000001</v>
      </c>
      <c r="D757" s="19" t="s">
        <v>28</v>
      </c>
      <c r="E757" s="21">
        <v>72.793000000000006</v>
      </c>
      <c r="F757" s="21">
        <v>1.5669999999999999</v>
      </c>
      <c r="G757" s="23">
        <v>0.10294</v>
      </c>
      <c r="H757" s="26">
        <v>1</v>
      </c>
      <c r="I757" s="19" t="s">
        <v>21</v>
      </c>
      <c r="J757" s="8">
        <v>21</v>
      </c>
      <c r="K757" s="19" t="s">
        <v>31</v>
      </c>
      <c r="L757" s="19" t="s">
        <v>45</v>
      </c>
      <c r="M757" s="8" t="s">
        <v>1065</v>
      </c>
      <c r="N757" s="33">
        <f t="shared" si="88"/>
        <v>0.63816209317166561</v>
      </c>
      <c r="O757" s="23">
        <f t="shared" si="89"/>
        <v>0.12309508615188258</v>
      </c>
      <c r="P757" s="59">
        <f t="shared" si="90"/>
        <v>2.1526795158875164E-2</v>
      </c>
      <c r="Q757" s="30">
        <f t="shared" si="91"/>
        <v>0.19289000000000001</v>
      </c>
      <c r="R757" s="30">
        <f t="shared" si="92"/>
        <v>-0.46632795894032869</v>
      </c>
      <c r="S757" s="12">
        <f t="shared" si="93"/>
        <v>0.53367204105967136</v>
      </c>
      <c r="T757" s="30">
        <f t="shared" si="94"/>
        <v>6.5692405871091264E-2</v>
      </c>
      <c r="U757" s="9" t="str">
        <f t="shared" si="95"/>
        <v>18-24</v>
      </c>
    </row>
    <row r="758" spans="1:21">
      <c r="A758" t="s">
        <v>790</v>
      </c>
      <c r="B758" s="8">
        <v>1518</v>
      </c>
      <c r="C758" s="23">
        <v>0.13716999999999999</v>
      </c>
      <c r="D758" s="19" t="s">
        <v>45</v>
      </c>
      <c r="E758" s="21">
        <v>85.441999999999993</v>
      </c>
      <c r="F758" s="21">
        <v>2.1560000000000001</v>
      </c>
      <c r="G758" s="23">
        <v>0</v>
      </c>
      <c r="H758" s="26">
        <v>0</v>
      </c>
      <c r="I758" s="19" t="s">
        <v>21</v>
      </c>
      <c r="J758" s="8">
        <v>55</v>
      </c>
      <c r="K758" s="19" t="s">
        <v>31</v>
      </c>
      <c r="L758" s="19" t="s">
        <v>45</v>
      </c>
      <c r="M758" s="8">
        <v>1</v>
      </c>
      <c r="N758" s="33">
        <f t="shared" si="88"/>
        <v>0</v>
      </c>
      <c r="O758" s="23">
        <f t="shared" si="89"/>
        <v>6.3622448979591822E-2</v>
      </c>
      <c r="P758" s="59">
        <f t="shared" si="90"/>
        <v>2.5233491725380964E-2</v>
      </c>
      <c r="Q758" s="30">
        <f t="shared" si="91"/>
        <v>0</v>
      </c>
      <c r="R758" s="30">
        <f t="shared" si="92"/>
        <v>-1</v>
      </c>
      <c r="S758" s="12">
        <f t="shared" si="93"/>
        <v>0</v>
      </c>
      <c r="T758" s="30">
        <f t="shared" si="94"/>
        <v>0</v>
      </c>
      <c r="U758" s="9" t="str">
        <f t="shared" si="95"/>
        <v>55+</v>
      </c>
    </row>
    <row r="759" spans="1:21">
      <c r="A759" t="s">
        <v>791</v>
      </c>
      <c r="B759" s="8">
        <v>1083</v>
      </c>
      <c r="C759" s="23">
        <v>8.1900000000000001E-2</v>
      </c>
      <c r="D759" s="19" t="s">
        <v>15</v>
      </c>
      <c r="E759" s="21">
        <v>96.543000000000006</v>
      </c>
      <c r="F759" s="21">
        <v>5.0839999999999996</v>
      </c>
      <c r="G759" s="23">
        <v>0.26402999999999999</v>
      </c>
      <c r="H759" s="26">
        <v>1</v>
      </c>
      <c r="I759" s="19" t="s">
        <v>29</v>
      </c>
      <c r="J759" s="8">
        <v>39</v>
      </c>
      <c r="K759" s="19" t="s">
        <v>31</v>
      </c>
      <c r="L759" s="19" t="s">
        <v>38</v>
      </c>
      <c r="M759" s="8">
        <v>4</v>
      </c>
      <c r="N759" s="33">
        <f t="shared" si="88"/>
        <v>0.19669551534225022</v>
      </c>
      <c r="O759" s="23">
        <f t="shared" si="89"/>
        <v>1.6109362706530291E-2</v>
      </c>
      <c r="P759" s="59">
        <f t="shared" si="90"/>
        <v>5.2660472535554101E-2</v>
      </c>
      <c r="Q759" s="30">
        <f t="shared" si="91"/>
        <v>8.1900000000000001E-2</v>
      </c>
      <c r="R759" s="30">
        <f t="shared" si="92"/>
        <v>2.2238095238095235</v>
      </c>
      <c r="S759" s="12">
        <f t="shared" si="93"/>
        <v>3.2238095238095235</v>
      </c>
      <c r="T759" s="30">
        <f t="shared" si="94"/>
        <v>5.1933516915814319E-2</v>
      </c>
      <c r="U759" s="9" t="str">
        <f t="shared" si="95"/>
        <v>35-44</v>
      </c>
    </row>
    <row r="760" spans="1:21">
      <c r="A760" t="s">
        <v>792</v>
      </c>
      <c r="B760" s="8">
        <v>6213</v>
      </c>
      <c r="C760" s="23">
        <v>2.171E-2</v>
      </c>
      <c r="D760" s="19" t="s">
        <v>32</v>
      </c>
      <c r="E760" s="21">
        <v>82.484999999999999</v>
      </c>
      <c r="F760" s="21">
        <v>1.3140000000000001</v>
      </c>
      <c r="G760" s="23">
        <v>0</v>
      </c>
      <c r="H760" s="26">
        <v>0</v>
      </c>
      <c r="I760" s="19" t="s">
        <v>21</v>
      </c>
      <c r="J760" s="8">
        <v>56</v>
      </c>
      <c r="K760" s="19" t="s">
        <v>18</v>
      </c>
      <c r="L760" s="19" t="s">
        <v>45</v>
      </c>
      <c r="M760" s="8">
        <v>2</v>
      </c>
      <c r="N760" s="33">
        <f t="shared" si="88"/>
        <v>0</v>
      </c>
      <c r="O760" s="23">
        <f t="shared" si="89"/>
        <v>1.65220700152207E-2</v>
      </c>
      <c r="P760" s="59">
        <f t="shared" si="90"/>
        <v>1.5930169121658483E-2</v>
      </c>
      <c r="Q760" s="30">
        <f t="shared" si="91"/>
        <v>0</v>
      </c>
      <c r="R760" s="30">
        <f t="shared" si="92"/>
        <v>-1</v>
      </c>
      <c r="S760" s="12">
        <f t="shared" si="93"/>
        <v>0</v>
      </c>
      <c r="T760" s="30">
        <f t="shared" si="94"/>
        <v>0</v>
      </c>
      <c r="U760" s="9" t="str">
        <f t="shared" si="95"/>
        <v>55+</v>
      </c>
    </row>
    <row r="761" spans="1:21">
      <c r="A761" t="s">
        <v>793</v>
      </c>
      <c r="B761" s="8">
        <v>4376</v>
      </c>
      <c r="C761" s="23">
        <v>0</v>
      </c>
      <c r="D761" s="19" t="s">
        <v>25</v>
      </c>
      <c r="E761" s="21">
        <v>14.122</v>
      </c>
      <c r="F761" s="21">
        <v>5.718</v>
      </c>
      <c r="G761" s="23">
        <v>0</v>
      </c>
      <c r="H761" s="26">
        <v>0</v>
      </c>
      <c r="I761" s="19" t="s">
        <v>17</v>
      </c>
      <c r="J761" s="8">
        <v>19</v>
      </c>
      <c r="K761" s="19" t="s">
        <v>18</v>
      </c>
      <c r="L761" s="19" t="s">
        <v>38</v>
      </c>
      <c r="M761" s="8">
        <v>4</v>
      </c>
      <c r="N761" s="33">
        <f t="shared" si="88"/>
        <v>0</v>
      </c>
      <c r="O761" s="23">
        <f t="shared" si="89"/>
        <v>0</v>
      </c>
      <c r="P761" s="59">
        <f t="shared" si="90"/>
        <v>0.40490015578529953</v>
      </c>
      <c r="Q761" s="30">
        <f t="shared" si="91"/>
        <v>0</v>
      </c>
      <c r="R761" s="30">
        <f t="shared" si="92"/>
        <v>0</v>
      </c>
      <c r="S761" s="12">
        <f t="shared" si="93"/>
        <v>0</v>
      </c>
      <c r="T761" s="30">
        <f t="shared" si="94"/>
        <v>0</v>
      </c>
      <c r="U761" s="9" t="str">
        <f t="shared" si="95"/>
        <v>18-24</v>
      </c>
    </row>
    <row r="762" spans="1:21">
      <c r="A762" t="s">
        <v>794</v>
      </c>
      <c r="B762" s="8">
        <v>9931</v>
      </c>
      <c r="C762" s="23">
        <v>2.9239999999999999E-2</v>
      </c>
      <c r="D762" s="19" t="s">
        <v>28</v>
      </c>
      <c r="E762" s="21">
        <v>44.651000000000003</v>
      </c>
      <c r="F762" s="21">
        <v>5.72</v>
      </c>
      <c r="G762" s="23">
        <v>6.7290000000000003E-2</v>
      </c>
      <c r="H762" s="26">
        <v>1</v>
      </c>
      <c r="I762" s="19" t="s">
        <v>17</v>
      </c>
      <c r="J762" s="8">
        <v>36</v>
      </c>
      <c r="K762" s="19" t="s">
        <v>18</v>
      </c>
      <c r="L762" s="19" t="s">
        <v>23</v>
      </c>
      <c r="M762" s="8">
        <v>1</v>
      </c>
      <c r="N762" s="33">
        <f t="shared" si="88"/>
        <v>0.17482517482517484</v>
      </c>
      <c r="O762" s="23">
        <f t="shared" si="89"/>
        <v>5.1118881118881118E-3</v>
      </c>
      <c r="P762" s="59">
        <f t="shared" si="90"/>
        <v>0.1281046337148104</v>
      </c>
      <c r="Q762" s="30">
        <f t="shared" si="91"/>
        <v>2.9239999999999999E-2</v>
      </c>
      <c r="R762" s="30">
        <f t="shared" si="92"/>
        <v>1.3012995896032833</v>
      </c>
      <c r="S762" s="12">
        <f t="shared" si="93"/>
        <v>2.3012995896032833</v>
      </c>
      <c r="T762" s="30">
        <f t="shared" si="94"/>
        <v>1.1763986013986014E-2</v>
      </c>
      <c r="U762" s="9" t="str">
        <f t="shared" si="95"/>
        <v>35-44</v>
      </c>
    </row>
    <row r="763" spans="1:21">
      <c r="A763" t="s">
        <v>795</v>
      </c>
      <c r="B763" s="8">
        <v>3949</v>
      </c>
      <c r="C763" s="23">
        <v>6.2260000000000003E-2</v>
      </c>
      <c r="D763" s="19" t="s">
        <v>15</v>
      </c>
      <c r="E763" s="21">
        <v>24.59</v>
      </c>
      <c r="F763" s="21">
        <v>0.52</v>
      </c>
      <c r="G763" s="23">
        <v>0</v>
      </c>
      <c r="H763" s="26">
        <v>0</v>
      </c>
      <c r="I763" s="19" t="s">
        <v>34</v>
      </c>
      <c r="J763" s="8">
        <v>55</v>
      </c>
      <c r="K763" s="19" t="s">
        <v>31</v>
      </c>
      <c r="L763" s="19" t="s">
        <v>23</v>
      </c>
      <c r="M763" s="8">
        <v>4</v>
      </c>
      <c r="N763" s="33">
        <f t="shared" si="88"/>
        <v>0</v>
      </c>
      <c r="O763" s="23">
        <f t="shared" si="89"/>
        <v>0.11973076923076924</v>
      </c>
      <c r="P763" s="59">
        <f t="shared" si="90"/>
        <v>2.1146807645384305E-2</v>
      </c>
      <c r="Q763" s="30">
        <f t="shared" si="91"/>
        <v>0</v>
      </c>
      <c r="R763" s="30">
        <f t="shared" si="92"/>
        <v>-1</v>
      </c>
      <c r="S763" s="12">
        <f t="shared" si="93"/>
        <v>0</v>
      </c>
      <c r="T763" s="30">
        <f t="shared" si="94"/>
        <v>0</v>
      </c>
      <c r="U763" s="9" t="str">
        <f t="shared" si="95"/>
        <v>55+</v>
      </c>
    </row>
    <row r="764" spans="1:21">
      <c r="A764" t="s">
        <v>796</v>
      </c>
      <c r="B764" s="8">
        <v>5892</v>
      </c>
      <c r="C764" s="23">
        <v>0.14066999999999999</v>
      </c>
      <c r="D764" s="19" t="s">
        <v>28</v>
      </c>
      <c r="E764" s="21">
        <v>65.486000000000004</v>
      </c>
      <c r="F764" s="21">
        <v>4.3129999999999997</v>
      </c>
      <c r="G764" s="23">
        <v>0</v>
      </c>
      <c r="H764" s="26">
        <v>0</v>
      </c>
      <c r="I764" s="19" t="s">
        <v>34</v>
      </c>
      <c r="J764" s="8">
        <v>32</v>
      </c>
      <c r="K764" s="19" t="s">
        <v>37</v>
      </c>
      <c r="L764" s="19" t="s">
        <v>23</v>
      </c>
      <c r="M764" s="8">
        <v>3</v>
      </c>
      <c r="N764" s="33">
        <f t="shared" si="88"/>
        <v>0</v>
      </c>
      <c r="O764" s="23">
        <f t="shared" si="89"/>
        <v>3.2615348945049846E-2</v>
      </c>
      <c r="P764" s="59">
        <f t="shared" si="90"/>
        <v>6.5861405491250025E-2</v>
      </c>
      <c r="Q764" s="30">
        <f t="shared" si="91"/>
        <v>0</v>
      </c>
      <c r="R764" s="30">
        <f t="shared" si="92"/>
        <v>-1</v>
      </c>
      <c r="S764" s="12">
        <f t="shared" si="93"/>
        <v>0</v>
      </c>
      <c r="T764" s="30">
        <f t="shared" si="94"/>
        <v>0</v>
      </c>
      <c r="U764" s="9" t="str">
        <f t="shared" si="95"/>
        <v>25-34</v>
      </c>
    </row>
    <row r="765" spans="1:21">
      <c r="A765" t="s">
        <v>797</v>
      </c>
      <c r="B765" s="8">
        <v>7918</v>
      </c>
      <c r="C765" s="23">
        <v>0</v>
      </c>
      <c r="D765" s="19" t="s">
        <v>15</v>
      </c>
      <c r="E765" s="21">
        <v>41.212000000000003</v>
      </c>
      <c r="F765" s="21">
        <v>6.2169999999999996</v>
      </c>
      <c r="G765" s="23">
        <v>0</v>
      </c>
      <c r="H765" s="26">
        <v>0</v>
      </c>
      <c r="I765" s="19" t="s">
        <v>34</v>
      </c>
      <c r="J765" s="8">
        <v>51</v>
      </c>
      <c r="K765" s="19" t="s">
        <v>18</v>
      </c>
      <c r="L765" s="19" t="s">
        <v>45</v>
      </c>
      <c r="M765" s="8">
        <v>3</v>
      </c>
      <c r="N765" s="33">
        <f t="shared" si="88"/>
        <v>0</v>
      </c>
      <c r="O765" s="23">
        <f t="shared" si="89"/>
        <v>0</v>
      </c>
      <c r="P765" s="59">
        <f t="shared" si="90"/>
        <v>0.15085412015917693</v>
      </c>
      <c r="Q765" s="30">
        <f t="shared" si="91"/>
        <v>0</v>
      </c>
      <c r="R765" s="30">
        <f t="shared" si="92"/>
        <v>0</v>
      </c>
      <c r="S765" s="12">
        <f t="shared" si="93"/>
        <v>0</v>
      </c>
      <c r="T765" s="30">
        <f t="shared" si="94"/>
        <v>0</v>
      </c>
      <c r="U765" s="9" t="str">
        <f t="shared" si="95"/>
        <v>45-54</v>
      </c>
    </row>
    <row r="766" spans="1:21">
      <c r="A766" t="s">
        <v>798</v>
      </c>
      <c r="B766" s="8">
        <v>5744</v>
      </c>
      <c r="C766" s="23">
        <v>7.1330000000000005E-2</v>
      </c>
      <c r="D766" s="19" t="s">
        <v>15</v>
      </c>
      <c r="E766" s="21">
        <v>59.052999999999997</v>
      </c>
      <c r="F766" s="21">
        <v>9.0830000000000002</v>
      </c>
      <c r="G766" s="23">
        <v>0.39977000000000001</v>
      </c>
      <c r="H766" s="26">
        <v>1</v>
      </c>
      <c r="I766" s="19" t="s">
        <v>34</v>
      </c>
      <c r="J766" s="8">
        <v>40</v>
      </c>
      <c r="K766" s="19" t="s">
        <v>31</v>
      </c>
      <c r="L766" s="19" t="s">
        <v>32</v>
      </c>
      <c r="M766" s="8">
        <v>2</v>
      </c>
      <c r="N766" s="33">
        <f t="shared" si="88"/>
        <v>0.1100957833314984</v>
      </c>
      <c r="O766" s="23">
        <f t="shared" si="89"/>
        <v>7.8531322250357822E-3</v>
      </c>
      <c r="P766" s="59">
        <f t="shared" si="90"/>
        <v>0.15381098335393631</v>
      </c>
      <c r="Q766" s="30">
        <f t="shared" si="91"/>
        <v>7.1330000000000005E-2</v>
      </c>
      <c r="R766" s="30">
        <f t="shared" si="92"/>
        <v>4.6045142296368988</v>
      </c>
      <c r="S766" s="12">
        <f t="shared" si="93"/>
        <v>5.6045142296368988</v>
      </c>
      <c r="T766" s="30">
        <f t="shared" si="94"/>
        <v>4.4012991302433115E-2</v>
      </c>
      <c r="U766" s="9" t="str">
        <f t="shared" si="95"/>
        <v>35-44</v>
      </c>
    </row>
    <row r="767" spans="1:21">
      <c r="A767" t="s">
        <v>799</v>
      </c>
      <c r="B767" s="8">
        <v>5125</v>
      </c>
      <c r="C767" s="23">
        <v>9.5710000000000003E-2</v>
      </c>
      <c r="D767" s="19" t="s">
        <v>15</v>
      </c>
      <c r="E767" s="21">
        <v>22.905999999999999</v>
      </c>
      <c r="F767" s="21">
        <v>2.0470000000000002</v>
      </c>
      <c r="G767" s="23">
        <v>0</v>
      </c>
      <c r="H767" s="26">
        <v>0</v>
      </c>
      <c r="I767" s="19" t="s">
        <v>21</v>
      </c>
      <c r="J767" s="8">
        <v>52</v>
      </c>
      <c r="K767" s="19" t="s">
        <v>31</v>
      </c>
      <c r="L767" s="19" t="s">
        <v>23</v>
      </c>
      <c r="M767" s="8">
        <v>2</v>
      </c>
      <c r="N767" s="33">
        <f t="shared" si="88"/>
        <v>0</v>
      </c>
      <c r="O767" s="23">
        <f t="shared" si="89"/>
        <v>4.6756228627259401E-2</v>
      </c>
      <c r="P767" s="59">
        <f t="shared" si="90"/>
        <v>8.9365231816991186E-2</v>
      </c>
      <c r="Q767" s="30">
        <f t="shared" si="91"/>
        <v>0</v>
      </c>
      <c r="R767" s="30">
        <f t="shared" si="92"/>
        <v>-1</v>
      </c>
      <c r="S767" s="12">
        <f t="shared" si="93"/>
        <v>0</v>
      </c>
      <c r="T767" s="30">
        <f t="shared" si="94"/>
        <v>0</v>
      </c>
      <c r="U767" s="9" t="str">
        <f t="shared" si="95"/>
        <v>45-54</v>
      </c>
    </row>
    <row r="768" spans="1:21">
      <c r="A768" t="s">
        <v>800</v>
      </c>
      <c r="B768" s="8">
        <v>1925</v>
      </c>
      <c r="C768" s="23">
        <v>0</v>
      </c>
      <c r="D768" s="19" t="s">
        <v>28</v>
      </c>
      <c r="E768" s="21">
        <v>16.454000000000001</v>
      </c>
      <c r="F768" s="21">
        <v>0.96499999999999997</v>
      </c>
      <c r="G768" s="23">
        <v>6.4829999999999999E-2</v>
      </c>
      <c r="H768" s="26">
        <v>1</v>
      </c>
      <c r="I768" s="19" t="s">
        <v>1067</v>
      </c>
      <c r="J768" s="8">
        <v>55</v>
      </c>
      <c r="K768" s="19" t="s">
        <v>31</v>
      </c>
      <c r="L768" s="19" t="s">
        <v>45</v>
      </c>
      <c r="M768" s="8">
        <v>1</v>
      </c>
      <c r="N768" s="33">
        <f t="shared" si="88"/>
        <v>1.0362694300518136</v>
      </c>
      <c r="O768" s="23">
        <f t="shared" si="89"/>
        <v>0</v>
      </c>
      <c r="P768" s="59">
        <f t="shared" si="90"/>
        <v>5.8648352984076814E-2</v>
      </c>
      <c r="Q768" s="30">
        <f t="shared" si="91"/>
        <v>0</v>
      </c>
      <c r="R768" s="30">
        <f t="shared" si="92"/>
        <v>0</v>
      </c>
      <c r="S768" s="12" t="e">
        <f t="shared" si="93"/>
        <v>#DIV/0!</v>
      </c>
      <c r="T768" s="30">
        <f t="shared" si="94"/>
        <v>6.7181347150259071E-2</v>
      </c>
      <c r="U768" s="9" t="str">
        <f t="shared" si="95"/>
        <v>55+</v>
      </c>
    </row>
    <row r="769" spans="1:21">
      <c r="A769" t="s">
        <v>801</v>
      </c>
      <c r="B769" s="8">
        <v>6107</v>
      </c>
      <c r="C769" s="23">
        <v>1.653E-2</v>
      </c>
      <c r="D769" s="19" t="s">
        <v>32</v>
      </c>
      <c r="E769" s="21">
        <v>3.9550000000000001</v>
      </c>
      <c r="F769" s="21">
        <v>2.6320000000000001</v>
      </c>
      <c r="G769" s="23">
        <v>0</v>
      </c>
      <c r="H769" s="26">
        <v>0</v>
      </c>
      <c r="I769" s="19" t="s">
        <v>26</v>
      </c>
      <c r="J769" s="8">
        <v>38</v>
      </c>
      <c r="K769" s="19" t="s">
        <v>22</v>
      </c>
      <c r="L769" s="19" t="s">
        <v>32</v>
      </c>
      <c r="M769" s="8">
        <v>4</v>
      </c>
      <c r="N769" s="33">
        <f t="shared" si="88"/>
        <v>0</v>
      </c>
      <c r="O769" s="23">
        <f t="shared" si="89"/>
        <v>6.2803951367781151E-3</v>
      </c>
      <c r="P769" s="59">
        <f t="shared" si="90"/>
        <v>0.6654867256637168</v>
      </c>
      <c r="Q769" s="30">
        <f t="shared" si="91"/>
        <v>0</v>
      </c>
      <c r="R769" s="30">
        <f t="shared" si="92"/>
        <v>-1</v>
      </c>
      <c r="S769" s="12">
        <f t="shared" si="93"/>
        <v>0</v>
      </c>
      <c r="T769" s="30">
        <f t="shared" si="94"/>
        <v>0</v>
      </c>
      <c r="U769" s="9" t="str">
        <f t="shared" si="95"/>
        <v>35-44</v>
      </c>
    </row>
    <row r="770" spans="1:21">
      <c r="A770" t="s">
        <v>802</v>
      </c>
      <c r="B770" s="8">
        <v>7054</v>
      </c>
      <c r="C770" s="23">
        <v>0</v>
      </c>
      <c r="D770" s="19" t="s">
        <v>25</v>
      </c>
      <c r="E770" s="21">
        <v>13.747</v>
      </c>
      <c r="F770" s="21">
        <v>2.528</v>
      </c>
      <c r="G770" s="23">
        <v>0</v>
      </c>
      <c r="H770" s="26">
        <v>0</v>
      </c>
      <c r="I770" s="19" t="s">
        <v>1067</v>
      </c>
      <c r="J770" s="8">
        <v>26</v>
      </c>
      <c r="K770" s="19" t="s">
        <v>18</v>
      </c>
      <c r="L770" s="19" t="s">
        <v>45</v>
      </c>
      <c r="M770" s="8">
        <v>5</v>
      </c>
      <c r="N770" s="33">
        <f t="shared" ref="N770:N833" si="96">IF(F770=0,0,H770/F770)</f>
        <v>0</v>
      </c>
      <c r="O770" s="23">
        <f t="shared" ref="O770:O833" si="97">IF(F770=0,0,C770/F770)</f>
        <v>0</v>
      </c>
      <c r="P770" s="59">
        <f t="shared" ref="P770:P833" si="98">IF(E770=0,0,F770/E770)</f>
        <v>0.18389466792754783</v>
      </c>
      <c r="Q770" s="30">
        <f t="shared" ref="Q770:Q833" si="99">IF(H770=0,0,C770/H770)</f>
        <v>0</v>
      </c>
      <c r="R770" s="30">
        <f t="shared" ref="R770:R833" si="100">IF(C770=0,0,(G770-C770)/C770)</f>
        <v>0</v>
      </c>
      <c r="S770" s="12">
        <f t="shared" ref="S770:S833" si="101">IF(G770=0,0,G770/C770)</f>
        <v>0</v>
      </c>
      <c r="T770" s="30">
        <f t="shared" ref="T770:T833" si="102">IF(F770=0,0,G770/F770)</f>
        <v>0</v>
      </c>
      <c r="U770" s="9" t="str">
        <f t="shared" si="95"/>
        <v>25-34</v>
      </c>
    </row>
    <row r="771" spans="1:21">
      <c r="A771" t="s">
        <v>803</v>
      </c>
      <c r="B771" s="8">
        <v>9068</v>
      </c>
      <c r="C771" s="23">
        <v>0.12391000000000001</v>
      </c>
      <c r="D771" s="19" t="s">
        <v>25</v>
      </c>
      <c r="E771" s="21">
        <v>65.817999999999998</v>
      </c>
      <c r="F771" s="21">
        <v>9.5619999999999994</v>
      </c>
      <c r="G771" s="23">
        <v>0</v>
      </c>
      <c r="H771" s="26">
        <v>0</v>
      </c>
      <c r="I771" s="19" t="s">
        <v>34</v>
      </c>
      <c r="J771" s="8">
        <v>64</v>
      </c>
      <c r="K771" s="19" t="s">
        <v>22</v>
      </c>
      <c r="L771" s="19" t="s">
        <v>23</v>
      </c>
      <c r="M771" s="8">
        <v>1</v>
      </c>
      <c r="N771" s="33">
        <f t="shared" si="96"/>
        <v>0</v>
      </c>
      <c r="O771" s="23">
        <f t="shared" si="97"/>
        <v>1.2958586069859864E-2</v>
      </c>
      <c r="P771" s="59">
        <f t="shared" si="98"/>
        <v>0.14527940684919019</v>
      </c>
      <c r="Q771" s="30">
        <f t="shared" si="99"/>
        <v>0</v>
      </c>
      <c r="R771" s="30">
        <f t="shared" si="100"/>
        <v>-1</v>
      </c>
      <c r="S771" s="12">
        <f t="shared" si="101"/>
        <v>0</v>
      </c>
      <c r="T771" s="30">
        <f t="shared" si="102"/>
        <v>0</v>
      </c>
      <c r="U771" s="9" t="str">
        <f t="shared" ref="U771:U834" si="103">IF(J771&lt;25,"18-24",IF(J771&lt;35,"25-34",IF(J771&lt;45,"35-44",IF(J771&lt;55,"45-54","55+"))))</f>
        <v>55+</v>
      </c>
    </row>
    <row r="772" spans="1:21">
      <c r="A772" t="s">
        <v>804</v>
      </c>
      <c r="B772" s="8">
        <v>6581</v>
      </c>
      <c r="C772" s="23">
        <v>0.14038</v>
      </c>
      <c r="D772" s="19" t="s">
        <v>32</v>
      </c>
      <c r="E772" s="21">
        <v>39.869</v>
      </c>
      <c r="F772" s="21">
        <v>2.8980000000000001</v>
      </c>
      <c r="G772" s="23">
        <v>0</v>
      </c>
      <c r="H772" s="26">
        <v>0</v>
      </c>
      <c r="I772" s="19" t="s">
        <v>21</v>
      </c>
      <c r="J772" s="8">
        <v>19</v>
      </c>
      <c r="K772" s="19" t="s">
        <v>37</v>
      </c>
      <c r="L772" s="19" t="s">
        <v>38</v>
      </c>
      <c r="M772" s="8">
        <v>3</v>
      </c>
      <c r="N772" s="33">
        <f t="shared" si="96"/>
        <v>0</v>
      </c>
      <c r="O772" s="23">
        <f t="shared" si="97"/>
        <v>4.8440303657694958E-2</v>
      </c>
      <c r="P772" s="59">
        <f t="shared" si="98"/>
        <v>7.2688053374802483E-2</v>
      </c>
      <c r="Q772" s="30">
        <f t="shared" si="99"/>
        <v>0</v>
      </c>
      <c r="R772" s="30">
        <f t="shared" si="100"/>
        <v>-1</v>
      </c>
      <c r="S772" s="12">
        <f t="shared" si="101"/>
        <v>0</v>
      </c>
      <c r="T772" s="30">
        <f t="shared" si="102"/>
        <v>0</v>
      </c>
      <c r="U772" s="9" t="str">
        <f t="shared" si="103"/>
        <v>18-24</v>
      </c>
    </row>
    <row r="773" spans="1:21">
      <c r="A773" t="s">
        <v>805</v>
      </c>
      <c r="B773" s="8">
        <v>1764</v>
      </c>
      <c r="C773" s="23">
        <v>5.5079999999999997E-2</v>
      </c>
      <c r="D773" s="19" t="s">
        <v>32</v>
      </c>
      <c r="E773" s="21">
        <v>53.918999999999997</v>
      </c>
      <c r="F773" s="21">
        <v>8.1959999999999997</v>
      </c>
      <c r="G773" s="23">
        <v>0</v>
      </c>
      <c r="H773" s="26">
        <v>0</v>
      </c>
      <c r="I773" s="19" t="s">
        <v>21</v>
      </c>
      <c r="J773" s="8">
        <v>22</v>
      </c>
      <c r="K773" s="19" t="s">
        <v>18</v>
      </c>
      <c r="L773" s="19" t="s">
        <v>45</v>
      </c>
      <c r="M773" s="8">
        <v>2</v>
      </c>
      <c r="N773" s="33">
        <f t="shared" si="96"/>
        <v>0</v>
      </c>
      <c r="O773" s="23">
        <f t="shared" si="97"/>
        <v>6.7203513909224006E-3</v>
      </c>
      <c r="P773" s="59">
        <f t="shared" si="98"/>
        <v>0.15200578645746399</v>
      </c>
      <c r="Q773" s="30">
        <f t="shared" si="99"/>
        <v>0</v>
      </c>
      <c r="R773" s="30">
        <f t="shared" si="100"/>
        <v>-1</v>
      </c>
      <c r="S773" s="12">
        <f t="shared" si="101"/>
        <v>0</v>
      </c>
      <c r="T773" s="30">
        <f t="shared" si="102"/>
        <v>0</v>
      </c>
      <c r="U773" s="9" t="str">
        <f t="shared" si="103"/>
        <v>18-24</v>
      </c>
    </row>
    <row r="774" spans="1:21">
      <c r="A774" t="s">
        <v>806</v>
      </c>
      <c r="B774" s="8">
        <v>3533</v>
      </c>
      <c r="C774" s="23">
        <v>0</v>
      </c>
      <c r="D774" s="19" t="s">
        <v>40</v>
      </c>
      <c r="E774" s="21">
        <v>83.456000000000003</v>
      </c>
      <c r="F774" s="21">
        <v>1.6779999999999999</v>
      </c>
      <c r="G774" s="23">
        <v>0</v>
      </c>
      <c r="H774" s="26">
        <v>1</v>
      </c>
      <c r="I774" s="19" t="s">
        <v>17</v>
      </c>
      <c r="J774" s="8">
        <v>27</v>
      </c>
      <c r="K774" s="19" t="s">
        <v>18</v>
      </c>
      <c r="L774" s="19" t="s">
        <v>23</v>
      </c>
      <c r="M774" s="8">
        <v>3</v>
      </c>
      <c r="N774" s="33">
        <f t="shared" si="96"/>
        <v>0.59594755661501786</v>
      </c>
      <c r="O774" s="23">
        <f t="shared" si="97"/>
        <v>0</v>
      </c>
      <c r="P774" s="59">
        <f t="shared" si="98"/>
        <v>2.0106403374233129E-2</v>
      </c>
      <c r="Q774" s="30">
        <f t="shared" si="99"/>
        <v>0</v>
      </c>
      <c r="R774" s="30">
        <f t="shared" si="100"/>
        <v>0</v>
      </c>
      <c r="S774" s="12">
        <f t="shared" si="101"/>
        <v>0</v>
      </c>
      <c r="T774" s="30">
        <f t="shared" si="102"/>
        <v>0</v>
      </c>
      <c r="U774" s="9" t="str">
        <f t="shared" si="103"/>
        <v>25-34</v>
      </c>
    </row>
    <row r="775" spans="1:21">
      <c r="A775" t="s">
        <v>807</v>
      </c>
      <c r="B775" s="8">
        <v>6827</v>
      </c>
      <c r="C775" s="23">
        <v>0.13866999999999999</v>
      </c>
      <c r="D775" s="19" t="s">
        <v>15</v>
      </c>
      <c r="E775" s="21">
        <v>80.769000000000005</v>
      </c>
      <c r="F775" s="21">
        <v>0</v>
      </c>
      <c r="G775" s="23">
        <v>0</v>
      </c>
      <c r="H775" s="26">
        <v>0</v>
      </c>
      <c r="I775" s="19" t="s">
        <v>26</v>
      </c>
      <c r="J775" s="8">
        <v>49</v>
      </c>
      <c r="K775" s="19" t="s">
        <v>22</v>
      </c>
      <c r="L775" s="19" t="s">
        <v>45</v>
      </c>
      <c r="M775" s="8">
        <v>4</v>
      </c>
      <c r="N775" s="33">
        <f t="shared" si="96"/>
        <v>0</v>
      </c>
      <c r="O775" s="23">
        <f t="shared" si="97"/>
        <v>0</v>
      </c>
      <c r="P775" s="59">
        <f t="shared" si="98"/>
        <v>0</v>
      </c>
      <c r="Q775" s="30">
        <f t="shared" si="99"/>
        <v>0</v>
      </c>
      <c r="R775" s="30">
        <f t="shared" si="100"/>
        <v>-1</v>
      </c>
      <c r="S775" s="12">
        <f t="shared" si="101"/>
        <v>0</v>
      </c>
      <c r="T775" s="30">
        <f t="shared" si="102"/>
        <v>0</v>
      </c>
      <c r="U775" s="9" t="str">
        <f t="shared" si="103"/>
        <v>45-54</v>
      </c>
    </row>
    <row r="776" spans="1:21">
      <c r="A776" t="s">
        <v>808</v>
      </c>
      <c r="B776" s="8">
        <v>9083</v>
      </c>
      <c r="C776" s="23">
        <v>0.18983</v>
      </c>
      <c r="D776" s="19" t="s">
        <v>28</v>
      </c>
      <c r="E776" s="21">
        <v>90.731999999999999</v>
      </c>
      <c r="F776" s="21">
        <v>4.0670000000000002</v>
      </c>
      <c r="G776" s="23">
        <v>0</v>
      </c>
      <c r="H776" s="26">
        <v>0</v>
      </c>
      <c r="I776" s="19" t="s">
        <v>34</v>
      </c>
      <c r="J776" s="8">
        <v>38</v>
      </c>
      <c r="K776" s="19" t="s">
        <v>31</v>
      </c>
      <c r="L776" s="19" t="s">
        <v>23</v>
      </c>
      <c r="M776" s="8">
        <v>2</v>
      </c>
      <c r="N776" s="33">
        <f t="shared" si="96"/>
        <v>0</v>
      </c>
      <c r="O776" s="23">
        <f t="shared" si="97"/>
        <v>4.6675682321121216E-2</v>
      </c>
      <c r="P776" s="59">
        <f t="shared" si="98"/>
        <v>4.4824317771017946E-2</v>
      </c>
      <c r="Q776" s="30">
        <f t="shared" si="99"/>
        <v>0</v>
      </c>
      <c r="R776" s="30">
        <f t="shared" si="100"/>
        <v>-1</v>
      </c>
      <c r="S776" s="12">
        <f t="shared" si="101"/>
        <v>0</v>
      </c>
      <c r="T776" s="30">
        <f t="shared" si="102"/>
        <v>0</v>
      </c>
      <c r="U776" s="9" t="str">
        <f t="shared" si="103"/>
        <v>35-44</v>
      </c>
    </row>
    <row r="777" spans="1:21">
      <c r="A777" t="s">
        <v>809</v>
      </c>
      <c r="B777" s="8">
        <v>7516</v>
      </c>
      <c r="C777" s="23">
        <v>0</v>
      </c>
      <c r="D777" s="19" t="s">
        <v>32</v>
      </c>
      <c r="E777" s="21">
        <v>20.373999999999999</v>
      </c>
      <c r="F777" s="21">
        <v>3.3069999999999999</v>
      </c>
      <c r="G777" s="23">
        <v>0</v>
      </c>
      <c r="H777" s="26">
        <v>0</v>
      </c>
      <c r="I777" s="19" t="s">
        <v>29</v>
      </c>
      <c r="J777" s="8">
        <v>29</v>
      </c>
      <c r="K777" s="19" t="s">
        <v>18</v>
      </c>
      <c r="L777" s="19" t="s">
        <v>32</v>
      </c>
      <c r="M777" s="8">
        <v>1</v>
      </c>
      <c r="N777" s="33">
        <f t="shared" si="96"/>
        <v>0</v>
      </c>
      <c r="O777" s="23">
        <f t="shared" si="97"/>
        <v>0</v>
      </c>
      <c r="P777" s="59">
        <f t="shared" si="98"/>
        <v>0.16231471483262983</v>
      </c>
      <c r="Q777" s="30">
        <f t="shared" si="99"/>
        <v>0</v>
      </c>
      <c r="R777" s="30">
        <f t="shared" si="100"/>
        <v>0</v>
      </c>
      <c r="S777" s="12">
        <f t="shared" si="101"/>
        <v>0</v>
      </c>
      <c r="T777" s="30">
        <f t="shared" si="102"/>
        <v>0</v>
      </c>
      <c r="U777" s="9" t="str">
        <f t="shared" si="103"/>
        <v>25-34</v>
      </c>
    </row>
    <row r="778" spans="1:21">
      <c r="A778" t="s">
        <v>810</v>
      </c>
      <c r="B778" s="8">
        <v>8980</v>
      </c>
      <c r="C778" s="23">
        <v>0.11405</v>
      </c>
      <c r="D778" s="19" t="s">
        <v>25</v>
      </c>
      <c r="E778" s="21">
        <v>64.853999999999999</v>
      </c>
      <c r="F778" s="21">
        <v>6.8819999999999997</v>
      </c>
      <c r="G778" s="23">
        <v>0</v>
      </c>
      <c r="H778" s="26">
        <v>0</v>
      </c>
      <c r="I778" s="19" t="s">
        <v>26</v>
      </c>
      <c r="J778" s="8">
        <v>34</v>
      </c>
      <c r="K778" s="19" t="s">
        <v>31</v>
      </c>
      <c r="L778" s="19" t="s">
        <v>19</v>
      </c>
      <c r="M778" s="8">
        <v>5</v>
      </c>
      <c r="N778" s="33">
        <f t="shared" si="96"/>
        <v>0</v>
      </c>
      <c r="O778" s="23">
        <f t="shared" si="97"/>
        <v>1.6572217378668992E-2</v>
      </c>
      <c r="P778" s="59">
        <f t="shared" si="98"/>
        <v>0.10611527430844667</v>
      </c>
      <c r="Q778" s="30">
        <f t="shared" si="99"/>
        <v>0</v>
      </c>
      <c r="R778" s="30">
        <f t="shared" si="100"/>
        <v>-1</v>
      </c>
      <c r="S778" s="12">
        <f t="shared" si="101"/>
        <v>0</v>
      </c>
      <c r="T778" s="30">
        <f t="shared" si="102"/>
        <v>0</v>
      </c>
      <c r="U778" s="9" t="str">
        <f t="shared" si="103"/>
        <v>25-34</v>
      </c>
    </row>
    <row r="779" spans="1:21">
      <c r="A779" t="s">
        <v>811</v>
      </c>
      <c r="B779" s="8">
        <v>2837</v>
      </c>
      <c r="C779" s="23">
        <v>0.17987</v>
      </c>
      <c r="D779" s="19" t="s">
        <v>25</v>
      </c>
      <c r="E779" s="21">
        <v>87.203999999999994</v>
      </c>
      <c r="F779" s="21">
        <v>6.6120000000000001</v>
      </c>
      <c r="G779" s="23">
        <v>0</v>
      </c>
      <c r="H779" s="26">
        <v>0</v>
      </c>
      <c r="I779" s="19" t="s">
        <v>34</v>
      </c>
      <c r="J779" s="8">
        <v>33</v>
      </c>
      <c r="K779" s="19" t="s">
        <v>22</v>
      </c>
      <c r="L779" s="19" t="s">
        <v>23</v>
      </c>
      <c r="M779" s="8">
        <v>2</v>
      </c>
      <c r="N779" s="33">
        <f t="shared" si="96"/>
        <v>0</v>
      </c>
      <c r="O779" s="23">
        <f t="shared" si="97"/>
        <v>2.7203569267997579E-2</v>
      </c>
      <c r="P779" s="59">
        <f t="shared" si="98"/>
        <v>7.5822209990367415E-2</v>
      </c>
      <c r="Q779" s="30">
        <f t="shared" si="99"/>
        <v>0</v>
      </c>
      <c r="R779" s="30">
        <f t="shared" si="100"/>
        <v>-1</v>
      </c>
      <c r="S779" s="12">
        <f t="shared" si="101"/>
        <v>0</v>
      </c>
      <c r="T779" s="30">
        <f t="shared" si="102"/>
        <v>0</v>
      </c>
      <c r="U779" s="9" t="str">
        <f t="shared" si="103"/>
        <v>25-34</v>
      </c>
    </row>
    <row r="780" spans="1:21">
      <c r="A780" t="s">
        <v>812</v>
      </c>
      <c r="B780" s="8">
        <v>6636</v>
      </c>
      <c r="C780" s="23">
        <v>6.3930000000000001E-2</v>
      </c>
      <c r="D780" s="19" t="s">
        <v>40</v>
      </c>
      <c r="E780" s="21">
        <v>5.202</v>
      </c>
      <c r="F780" s="21">
        <v>2.7629999999999999</v>
      </c>
      <c r="G780" s="23">
        <v>0</v>
      </c>
      <c r="H780" s="26">
        <v>1</v>
      </c>
      <c r="I780" s="19" t="s">
        <v>17</v>
      </c>
      <c r="J780" s="8">
        <v>41</v>
      </c>
      <c r="K780" s="19" t="s">
        <v>31</v>
      </c>
      <c r="L780" s="19" t="s">
        <v>38</v>
      </c>
      <c r="M780" s="8">
        <v>1</v>
      </c>
      <c r="N780" s="33">
        <f t="shared" si="96"/>
        <v>0.36192544335866811</v>
      </c>
      <c r="O780" s="23">
        <f t="shared" si="97"/>
        <v>2.3137893593919653E-2</v>
      </c>
      <c r="P780" s="59">
        <f t="shared" si="98"/>
        <v>0.53114186851211076</v>
      </c>
      <c r="Q780" s="30">
        <f t="shared" si="99"/>
        <v>6.3930000000000001E-2</v>
      </c>
      <c r="R780" s="30">
        <f t="shared" si="100"/>
        <v>-1</v>
      </c>
      <c r="S780" s="12">
        <f t="shared" si="101"/>
        <v>0</v>
      </c>
      <c r="T780" s="30">
        <f t="shared" si="102"/>
        <v>0</v>
      </c>
      <c r="U780" s="9" t="str">
        <f t="shared" si="103"/>
        <v>35-44</v>
      </c>
    </row>
    <row r="781" spans="1:21">
      <c r="A781" t="s">
        <v>813</v>
      </c>
      <c r="B781" s="8">
        <v>6217</v>
      </c>
      <c r="C781" s="23">
        <v>0.18773000000000001</v>
      </c>
      <c r="D781" s="19" t="s">
        <v>25</v>
      </c>
      <c r="E781" s="21">
        <v>24.202000000000002</v>
      </c>
      <c r="F781" s="21">
        <v>6.859</v>
      </c>
      <c r="G781" s="23">
        <v>0</v>
      </c>
      <c r="H781" s="26">
        <v>0</v>
      </c>
      <c r="I781" s="19" t="s">
        <v>21</v>
      </c>
      <c r="J781" s="8">
        <v>26</v>
      </c>
      <c r="K781" s="19" t="s">
        <v>22</v>
      </c>
      <c r="L781" s="19" t="s">
        <v>19</v>
      </c>
      <c r="M781" s="8">
        <v>4</v>
      </c>
      <c r="N781" s="33">
        <f t="shared" si="96"/>
        <v>0</v>
      </c>
      <c r="O781" s="23">
        <f t="shared" si="97"/>
        <v>2.7369878991106576E-2</v>
      </c>
      <c r="P781" s="59">
        <f t="shared" si="98"/>
        <v>0.28340633005536731</v>
      </c>
      <c r="Q781" s="30">
        <f t="shared" si="99"/>
        <v>0</v>
      </c>
      <c r="R781" s="30">
        <f t="shared" si="100"/>
        <v>-1</v>
      </c>
      <c r="S781" s="12">
        <f t="shared" si="101"/>
        <v>0</v>
      </c>
      <c r="T781" s="30">
        <f t="shared" si="102"/>
        <v>0</v>
      </c>
      <c r="U781" s="9" t="str">
        <f t="shared" si="103"/>
        <v>25-34</v>
      </c>
    </row>
    <row r="782" spans="1:21">
      <c r="A782" t="s">
        <v>814</v>
      </c>
      <c r="B782" s="8">
        <v>6178</v>
      </c>
      <c r="C782" s="23">
        <v>0.19313</v>
      </c>
      <c r="D782" s="19" t="s">
        <v>15</v>
      </c>
      <c r="E782" s="21">
        <v>34.536999999999999</v>
      </c>
      <c r="F782" s="21">
        <v>4.3339999999999996</v>
      </c>
      <c r="G782" s="23">
        <v>0</v>
      </c>
      <c r="H782" s="26">
        <v>0</v>
      </c>
      <c r="I782" s="19" t="s">
        <v>34</v>
      </c>
      <c r="J782" s="8">
        <v>62</v>
      </c>
      <c r="K782" s="19" t="s">
        <v>22</v>
      </c>
      <c r="L782" s="19" t="s">
        <v>45</v>
      </c>
      <c r="M782" s="8">
        <v>2</v>
      </c>
      <c r="N782" s="33">
        <f t="shared" si="96"/>
        <v>0</v>
      </c>
      <c r="O782" s="23">
        <f t="shared" si="97"/>
        <v>4.4561605906783576E-2</v>
      </c>
      <c r="P782" s="59">
        <f t="shared" si="98"/>
        <v>0.12548860642209803</v>
      </c>
      <c r="Q782" s="30">
        <f t="shared" si="99"/>
        <v>0</v>
      </c>
      <c r="R782" s="30">
        <f t="shared" si="100"/>
        <v>-1</v>
      </c>
      <c r="S782" s="12">
        <f t="shared" si="101"/>
        <v>0</v>
      </c>
      <c r="T782" s="30">
        <f t="shared" si="102"/>
        <v>0</v>
      </c>
      <c r="U782" s="9" t="str">
        <f t="shared" si="103"/>
        <v>55+</v>
      </c>
    </row>
    <row r="783" spans="1:21">
      <c r="A783" t="s">
        <v>815</v>
      </c>
      <c r="B783" s="8">
        <v>7086</v>
      </c>
      <c r="C783" s="23">
        <v>5.6590000000000001E-2</v>
      </c>
      <c r="D783" s="19" t="s">
        <v>40</v>
      </c>
      <c r="E783" s="21">
        <v>15.442</v>
      </c>
      <c r="F783" s="21">
        <v>6.2859999999999996</v>
      </c>
      <c r="G783" s="23">
        <v>0</v>
      </c>
      <c r="H783" s="26">
        <v>0</v>
      </c>
      <c r="I783" s="19" t="s">
        <v>29</v>
      </c>
      <c r="J783" s="8">
        <v>56</v>
      </c>
      <c r="K783" s="19" t="s">
        <v>22</v>
      </c>
      <c r="L783" s="19" t="s">
        <v>32</v>
      </c>
      <c r="M783" s="8">
        <v>1</v>
      </c>
      <c r="N783" s="33">
        <f t="shared" si="96"/>
        <v>0</v>
      </c>
      <c r="O783" s="23">
        <f t="shared" si="97"/>
        <v>9.0025453388482349E-3</v>
      </c>
      <c r="P783" s="59">
        <f t="shared" si="98"/>
        <v>0.4070716228467815</v>
      </c>
      <c r="Q783" s="30">
        <f t="shared" si="99"/>
        <v>0</v>
      </c>
      <c r="R783" s="30">
        <f t="shared" si="100"/>
        <v>-1</v>
      </c>
      <c r="S783" s="12">
        <f t="shared" si="101"/>
        <v>0</v>
      </c>
      <c r="T783" s="30">
        <f t="shared" si="102"/>
        <v>0</v>
      </c>
      <c r="U783" s="9" t="str">
        <f t="shared" si="103"/>
        <v>55+</v>
      </c>
    </row>
    <row r="784" spans="1:21">
      <c r="A784" t="s">
        <v>816</v>
      </c>
      <c r="B784" s="8">
        <v>3618</v>
      </c>
      <c r="C784" s="23">
        <v>0.17607</v>
      </c>
      <c r="D784" s="19" t="s">
        <v>45</v>
      </c>
      <c r="E784" s="21">
        <v>73.23</v>
      </c>
      <c r="F784" s="21">
        <v>2.1269999999999998</v>
      </c>
      <c r="G784" s="23">
        <v>0</v>
      </c>
      <c r="H784" s="26">
        <v>0</v>
      </c>
      <c r="I784" s="19" t="s">
        <v>29</v>
      </c>
      <c r="J784" s="8">
        <v>34</v>
      </c>
      <c r="K784" s="19" t="s">
        <v>37</v>
      </c>
      <c r="L784" s="19" t="s">
        <v>45</v>
      </c>
      <c r="M784" s="8">
        <v>3</v>
      </c>
      <c r="N784" s="33">
        <f t="shared" si="96"/>
        <v>0</v>
      </c>
      <c r="O784" s="23">
        <f t="shared" si="97"/>
        <v>8.2778561354019758E-2</v>
      </c>
      <c r="P784" s="59">
        <f t="shared" si="98"/>
        <v>2.9045473166734941E-2</v>
      </c>
      <c r="Q784" s="30">
        <f t="shared" si="99"/>
        <v>0</v>
      </c>
      <c r="R784" s="30">
        <f t="shared" si="100"/>
        <v>-1</v>
      </c>
      <c r="S784" s="12">
        <f t="shared" si="101"/>
        <v>0</v>
      </c>
      <c r="T784" s="30">
        <f t="shared" si="102"/>
        <v>0</v>
      </c>
      <c r="U784" s="9" t="str">
        <f t="shared" si="103"/>
        <v>25-34</v>
      </c>
    </row>
    <row r="785" spans="1:21">
      <c r="A785" t="s">
        <v>817</v>
      </c>
      <c r="B785" s="8">
        <v>6477</v>
      </c>
      <c r="C785" s="23">
        <v>0.15326000000000001</v>
      </c>
      <c r="D785" s="19" t="s">
        <v>28</v>
      </c>
      <c r="E785" s="21">
        <v>46.683</v>
      </c>
      <c r="F785" s="21">
        <v>2.7280000000000002</v>
      </c>
      <c r="G785" s="23">
        <v>0</v>
      </c>
      <c r="H785" s="26">
        <v>0</v>
      </c>
      <c r="I785" s="19" t="s">
        <v>17</v>
      </c>
      <c r="J785" s="8">
        <v>60</v>
      </c>
      <c r="K785" s="19" t="s">
        <v>22</v>
      </c>
      <c r="L785" s="19" t="s">
        <v>19</v>
      </c>
      <c r="M785" s="8">
        <v>2</v>
      </c>
      <c r="N785" s="33">
        <f t="shared" si="96"/>
        <v>0</v>
      </c>
      <c r="O785" s="23">
        <f t="shared" si="97"/>
        <v>5.6180351906158353E-2</v>
      </c>
      <c r="P785" s="59">
        <f t="shared" si="98"/>
        <v>5.8436690015637387E-2</v>
      </c>
      <c r="Q785" s="30">
        <f t="shared" si="99"/>
        <v>0</v>
      </c>
      <c r="R785" s="30">
        <f t="shared" si="100"/>
        <v>-1</v>
      </c>
      <c r="S785" s="12">
        <f t="shared" si="101"/>
        <v>0</v>
      </c>
      <c r="T785" s="30">
        <f t="shared" si="102"/>
        <v>0</v>
      </c>
      <c r="U785" s="9" t="str">
        <f t="shared" si="103"/>
        <v>55+</v>
      </c>
    </row>
    <row r="786" spans="1:21">
      <c r="A786" t="s">
        <v>818</v>
      </c>
      <c r="B786" s="8">
        <v>5530</v>
      </c>
      <c r="C786" s="23">
        <v>0.15179000000000001</v>
      </c>
      <c r="D786" s="19" t="s">
        <v>25</v>
      </c>
      <c r="E786" s="21">
        <v>62.523000000000003</v>
      </c>
      <c r="F786" s="21">
        <v>4.6890000000000001</v>
      </c>
      <c r="G786" s="23">
        <v>0</v>
      </c>
      <c r="H786" s="26">
        <v>0</v>
      </c>
      <c r="I786" s="19" t="s">
        <v>17</v>
      </c>
      <c r="J786" s="8">
        <v>23</v>
      </c>
      <c r="K786" s="19" t="s">
        <v>18</v>
      </c>
      <c r="L786" s="19" t="s">
        <v>45</v>
      </c>
      <c r="M786" s="8">
        <v>2</v>
      </c>
      <c r="N786" s="33">
        <f t="shared" si="96"/>
        <v>0</v>
      </c>
      <c r="O786" s="23">
        <f t="shared" si="97"/>
        <v>3.2371507784175732E-2</v>
      </c>
      <c r="P786" s="59">
        <f t="shared" si="98"/>
        <v>7.499640132431265E-2</v>
      </c>
      <c r="Q786" s="30">
        <f t="shared" si="99"/>
        <v>0</v>
      </c>
      <c r="R786" s="30">
        <f t="shared" si="100"/>
        <v>-1</v>
      </c>
      <c r="S786" s="12">
        <f t="shared" si="101"/>
        <v>0</v>
      </c>
      <c r="T786" s="30">
        <f t="shared" si="102"/>
        <v>0</v>
      </c>
      <c r="U786" s="9" t="str">
        <f t="shared" si="103"/>
        <v>18-24</v>
      </c>
    </row>
    <row r="787" spans="1:21">
      <c r="A787" t="s">
        <v>819</v>
      </c>
      <c r="B787" s="8">
        <v>7275</v>
      </c>
      <c r="C787" s="23">
        <v>3.9849999999999997E-2</v>
      </c>
      <c r="D787" s="19" t="s">
        <v>32</v>
      </c>
      <c r="E787" s="21">
        <v>53.454999999999998</v>
      </c>
      <c r="F787" s="21">
        <v>8.2189999999999994</v>
      </c>
      <c r="G787" s="23">
        <v>0</v>
      </c>
      <c r="H787" s="26">
        <v>0</v>
      </c>
      <c r="I787" s="19" t="s">
        <v>17</v>
      </c>
      <c r="J787" s="8">
        <v>65</v>
      </c>
      <c r="K787" s="19" t="s">
        <v>31</v>
      </c>
      <c r="L787" s="19" t="s">
        <v>32</v>
      </c>
      <c r="M787" s="8">
        <v>3</v>
      </c>
      <c r="N787" s="33">
        <f t="shared" si="96"/>
        <v>0</v>
      </c>
      <c r="O787" s="23">
        <f t="shared" si="97"/>
        <v>4.848521717970556E-3</v>
      </c>
      <c r="P787" s="59">
        <f t="shared" si="98"/>
        <v>0.1537554952764007</v>
      </c>
      <c r="Q787" s="30">
        <f t="shared" si="99"/>
        <v>0</v>
      </c>
      <c r="R787" s="30">
        <f t="shared" si="100"/>
        <v>-1</v>
      </c>
      <c r="S787" s="12">
        <f t="shared" si="101"/>
        <v>0</v>
      </c>
      <c r="T787" s="30">
        <f t="shared" si="102"/>
        <v>0</v>
      </c>
      <c r="U787" s="9" t="str">
        <f t="shared" si="103"/>
        <v>55+</v>
      </c>
    </row>
    <row r="788" spans="1:21">
      <c r="A788" t="s">
        <v>820</v>
      </c>
      <c r="B788" s="8">
        <v>1088</v>
      </c>
      <c r="C788" s="23">
        <v>2.5260000000000001E-2</v>
      </c>
      <c r="D788" s="19" t="s">
        <v>28</v>
      </c>
      <c r="E788" s="21">
        <v>5.0140000000000002</v>
      </c>
      <c r="F788" s="21">
        <v>0.77</v>
      </c>
      <c r="G788" s="23">
        <v>0.36286000000000002</v>
      </c>
      <c r="H788" s="26">
        <v>1</v>
      </c>
      <c r="I788" s="19" t="s">
        <v>21</v>
      </c>
      <c r="J788" s="8">
        <v>46</v>
      </c>
      <c r="K788" s="19" t="s">
        <v>22</v>
      </c>
      <c r="L788" s="19" t="s">
        <v>45</v>
      </c>
      <c r="M788" s="8" t="s">
        <v>1065</v>
      </c>
      <c r="N788" s="33">
        <f t="shared" si="96"/>
        <v>1.2987012987012987</v>
      </c>
      <c r="O788" s="23">
        <f t="shared" si="97"/>
        <v>3.2805194805194809E-2</v>
      </c>
      <c r="P788" s="59">
        <f t="shared" si="98"/>
        <v>0.15357000398883128</v>
      </c>
      <c r="Q788" s="30">
        <f t="shared" si="99"/>
        <v>2.5260000000000001E-2</v>
      </c>
      <c r="R788" s="30">
        <f t="shared" si="100"/>
        <v>13.365003958828186</v>
      </c>
      <c r="S788" s="12">
        <f t="shared" si="101"/>
        <v>14.365003958828186</v>
      </c>
      <c r="T788" s="30">
        <f t="shared" si="102"/>
        <v>0.47124675324675325</v>
      </c>
      <c r="U788" s="9" t="str">
        <f t="shared" si="103"/>
        <v>45-54</v>
      </c>
    </row>
    <row r="789" spans="1:21">
      <c r="A789" t="s">
        <v>821</v>
      </c>
      <c r="B789" s="8">
        <v>6081</v>
      </c>
      <c r="C789" s="23">
        <v>0.15173</v>
      </c>
      <c r="D789" s="19" t="s">
        <v>32</v>
      </c>
      <c r="E789" s="21">
        <v>59.167000000000002</v>
      </c>
      <c r="F789" s="21">
        <v>0.182</v>
      </c>
      <c r="G789" s="23">
        <v>0.33195000000000002</v>
      </c>
      <c r="H789" s="26">
        <v>1</v>
      </c>
      <c r="I789" s="19" t="s">
        <v>17</v>
      </c>
      <c r="J789" s="8">
        <v>20</v>
      </c>
      <c r="K789" s="19" t="s">
        <v>31</v>
      </c>
      <c r="L789" s="19" t="s">
        <v>19</v>
      </c>
      <c r="M789" s="8">
        <v>2</v>
      </c>
      <c r="N789" s="33">
        <f t="shared" si="96"/>
        <v>5.4945054945054945</v>
      </c>
      <c r="O789" s="23">
        <f t="shared" si="97"/>
        <v>0.83368131868131867</v>
      </c>
      <c r="P789" s="59">
        <f t="shared" si="98"/>
        <v>3.0760390082309394E-3</v>
      </c>
      <c r="Q789" s="30">
        <f t="shared" si="99"/>
        <v>0.15173</v>
      </c>
      <c r="R789" s="30">
        <f t="shared" si="100"/>
        <v>1.187767745337112</v>
      </c>
      <c r="S789" s="12">
        <f t="shared" si="101"/>
        <v>2.187767745337112</v>
      </c>
      <c r="T789" s="30">
        <f t="shared" si="102"/>
        <v>1.8239010989010991</v>
      </c>
      <c r="U789" s="9" t="str">
        <f t="shared" si="103"/>
        <v>18-24</v>
      </c>
    </row>
    <row r="790" spans="1:21">
      <c r="A790" t="s">
        <v>822</v>
      </c>
      <c r="B790" s="8">
        <v>8177</v>
      </c>
      <c r="C790" s="23">
        <v>0</v>
      </c>
      <c r="D790" s="19" t="s">
        <v>15</v>
      </c>
      <c r="E790" s="21">
        <v>68.741</v>
      </c>
      <c r="F790" s="21">
        <v>6.391</v>
      </c>
      <c r="G790" s="23">
        <v>4.1509999999999998E-2</v>
      </c>
      <c r="H790" s="26">
        <v>1</v>
      </c>
      <c r="I790" s="19" t="s">
        <v>21</v>
      </c>
      <c r="J790" s="8">
        <v>36</v>
      </c>
      <c r="K790" s="19" t="s">
        <v>31</v>
      </c>
      <c r="L790" s="19" t="s">
        <v>19</v>
      </c>
      <c r="M790" s="8">
        <v>4</v>
      </c>
      <c r="N790" s="33">
        <f t="shared" si="96"/>
        <v>0.15647003598810827</v>
      </c>
      <c r="O790" s="23">
        <f t="shared" si="97"/>
        <v>0</v>
      </c>
      <c r="P790" s="59">
        <f t="shared" si="98"/>
        <v>9.2972170902372669E-2</v>
      </c>
      <c r="Q790" s="30">
        <f t="shared" si="99"/>
        <v>0</v>
      </c>
      <c r="R790" s="30">
        <f t="shared" si="100"/>
        <v>0</v>
      </c>
      <c r="S790" s="12" t="e">
        <f t="shared" si="101"/>
        <v>#DIV/0!</v>
      </c>
      <c r="T790" s="30">
        <f t="shared" si="102"/>
        <v>6.4950711938663742E-3</v>
      </c>
      <c r="U790" s="9" t="str">
        <f t="shared" si="103"/>
        <v>35-44</v>
      </c>
    </row>
    <row r="791" spans="1:21">
      <c r="A791" t="s">
        <v>823</v>
      </c>
      <c r="B791" s="8">
        <v>9276</v>
      </c>
      <c r="C791" s="23">
        <v>0</v>
      </c>
      <c r="D791" s="19" t="s">
        <v>28</v>
      </c>
      <c r="E791" s="21">
        <v>5.7519999999999998</v>
      </c>
      <c r="F791" s="21">
        <v>7.1970000000000001</v>
      </c>
      <c r="G791" s="23">
        <v>0</v>
      </c>
      <c r="H791" s="26">
        <v>0</v>
      </c>
      <c r="I791" s="19" t="s">
        <v>26</v>
      </c>
      <c r="J791" s="8">
        <v>28</v>
      </c>
      <c r="K791" s="19" t="s">
        <v>37</v>
      </c>
      <c r="L791" s="19" t="s">
        <v>32</v>
      </c>
      <c r="M791" s="8">
        <v>3</v>
      </c>
      <c r="N791" s="33">
        <f t="shared" si="96"/>
        <v>0</v>
      </c>
      <c r="O791" s="23">
        <f t="shared" si="97"/>
        <v>0</v>
      </c>
      <c r="P791" s="59">
        <f t="shared" si="98"/>
        <v>1.2512169680111267</v>
      </c>
      <c r="Q791" s="30">
        <f t="shared" si="99"/>
        <v>0</v>
      </c>
      <c r="R791" s="30">
        <f t="shared" si="100"/>
        <v>0</v>
      </c>
      <c r="S791" s="12">
        <f t="shared" si="101"/>
        <v>0</v>
      </c>
      <c r="T791" s="30">
        <f t="shared" si="102"/>
        <v>0</v>
      </c>
      <c r="U791" s="9" t="str">
        <f t="shared" si="103"/>
        <v>25-34</v>
      </c>
    </row>
    <row r="792" spans="1:21">
      <c r="A792" t="s">
        <v>824</v>
      </c>
      <c r="B792" s="8">
        <v>7773</v>
      </c>
      <c r="C792" s="23">
        <v>7.2459999999999997E-2</v>
      </c>
      <c r="D792" s="19" t="s">
        <v>15</v>
      </c>
      <c r="E792" s="21">
        <v>48.28</v>
      </c>
      <c r="F792" s="21">
        <v>7.6539999999999999</v>
      </c>
      <c r="G792" s="23">
        <v>0</v>
      </c>
      <c r="H792" s="26">
        <v>0</v>
      </c>
      <c r="I792" s="19" t="s">
        <v>17</v>
      </c>
      <c r="J792" s="8">
        <v>52</v>
      </c>
      <c r="K792" s="19" t="s">
        <v>22</v>
      </c>
      <c r="L792" s="19" t="s">
        <v>45</v>
      </c>
      <c r="M792" s="8">
        <v>3</v>
      </c>
      <c r="N792" s="33">
        <f t="shared" si="96"/>
        <v>0</v>
      </c>
      <c r="O792" s="23">
        <f t="shared" si="97"/>
        <v>9.4669453880324005E-3</v>
      </c>
      <c r="P792" s="59">
        <f t="shared" si="98"/>
        <v>0.15853355426677712</v>
      </c>
      <c r="Q792" s="30">
        <f t="shared" si="99"/>
        <v>0</v>
      </c>
      <c r="R792" s="30">
        <f t="shared" si="100"/>
        <v>-1</v>
      </c>
      <c r="S792" s="12">
        <f t="shared" si="101"/>
        <v>0</v>
      </c>
      <c r="T792" s="30">
        <f t="shared" si="102"/>
        <v>0</v>
      </c>
      <c r="U792" s="9" t="str">
        <f t="shared" si="103"/>
        <v>45-54</v>
      </c>
    </row>
    <row r="793" spans="1:21">
      <c r="A793" t="s">
        <v>825</v>
      </c>
      <c r="B793" s="8">
        <v>6821</v>
      </c>
      <c r="C793" s="23">
        <v>9.1380000000000003E-2</v>
      </c>
      <c r="D793" s="19" t="s">
        <v>25</v>
      </c>
      <c r="E793" s="21">
        <v>98.28</v>
      </c>
      <c r="F793" s="21">
        <v>1.929</v>
      </c>
      <c r="G793" s="23">
        <v>0</v>
      </c>
      <c r="H793" s="26">
        <v>0</v>
      </c>
      <c r="I793" s="19" t="s">
        <v>21</v>
      </c>
      <c r="J793" s="8">
        <v>62</v>
      </c>
      <c r="K793" s="19" t="s">
        <v>37</v>
      </c>
      <c r="L793" s="19" t="s">
        <v>23</v>
      </c>
      <c r="M793" s="8" t="s">
        <v>1065</v>
      </c>
      <c r="N793" s="33">
        <f t="shared" si="96"/>
        <v>0</v>
      </c>
      <c r="O793" s="23">
        <f t="shared" si="97"/>
        <v>4.7371695178849142E-2</v>
      </c>
      <c r="P793" s="59">
        <f t="shared" si="98"/>
        <v>1.9627594627594627E-2</v>
      </c>
      <c r="Q793" s="30">
        <f t="shared" si="99"/>
        <v>0</v>
      </c>
      <c r="R793" s="30">
        <f t="shared" si="100"/>
        <v>-1</v>
      </c>
      <c r="S793" s="12">
        <f t="shared" si="101"/>
        <v>0</v>
      </c>
      <c r="T793" s="30">
        <f t="shared" si="102"/>
        <v>0</v>
      </c>
      <c r="U793" s="9" t="str">
        <f t="shared" si="103"/>
        <v>55+</v>
      </c>
    </row>
    <row r="794" spans="1:21">
      <c r="A794" t="s">
        <v>826</v>
      </c>
      <c r="B794" s="8">
        <v>7000</v>
      </c>
      <c r="C794" s="23">
        <v>0.13951</v>
      </c>
      <c r="D794" s="19" t="s">
        <v>15</v>
      </c>
      <c r="E794" s="21">
        <v>72.411000000000001</v>
      </c>
      <c r="F794" s="21">
        <v>0.439</v>
      </c>
      <c r="G794" s="23">
        <v>0.36152000000000001</v>
      </c>
      <c r="H794" s="26">
        <v>1</v>
      </c>
      <c r="I794" s="19" t="s">
        <v>26</v>
      </c>
      <c r="J794" s="8">
        <v>62</v>
      </c>
      <c r="K794" s="19" t="s">
        <v>31</v>
      </c>
      <c r="L794" s="19" t="s">
        <v>38</v>
      </c>
      <c r="M794" s="8">
        <v>4</v>
      </c>
      <c r="N794" s="33">
        <f t="shared" si="96"/>
        <v>2.2779043280182232</v>
      </c>
      <c r="O794" s="23">
        <f t="shared" si="97"/>
        <v>0.31779043280182229</v>
      </c>
      <c r="P794" s="59">
        <f t="shared" si="98"/>
        <v>6.0626147960945159E-3</v>
      </c>
      <c r="Q794" s="30">
        <f t="shared" si="99"/>
        <v>0.13951</v>
      </c>
      <c r="R794" s="30">
        <f t="shared" si="100"/>
        <v>1.5913554583900797</v>
      </c>
      <c r="S794" s="12">
        <f t="shared" si="101"/>
        <v>2.5913554583900797</v>
      </c>
      <c r="T794" s="30">
        <f t="shared" si="102"/>
        <v>0.82350797266514808</v>
      </c>
      <c r="U794" s="9" t="str">
        <f t="shared" si="103"/>
        <v>55+</v>
      </c>
    </row>
    <row r="795" spans="1:21">
      <c r="A795" t="s">
        <v>827</v>
      </c>
      <c r="B795" s="8">
        <v>5088</v>
      </c>
      <c r="C795" s="23">
        <v>1.391E-2</v>
      </c>
      <c r="D795" s="19" t="s">
        <v>32</v>
      </c>
      <c r="E795" s="21">
        <v>41.722999999999999</v>
      </c>
      <c r="F795" s="21">
        <v>8.4120000000000008</v>
      </c>
      <c r="G795" s="23">
        <v>0</v>
      </c>
      <c r="H795" s="26">
        <v>0</v>
      </c>
      <c r="I795" s="19" t="s">
        <v>29</v>
      </c>
      <c r="J795" s="8">
        <v>28</v>
      </c>
      <c r="K795" s="19" t="s">
        <v>31</v>
      </c>
      <c r="L795" s="19" t="s">
        <v>38</v>
      </c>
      <c r="M795" s="8">
        <v>2</v>
      </c>
      <c r="N795" s="33">
        <f t="shared" si="96"/>
        <v>0</v>
      </c>
      <c r="O795" s="23">
        <f t="shared" si="97"/>
        <v>1.65359010936757E-3</v>
      </c>
      <c r="P795" s="59">
        <f t="shared" si="98"/>
        <v>0.2016154159576253</v>
      </c>
      <c r="Q795" s="30">
        <f t="shared" si="99"/>
        <v>0</v>
      </c>
      <c r="R795" s="30">
        <f t="shared" si="100"/>
        <v>-1</v>
      </c>
      <c r="S795" s="12">
        <f t="shared" si="101"/>
        <v>0</v>
      </c>
      <c r="T795" s="30">
        <f t="shared" si="102"/>
        <v>0</v>
      </c>
      <c r="U795" s="9" t="str">
        <f t="shared" si="103"/>
        <v>25-34</v>
      </c>
    </row>
    <row r="796" spans="1:21">
      <c r="A796" t="s">
        <v>828</v>
      </c>
      <c r="B796" s="8">
        <v>9879</v>
      </c>
      <c r="C796" s="23">
        <v>0.13908000000000001</v>
      </c>
      <c r="D796" s="19" t="s">
        <v>45</v>
      </c>
      <c r="E796" s="21">
        <v>87.03</v>
      </c>
      <c r="F796" s="21">
        <v>2.1040000000000001</v>
      </c>
      <c r="G796" s="23">
        <v>0</v>
      </c>
      <c r="H796" s="26">
        <v>0</v>
      </c>
      <c r="I796" s="19" t="s">
        <v>29</v>
      </c>
      <c r="J796" s="8">
        <v>39</v>
      </c>
      <c r="K796" s="19" t="s">
        <v>22</v>
      </c>
      <c r="L796" s="19" t="s">
        <v>38</v>
      </c>
      <c r="M796" s="8">
        <v>2</v>
      </c>
      <c r="N796" s="33">
        <f t="shared" si="96"/>
        <v>0</v>
      </c>
      <c r="O796" s="23">
        <f t="shared" si="97"/>
        <v>6.610266159695817E-2</v>
      </c>
      <c r="P796" s="59">
        <f t="shared" si="98"/>
        <v>2.4175571641962542E-2</v>
      </c>
      <c r="Q796" s="30">
        <f t="shared" si="99"/>
        <v>0</v>
      </c>
      <c r="R796" s="30">
        <f t="shared" si="100"/>
        <v>-1</v>
      </c>
      <c r="S796" s="12">
        <f t="shared" si="101"/>
        <v>0</v>
      </c>
      <c r="T796" s="30">
        <f t="shared" si="102"/>
        <v>0</v>
      </c>
      <c r="U796" s="9" t="str">
        <f t="shared" si="103"/>
        <v>35-44</v>
      </c>
    </row>
    <row r="797" spans="1:21">
      <c r="A797" t="s">
        <v>829</v>
      </c>
      <c r="B797" s="8">
        <v>3491</v>
      </c>
      <c r="C797" s="23">
        <v>4.6120000000000001E-2</v>
      </c>
      <c r="D797" s="19" t="s">
        <v>32</v>
      </c>
      <c r="E797" s="21">
        <v>65.174999999999997</v>
      </c>
      <c r="F797" s="21">
        <v>9.4239999999999995</v>
      </c>
      <c r="G797" s="23">
        <v>0</v>
      </c>
      <c r="H797" s="26">
        <v>0</v>
      </c>
      <c r="I797" s="19" t="s">
        <v>26</v>
      </c>
      <c r="J797" s="8">
        <v>46</v>
      </c>
      <c r="K797" s="19" t="s">
        <v>22</v>
      </c>
      <c r="L797" s="19" t="s">
        <v>23</v>
      </c>
      <c r="M797" s="8">
        <v>3</v>
      </c>
      <c r="N797" s="33">
        <f t="shared" si="96"/>
        <v>0</v>
      </c>
      <c r="O797" s="23">
        <f t="shared" si="97"/>
        <v>4.8938879456706282E-3</v>
      </c>
      <c r="P797" s="59">
        <f t="shared" si="98"/>
        <v>0.14459532029152283</v>
      </c>
      <c r="Q797" s="30">
        <f t="shared" si="99"/>
        <v>0</v>
      </c>
      <c r="R797" s="30">
        <f t="shared" si="100"/>
        <v>-1</v>
      </c>
      <c r="S797" s="12">
        <f t="shared" si="101"/>
        <v>0</v>
      </c>
      <c r="T797" s="30">
        <f t="shared" si="102"/>
        <v>0</v>
      </c>
      <c r="U797" s="9" t="str">
        <f t="shared" si="103"/>
        <v>45-54</v>
      </c>
    </row>
    <row r="798" spans="1:21">
      <c r="A798" t="s">
        <v>830</v>
      </c>
      <c r="B798" s="8">
        <v>5779</v>
      </c>
      <c r="C798" s="23">
        <v>6.1330000000000003E-2</v>
      </c>
      <c r="D798" s="19" t="s">
        <v>40</v>
      </c>
      <c r="E798" s="21">
        <v>68.320999999999998</v>
      </c>
      <c r="F798" s="21">
        <v>0</v>
      </c>
      <c r="G798" s="23">
        <v>0</v>
      </c>
      <c r="H798" s="26">
        <v>0</v>
      </c>
      <c r="I798" s="19" t="s">
        <v>21</v>
      </c>
      <c r="J798" s="8">
        <v>64</v>
      </c>
      <c r="K798" s="19" t="s">
        <v>18</v>
      </c>
      <c r="L798" s="19" t="s">
        <v>32</v>
      </c>
      <c r="M798" s="8">
        <v>2</v>
      </c>
      <c r="N798" s="33">
        <f t="shared" si="96"/>
        <v>0</v>
      </c>
      <c r="O798" s="23">
        <f t="shared" si="97"/>
        <v>0</v>
      </c>
      <c r="P798" s="59">
        <f t="shared" si="98"/>
        <v>0</v>
      </c>
      <c r="Q798" s="30">
        <f t="shared" si="99"/>
        <v>0</v>
      </c>
      <c r="R798" s="30">
        <f t="shared" si="100"/>
        <v>-1</v>
      </c>
      <c r="S798" s="12">
        <f t="shared" si="101"/>
        <v>0</v>
      </c>
      <c r="T798" s="30">
        <f t="shared" si="102"/>
        <v>0</v>
      </c>
      <c r="U798" s="9" t="str">
        <f t="shared" si="103"/>
        <v>55+</v>
      </c>
    </row>
    <row r="799" spans="1:21">
      <c r="A799" t="s">
        <v>831</v>
      </c>
      <c r="B799" s="8">
        <v>2266</v>
      </c>
      <c r="C799" s="23">
        <v>9.1759999999999994E-2</v>
      </c>
      <c r="D799" s="19" t="s">
        <v>40</v>
      </c>
      <c r="E799" s="21">
        <v>42.237000000000002</v>
      </c>
      <c r="F799" s="21">
        <v>1.302</v>
      </c>
      <c r="G799" s="23">
        <v>0</v>
      </c>
      <c r="H799" s="26">
        <v>0</v>
      </c>
      <c r="I799" s="19" t="s">
        <v>17</v>
      </c>
      <c r="J799" s="8">
        <v>36</v>
      </c>
      <c r="K799" s="19" t="s">
        <v>37</v>
      </c>
      <c r="L799" s="19" t="s">
        <v>32</v>
      </c>
      <c r="M799" s="8">
        <v>3</v>
      </c>
      <c r="N799" s="33">
        <f t="shared" si="96"/>
        <v>0</v>
      </c>
      <c r="O799" s="23">
        <f t="shared" si="97"/>
        <v>7.047619047619047E-2</v>
      </c>
      <c r="P799" s="59">
        <f t="shared" si="98"/>
        <v>3.0826052986717808E-2</v>
      </c>
      <c r="Q799" s="30">
        <f t="shared" si="99"/>
        <v>0</v>
      </c>
      <c r="R799" s="30">
        <f t="shared" si="100"/>
        <v>-1</v>
      </c>
      <c r="S799" s="12">
        <f t="shared" si="101"/>
        <v>0</v>
      </c>
      <c r="T799" s="30">
        <f t="shared" si="102"/>
        <v>0</v>
      </c>
      <c r="U799" s="9" t="str">
        <f t="shared" si="103"/>
        <v>35-44</v>
      </c>
    </row>
    <row r="800" spans="1:21">
      <c r="A800" t="s">
        <v>832</v>
      </c>
      <c r="B800" s="8">
        <v>7176</v>
      </c>
      <c r="C800" s="23">
        <v>0.18739</v>
      </c>
      <c r="D800" s="19" t="s">
        <v>45</v>
      </c>
      <c r="E800" s="21">
        <v>99.793999999999997</v>
      </c>
      <c r="F800" s="21">
        <v>0.96199999999999997</v>
      </c>
      <c r="G800" s="23">
        <v>0.12936</v>
      </c>
      <c r="H800" s="26">
        <v>1</v>
      </c>
      <c r="I800" s="19" t="s">
        <v>21</v>
      </c>
      <c r="J800" s="8">
        <v>38</v>
      </c>
      <c r="K800" s="19" t="s">
        <v>37</v>
      </c>
      <c r="L800" s="19" t="s">
        <v>32</v>
      </c>
      <c r="M800" s="8" t="s">
        <v>1065</v>
      </c>
      <c r="N800" s="33">
        <f t="shared" si="96"/>
        <v>1.0395010395010396</v>
      </c>
      <c r="O800" s="23">
        <f t="shared" si="97"/>
        <v>0.1947920997920998</v>
      </c>
      <c r="P800" s="59">
        <f t="shared" si="98"/>
        <v>9.6398581077018659E-3</v>
      </c>
      <c r="Q800" s="30">
        <f t="shared" si="99"/>
        <v>0.18739</v>
      </c>
      <c r="R800" s="30">
        <f t="shared" si="100"/>
        <v>-0.30967500933881209</v>
      </c>
      <c r="S800" s="12">
        <f t="shared" si="101"/>
        <v>0.69032499066118791</v>
      </c>
      <c r="T800" s="30">
        <f t="shared" si="102"/>
        <v>0.13446985446985449</v>
      </c>
      <c r="U800" s="9" t="str">
        <f t="shared" si="103"/>
        <v>35-44</v>
      </c>
    </row>
    <row r="801" spans="1:21">
      <c r="A801" t="s">
        <v>833</v>
      </c>
      <c r="B801" s="8">
        <v>2555</v>
      </c>
      <c r="C801" s="23">
        <v>9.8030000000000006E-2</v>
      </c>
      <c r="D801" s="19" t="s">
        <v>15</v>
      </c>
      <c r="E801" s="21">
        <v>96.105999999999995</v>
      </c>
      <c r="F801" s="21">
        <v>8.4329999999999998</v>
      </c>
      <c r="G801" s="23">
        <v>0.33606000000000003</v>
      </c>
      <c r="H801" s="26">
        <v>1</v>
      </c>
      <c r="I801" s="19" t="s">
        <v>1067</v>
      </c>
      <c r="J801" s="8">
        <v>37</v>
      </c>
      <c r="K801" s="19" t="s">
        <v>31</v>
      </c>
      <c r="L801" s="19" t="s">
        <v>38</v>
      </c>
      <c r="M801" s="8">
        <v>4</v>
      </c>
      <c r="N801" s="33">
        <f t="shared" si="96"/>
        <v>0.11858176212498518</v>
      </c>
      <c r="O801" s="23">
        <f t="shared" si="97"/>
        <v>1.1624570141112298E-2</v>
      </c>
      <c r="P801" s="59">
        <f t="shared" si="98"/>
        <v>8.7746862838948669E-2</v>
      </c>
      <c r="Q801" s="30">
        <f t="shared" si="99"/>
        <v>9.8030000000000006E-2</v>
      </c>
      <c r="R801" s="30">
        <f t="shared" si="100"/>
        <v>2.4281342446189944</v>
      </c>
      <c r="S801" s="12">
        <f t="shared" si="101"/>
        <v>3.4281342446189944</v>
      </c>
      <c r="T801" s="30">
        <f t="shared" si="102"/>
        <v>3.9850586979722526E-2</v>
      </c>
      <c r="U801" s="9" t="str">
        <f t="shared" si="103"/>
        <v>35-44</v>
      </c>
    </row>
    <row r="802" spans="1:21">
      <c r="A802" t="s">
        <v>834</v>
      </c>
      <c r="B802" s="8">
        <v>3349</v>
      </c>
      <c r="C802" s="23">
        <v>0.16350999999999999</v>
      </c>
      <c r="D802" s="19" t="s">
        <v>40</v>
      </c>
      <c r="E802" s="21">
        <v>45.621000000000002</v>
      </c>
      <c r="F802" s="21">
        <v>0</v>
      </c>
      <c r="G802" s="23">
        <v>0</v>
      </c>
      <c r="H802" s="26">
        <v>0</v>
      </c>
      <c r="I802" s="19" t="s">
        <v>26</v>
      </c>
      <c r="J802" s="8">
        <v>57</v>
      </c>
      <c r="K802" s="19" t="s">
        <v>22</v>
      </c>
      <c r="L802" s="19" t="s">
        <v>45</v>
      </c>
      <c r="M802" s="8">
        <v>1</v>
      </c>
      <c r="N802" s="33">
        <f t="shared" si="96"/>
        <v>0</v>
      </c>
      <c r="O802" s="23">
        <f t="shared" si="97"/>
        <v>0</v>
      </c>
      <c r="P802" s="59">
        <f t="shared" si="98"/>
        <v>0</v>
      </c>
      <c r="Q802" s="30">
        <f t="shared" si="99"/>
        <v>0</v>
      </c>
      <c r="R802" s="30">
        <f t="shared" si="100"/>
        <v>-1</v>
      </c>
      <c r="S802" s="12">
        <f t="shared" si="101"/>
        <v>0</v>
      </c>
      <c r="T802" s="30">
        <f t="shared" si="102"/>
        <v>0</v>
      </c>
      <c r="U802" s="9" t="str">
        <f t="shared" si="103"/>
        <v>55+</v>
      </c>
    </row>
    <row r="803" spans="1:21">
      <c r="A803" t="s">
        <v>835</v>
      </c>
      <c r="B803" s="8">
        <v>2198</v>
      </c>
      <c r="C803" s="23">
        <v>2.3900000000000001E-2</v>
      </c>
      <c r="D803" s="19" t="s">
        <v>32</v>
      </c>
      <c r="E803" s="21">
        <v>54.906999999999996</v>
      </c>
      <c r="F803" s="21">
        <v>1.06</v>
      </c>
      <c r="G803" s="23">
        <v>0</v>
      </c>
      <c r="H803" s="26">
        <v>0</v>
      </c>
      <c r="I803" s="19" t="s">
        <v>29</v>
      </c>
      <c r="J803" s="8">
        <v>42</v>
      </c>
      <c r="K803" s="19" t="s">
        <v>22</v>
      </c>
      <c r="L803" s="19" t="s">
        <v>38</v>
      </c>
      <c r="M803" s="8">
        <v>4</v>
      </c>
      <c r="N803" s="33">
        <f t="shared" si="96"/>
        <v>0</v>
      </c>
      <c r="O803" s="23">
        <f t="shared" si="97"/>
        <v>2.2547169811320756E-2</v>
      </c>
      <c r="P803" s="59">
        <f t="shared" si="98"/>
        <v>1.9305370899885262E-2</v>
      </c>
      <c r="Q803" s="30">
        <f t="shared" si="99"/>
        <v>0</v>
      </c>
      <c r="R803" s="30">
        <f t="shared" si="100"/>
        <v>-1</v>
      </c>
      <c r="S803" s="12">
        <f t="shared" si="101"/>
        <v>0</v>
      </c>
      <c r="T803" s="30">
        <f t="shared" si="102"/>
        <v>0</v>
      </c>
      <c r="U803" s="9" t="str">
        <f t="shared" si="103"/>
        <v>35-44</v>
      </c>
    </row>
    <row r="804" spans="1:21">
      <c r="A804" t="s">
        <v>836</v>
      </c>
      <c r="B804" s="8">
        <v>4650</v>
      </c>
      <c r="C804" s="23">
        <v>0.18006</v>
      </c>
      <c r="D804" s="19" t="s">
        <v>25</v>
      </c>
      <c r="E804" s="21">
        <v>45.917999999999999</v>
      </c>
      <c r="F804" s="21">
        <v>0.35799999999999998</v>
      </c>
      <c r="G804" s="23">
        <v>0</v>
      </c>
      <c r="H804" s="26">
        <v>0</v>
      </c>
      <c r="I804" s="19" t="s">
        <v>17</v>
      </c>
      <c r="J804" s="8">
        <v>65</v>
      </c>
      <c r="K804" s="19" t="s">
        <v>37</v>
      </c>
      <c r="L804" s="19" t="s">
        <v>19</v>
      </c>
      <c r="M804" s="8">
        <v>3</v>
      </c>
      <c r="N804" s="33">
        <f t="shared" si="96"/>
        <v>0</v>
      </c>
      <c r="O804" s="23">
        <f t="shared" si="97"/>
        <v>0.50296089385474863</v>
      </c>
      <c r="P804" s="59">
        <f t="shared" si="98"/>
        <v>7.796506816498976E-3</v>
      </c>
      <c r="Q804" s="30">
        <f t="shared" si="99"/>
        <v>0</v>
      </c>
      <c r="R804" s="30">
        <f t="shared" si="100"/>
        <v>-1</v>
      </c>
      <c r="S804" s="12">
        <f t="shared" si="101"/>
        <v>0</v>
      </c>
      <c r="T804" s="30">
        <f t="shared" si="102"/>
        <v>0</v>
      </c>
      <c r="U804" s="9" t="str">
        <f t="shared" si="103"/>
        <v>55+</v>
      </c>
    </row>
    <row r="805" spans="1:21">
      <c r="A805" t="s">
        <v>837</v>
      </c>
      <c r="B805" s="8">
        <v>5739</v>
      </c>
      <c r="C805" s="23">
        <v>8.3479999999999999E-2</v>
      </c>
      <c r="D805" s="19" t="s">
        <v>40</v>
      </c>
      <c r="E805" s="21">
        <v>92.597999999999999</v>
      </c>
      <c r="F805" s="21">
        <v>3.3849999999999998</v>
      </c>
      <c r="G805" s="23">
        <v>0</v>
      </c>
      <c r="H805" s="26">
        <v>0</v>
      </c>
      <c r="I805" s="19" t="s">
        <v>21</v>
      </c>
      <c r="J805" s="8">
        <v>39</v>
      </c>
      <c r="K805" s="19" t="s">
        <v>31</v>
      </c>
      <c r="L805" s="19" t="s">
        <v>19</v>
      </c>
      <c r="M805" s="8">
        <v>2</v>
      </c>
      <c r="N805" s="33">
        <f t="shared" si="96"/>
        <v>0</v>
      </c>
      <c r="O805" s="23">
        <f t="shared" si="97"/>
        <v>2.4661742983751848E-2</v>
      </c>
      <c r="P805" s="59">
        <f t="shared" si="98"/>
        <v>3.6555865137475968E-2</v>
      </c>
      <c r="Q805" s="30">
        <f t="shared" si="99"/>
        <v>0</v>
      </c>
      <c r="R805" s="30">
        <f t="shared" si="100"/>
        <v>-1</v>
      </c>
      <c r="S805" s="12">
        <f t="shared" si="101"/>
        <v>0</v>
      </c>
      <c r="T805" s="30">
        <f t="shared" si="102"/>
        <v>0</v>
      </c>
      <c r="U805" s="9" t="str">
        <f t="shared" si="103"/>
        <v>35-44</v>
      </c>
    </row>
    <row r="806" spans="1:21">
      <c r="A806" t="s">
        <v>838</v>
      </c>
      <c r="B806" s="8">
        <v>8561</v>
      </c>
      <c r="C806" s="23">
        <v>0.18795000000000001</v>
      </c>
      <c r="D806" s="19" t="s">
        <v>45</v>
      </c>
      <c r="E806" s="21">
        <v>79.575000000000003</v>
      </c>
      <c r="F806" s="21">
        <v>9.609</v>
      </c>
      <c r="G806" s="23">
        <v>0</v>
      </c>
      <c r="H806" s="26">
        <v>0</v>
      </c>
      <c r="I806" s="19" t="s">
        <v>29</v>
      </c>
      <c r="J806" s="8">
        <v>41</v>
      </c>
      <c r="K806" s="19" t="s">
        <v>18</v>
      </c>
      <c r="L806" s="19" t="s">
        <v>19</v>
      </c>
      <c r="M806" s="8" t="s">
        <v>1065</v>
      </c>
      <c r="N806" s="33">
        <f t="shared" si="96"/>
        <v>0</v>
      </c>
      <c r="O806" s="23">
        <f t="shared" si="97"/>
        <v>1.9559787699032157E-2</v>
      </c>
      <c r="P806" s="59">
        <f t="shared" si="98"/>
        <v>0.12075400565504241</v>
      </c>
      <c r="Q806" s="30">
        <f t="shared" si="99"/>
        <v>0</v>
      </c>
      <c r="R806" s="30">
        <f t="shared" si="100"/>
        <v>-1</v>
      </c>
      <c r="S806" s="12">
        <f t="shared" si="101"/>
        <v>0</v>
      </c>
      <c r="T806" s="30">
        <f t="shared" si="102"/>
        <v>0</v>
      </c>
      <c r="U806" s="9" t="str">
        <f t="shared" si="103"/>
        <v>35-44</v>
      </c>
    </row>
    <row r="807" spans="1:21">
      <c r="A807" t="s">
        <v>839</v>
      </c>
      <c r="B807" s="8">
        <v>7459</v>
      </c>
      <c r="C807" s="23">
        <v>0.10390000000000001</v>
      </c>
      <c r="D807" s="19" t="s">
        <v>25</v>
      </c>
      <c r="E807" s="21">
        <v>75.831999999999994</v>
      </c>
      <c r="F807" s="21">
        <v>8.1240000000000006</v>
      </c>
      <c r="G807" s="23">
        <v>0</v>
      </c>
      <c r="H807" s="26">
        <v>0</v>
      </c>
      <c r="I807" s="19" t="s">
        <v>17</v>
      </c>
      <c r="J807" s="8">
        <v>35</v>
      </c>
      <c r="K807" s="19" t="s">
        <v>37</v>
      </c>
      <c r="L807" s="19" t="s">
        <v>19</v>
      </c>
      <c r="M807" s="8">
        <v>3</v>
      </c>
      <c r="N807" s="33">
        <f t="shared" si="96"/>
        <v>0</v>
      </c>
      <c r="O807" s="23">
        <f t="shared" si="97"/>
        <v>1.2789266371245691E-2</v>
      </c>
      <c r="P807" s="59">
        <f t="shared" si="98"/>
        <v>0.10713155396138835</v>
      </c>
      <c r="Q807" s="30">
        <f t="shared" si="99"/>
        <v>0</v>
      </c>
      <c r="R807" s="30">
        <f t="shared" si="100"/>
        <v>-1</v>
      </c>
      <c r="S807" s="12">
        <f t="shared" si="101"/>
        <v>0</v>
      </c>
      <c r="T807" s="30">
        <f t="shared" si="102"/>
        <v>0</v>
      </c>
      <c r="U807" s="9" t="str">
        <f t="shared" si="103"/>
        <v>35-44</v>
      </c>
    </row>
    <row r="808" spans="1:21">
      <c r="A808" t="s">
        <v>840</v>
      </c>
      <c r="B808" s="8">
        <v>8927</v>
      </c>
      <c r="C808" s="23">
        <v>0.15429999999999999</v>
      </c>
      <c r="D808" s="19" t="s">
        <v>40</v>
      </c>
      <c r="E808" s="21">
        <v>66.063999999999993</v>
      </c>
      <c r="F808" s="21">
        <v>1.0820000000000001</v>
      </c>
      <c r="G808" s="23">
        <v>0</v>
      </c>
      <c r="H808" s="26">
        <v>0</v>
      </c>
      <c r="I808" s="19" t="s">
        <v>34</v>
      </c>
      <c r="J808" s="8">
        <v>56</v>
      </c>
      <c r="K808" s="19" t="s">
        <v>37</v>
      </c>
      <c r="L808" s="19" t="s">
        <v>45</v>
      </c>
      <c r="M808" s="8">
        <v>5</v>
      </c>
      <c r="N808" s="33">
        <f t="shared" si="96"/>
        <v>0</v>
      </c>
      <c r="O808" s="23">
        <f t="shared" si="97"/>
        <v>0.14260628465804065</v>
      </c>
      <c r="P808" s="59">
        <f t="shared" si="98"/>
        <v>1.6378057641075323E-2</v>
      </c>
      <c r="Q808" s="30">
        <f t="shared" si="99"/>
        <v>0</v>
      </c>
      <c r="R808" s="30">
        <f t="shared" si="100"/>
        <v>-1</v>
      </c>
      <c r="S808" s="12">
        <f t="shared" si="101"/>
        <v>0</v>
      </c>
      <c r="T808" s="30">
        <f t="shared" si="102"/>
        <v>0</v>
      </c>
      <c r="U808" s="9" t="str">
        <f t="shared" si="103"/>
        <v>55+</v>
      </c>
    </row>
    <row r="809" spans="1:21">
      <c r="A809" t="s">
        <v>841</v>
      </c>
      <c r="B809" s="8">
        <v>2107</v>
      </c>
      <c r="C809" s="23">
        <v>0.18135000000000001</v>
      </c>
      <c r="D809" s="19" t="s">
        <v>32</v>
      </c>
      <c r="E809" s="21">
        <v>9.4049999999999994</v>
      </c>
      <c r="F809" s="21">
        <v>9.4019999999999992</v>
      </c>
      <c r="G809" s="23">
        <v>0</v>
      </c>
      <c r="H809" s="26">
        <v>0</v>
      </c>
      <c r="I809" s="19" t="s">
        <v>17</v>
      </c>
      <c r="J809" s="8">
        <v>51</v>
      </c>
      <c r="K809" s="19" t="s">
        <v>18</v>
      </c>
      <c r="L809" s="19" t="s">
        <v>19</v>
      </c>
      <c r="M809" s="8">
        <v>2</v>
      </c>
      <c r="N809" s="33">
        <f t="shared" si="96"/>
        <v>0</v>
      </c>
      <c r="O809" s="23">
        <f t="shared" si="97"/>
        <v>1.9288449266113596E-2</v>
      </c>
      <c r="P809" s="59">
        <f t="shared" si="98"/>
        <v>0.99968102073365228</v>
      </c>
      <c r="Q809" s="30">
        <f t="shared" si="99"/>
        <v>0</v>
      </c>
      <c r="R809" s="30">
        <f t="shared" si="100"/>
        <v>-1</v>
      </c>
      <c r="S809" s="12">
        <f t="shared" si="101"/>
        <v>0</v>
      </c>
      <c r="T809" s="30">
        <f t="shared" si="102"/>
        <v>0</v>
      </c>
      <c r="U809" s="9" t="str">
        <f t="shared" si="103"/>
        <v>45-54</v>
      </c>
    </row>
    <row r="810" spans="1:21">
      <c r="A810" t="s">
        <v>842</v>
      </c>
      <c r="B810" s="8">
        <v>7836</v>
      </c>
      <c r="C810" s="23">
        <v>0.14147999999999999</v>
      </c>
      <c r="D810" s="19" t="s">
        <v>15</v>
      </c>
      <c r="E810" s="21">
        <v>35.996000000000002</v>
      </c>
      <c r="F810" s="21">
        <v>1.105</v>
      </c>
      <c r="G810" s="23">
        <v>0</v>
      </c>
      <c r="H810" s="26">
        <v>0</v>
      </c>
      <c r="I810" s="19" t="s">
        <v>17</v>
      </c>
      <c r="J810" s="8">
        <v>23</v>
      </c>
      <c r="K810" s="19" t="s">
        <v>18</v>
      </c>
      <c r="L810" s="19" t="s">
        <v>38</v>
      </c>
      <c r="M810" s="8">
        <v>1</v>
      </c>
      <c r="N810" s="33">
        <f t="shared" si="96"/>
        <v>0</v>
      </c>
      <c r="O810" s="23">
        <f t="shared" si="97"/>
        <v>0.12803619909502262</v>
      </c>
      <c r="P810" s="59">
        <f t="shared" si="98"/>
        <v>3.069785531725747E-2</v>
      </c>
      <c r="Q810" s="30">
        <f t="shared" si="99"/>
        <v>0</v>
      </c>
      <c r="R810" s="30">
        <f t="shared" si="100"/>
        <v>-1</v>
      </c>
      <c r="S810" s="12">
        <f t="shared" si="101"/>
        <v>0</v>
      </c>
      <c r="T810" s="30">
        <f t="shared" si="102"/>
        <v>0</v>
      </c>
      <c r="U810" s="9" t="str">
        <f t="shared" si="103"/>
        <v>18-24</v>
      </c>
    </row>
    <row r="811" spans="1:21">
      <c r="A811" t="s">
        <v>843</v>
      </c>
      <c r="B811" s="8">
        <v>9286</v>
      </c>
      <c r="C811" s="23">
        <v>7.8060000000000004E-2</v>
      </c>
      <c r="D811" s="19" t="s">
        <v>28</v>
      </c>
      <c r="E811" s="21">
        <v>32.319000000000003</v>
      </c>
      <c r="F811" s="21">
        <v>6.4119999999999999</v>
      </c>
      <c r="G811" s="23">
        <v>0.23227999999999999</v>
      </c>
      <c r="H811" s="26">
        <v>1</v>
      </c>
      <c r="I811" s="19" t="s">
        <v>21</v>
      </c>
      <c r="J811" s="8">
        <v>26</v>
      </c>
      <c r="K811" s="19" t="s">
        <v>37</v>
      </c>
      <c r="L811" s="19" t="s">
        <v>19</v>
      </c>
      <c r="M811" s="8">
        <v>3</v>
      </c>
      <c r="N811" s="33">
        <f t="shared" si="96"/>
        <v>0.15595757953836556</v>
      </c>
      <c r="O811" s="23">
        <f t="shared" si="97"/>
        <v>1.2174048658764817E-2</v>
      </c>
      <c r="P811" s="59">
        <f t="shared" si="98"/>
        <v>0.19839722763699369</v>
      </c>
      <c r="Q811" s="30">
        <f t="shared" si="99"/>
        <v>7.8060000000000004E-2</v>
      </c>
      <c r="R811" s="30">
        <f t="shared" si="100"/>
        <v>1.9756597489110934</v>
      </c>
      <c r="S811" s="12">
        <f t="shared" si="101"/>
        <v>2.9756597489110939</v>
      </c>
      <c r="T811" s="30">
        <f t="shared" si="102"/>
        <v>3.6225826575171552E-2</v>
      </c>
      <c r="U811" s="9" t="str">
        <f t="shared" si="103"/>
        <v>25-34</v>
      </c>
    </row>
    <row r="812" spans="1:21">
      <c r="A812" t="s">
        <v>844</v>
      </c>
      <c r="B812" s="8">
        <v>8159</v>
      </c>
      <c r="C812" s="23">
        <v>0.16273000000000001</v>
      </c>
      <c r="D812" s="19" t="s">
        <v>25</v>
      </c>
      <c r="E812" s="21">
        <v>12.398999999999999</v>
      </c>
      <c r="F812" s="21">
        <v>2.2170000000000001</v>
      </c>
      <c r="G812" s="23">
        <v>0</v>
      </c>
      <c r="H812" s="26">
        <v>0</v>
      </c>
      <c r="I812" s="19" t="s">
        <v>34</v>
      </c>
      <c r="J812" s="8">
        <v>34</v>
      </c>
      <c r="K812" s="19" t="s">
        <v>37</v>
      </c>
      <c r="L812" s="19" t="s">
        <v>32</v>
      </c>
      <c r="M812" s="8">
        <v>3</v>
      </c>
      <c r="N812" s="33">
        <f t="shared" si="96"/>
        <v>0</v>
      </c>
      <c r="O812" s="23">
        <f t="shared" si="97"/>
        <v>7.340099233198015E-2</v>
      </c>
      <c r="P812" s="59">
        <f t="shared" si="98"/>
        <v>0.17880474231792889</v>
      </c>
      <c r="Q812" s="30">
        <f t="shared" si="99"/>
        <v>0</v>
      </c>
      <c r="R812" s="30">
        <f t="shared" si="100"/>
        <v>-1</v>
      </c>
      <c r="S812" s="12">
        <f t="shared" si="101"/>
        <v>0</v>
      </c>
      <c r="T812" s="30">
        <f t="shared" si="102"/>
        <v>0</v>
      </c>
      <c r="U812" s="9" t="str">
        <f t="shared" si="103"/>
        <v>25-34</v>
      </c>
    </row>
    <row r="813" spans="1:21">
      <c r="A813" t="s">
        <v>845</v>
      </c>
      <c r="B813" s="8">
        <v>4631</v>
      </c>
      <c r="C813" s="23">
        <v>0.19306000000000001</v>
      </c>
      <c r="D813" s="19" t="s">
        <v>15</v>
      </c>
      <c r="E813" s="21">
        <v>86.754999999999995</v>
      </c>
      <c r="F813" s="21">
        <v>2.343</v>
      </c>
      <c r="G813" s="23">
        <v>0</v>
      </c>
      <c r="H813" s="26">
        <v>0</v>
      </c>
      <c r="I813" s="19" t="s">
        <v>21</v>
      </c>
      <c r="J813" s="8">
        <v>29</v>
      </c>
      <c r="K813" s="19" t="s">
        <v>22</v>
      </c>
      <c r="L813" s="19" t="s">
        <v>38</v>
      </c>
      <c r="M813" s="8">
        <v>4</v>
      </c>
      <c r="N813" s="33">
        <f t="shared" si="96"/>
        <v>0</v>
      </c>
      <c r="O813" s="23">
        <f t="shared" si="97"/>
        <v>8.2398634229620155E-2</v>
      </c>
      <c r="P813" s="59">
        <f t="shared" si="98"/>
        <v>2.7007088928592014E-2</v>
      </c>
      <c r="Q813" s="30">
        <f t="shared" si="99"/>
        <v>0</v>
      </c>
      <c r="R813" s="30">
        <f t="shared" si="100"/>
        <v>-1</v>
      </c>
      <c r="S813" s="12">
        <f t="shared" si="101"/>
        <v>0</v>
      </c>
      <c r="T813" s="30">
        <f t="shared" si="102"/>
        <v>0</v>
      </c>
      <c r="U813" s="9" t="str">
        <f t="shared" si="103"/>
        <v>25-34</v>
      </c>
    </row>
    <row r="814" spans="1:21">
      <c r="A814" t="s">
        <v>846</v>
      </c>
      <c r="B814" s="8">
        <v>5408</v>
      </c>
      <c r="C814" s="23">
        <v>0.11885</v>
      </c>
      <c r="D814" s="19" t="s">
        <v>32</v>
      </c>
      <c r="E814" s="21">
        <v>61.564</v>
      </c>
      <c r="F814" s="21">
        <v>7.4829999999999997</v>
      </c>
      <c r="G814" s="23">
        <v>0</v>
      </c>
      <c r="H814" s="26">
        <v>0</v>
      </c>
      <c r="I814" s="19" t="s">
        <v>29</v>
      </c>
      <c r="J814" s="8">
        <v>37</v>
      </c>
      <c r="K814" s="19" t="s">
        <v>18</v>
      </c>
      <c r="L814" s="19" t="s">
        <v>38</v>
      </c>
      <c r="M814" s="8">
        <v>5</v>
      </c>
      <c r="N814" s="33">
        <f t="shared" si="96"/>
        <v>0</v>
      </c>
      <c r="O814" s="23">
        <f t="shared" si="97"/>
        <v>1.5882667379393291E-2</v>
      </c>
      <c r="P814" s="59">
        <f t="shared" si="98"/>
        <v>0.12154830745240724</v>
      </c>
      <c r="Q814" s="30">
        <f t="shared" si="99"/>
        <v>0</v>
      </c>
      <c r="R814" s="30">
        <f t="shared" si="100"/>
        <v>-1</v>
      </c>
      <c r="S814" s="12">
        <f t="shared" si="101"/>
        <v>0</v>
      </c>
      <c r="T814" s="30">
        <f t="shared" si="102"/>
        <v>0</v>
      </c>
      <c r="U814" s="9" t="str">
        <f t="shared" si="103"/>
        <v>35-44</v>
      </c>
    </row>
    <row r="815" spans="1:21">
      <c r="A815" t="s">
        <v>847</v>
      </c>
      <c r="B815" s="8">
        <v>2788</v>
      </c>
      <c r="C815" s="23">
        <v>4.7969999999999999E-2</v>
      </c>
      <c r="D815" s="19" t="s">
        <v>45</v>
      </c>
      <c r="E815" s="21">
        <v>16.986999999999998</v>
      </c>
      <c r="F815" s="21">
        <v>0.42199999999999999</v>
      </c>
      <c r="G815" s="23">
        <v>0</v>
      </c>
      <c r="H815" s="26">
        <v>0</v>
      </c>
      <c r="I815" s="19" t="s">
        <v>29</v>
      </c>
      <c r="J815" s="8">
        <v>24</v>
      </c>
      <c r="K815" s="19" t="s">
        <v>31</v>
      </c>
      <c r="L815" s="19" t="s">
        <v>45</v>
      </c>
      <c r="M815" s="8">
        <v>5</v>
      </c>
      <c r="N815" s="33">
        <f t="shared" si="96"/>
        <v>0</v>
      </c>
      <c r="O815" s="23">
        <f t="shared" si="97"/>
        <v>0.11367298578199052</v>
      </c>
      <c r="P815" s="59">
        <f t="shared" si="98"/>
        <v>2.4842526638017309E-2</v>
      </c>
      <c r="Q815" s="30">
        <f t="shared" si="99"/>
        <v>0</v>
      </c>
      <c r="R815" s="30">
        <f t="shared" si="100"/>
        <v>-1</v>
      </c>
      <c r="S815" s="12">
        <f t="shared" si="101"/>
        <v>0</v>
      </c>
      <c r="T815" s="30">
        <f t="shared" si="102"/>
        <v>0</v>
      </c>
      <c r="U815" s="9" t="str">
        <f t="shared" si="103"/>
        <v>18-24</v>
      </c>
    </row>
    <row r="816" spans="1:21">
      <c r="A816" t="s">
        <v>848</v>
      </c>
      <c r="B816" s="8">
        <v>2498</v>
      </c>
      <c r="C816" s="23">
        <v>0.16167999999999999</v>
      </c>
      <c r="D816" s="19" t="s">
        <v>28</v>
      </c>
      <c r="E816" s="21">
        <v>60.033999999999999</v>
      </c>
      <c r="F816" s="21">
        <v>2.5739999999999998</v>
      </c>
      <c r="G816" s="23">
        <v>0</v>
      </c>
      <c r="H816" s="26">
        <v>0</v>
      </c>
      <c r="I816" s="19" t="s">
        <v>17</v>
      </c>
      <c r="J816" s="8">
        <v>54</v>
      </c>
      <c r="K816" s="19" t="s">
        <v>22</v>
      </c>
      <c r="L816" s="19" t="s">
        <v>32</v>
      </c>
      <c r="M816" s="8">
        <v>5</v>
      </c>
      <c r="N816" s="33">
        <f t="shared" si="96"/>
        <v>0</v>
      </c>
      <c r="O816" s="23">
        <f t="shared" si="97"/>
        <v>6.2812742812742808E-2</v>
      </c>
      <c r="P816" s="59">
        <f t="shared" si="98"/>
        <v>4.2875703767864877E-2</v>
      </c>
      <c r="Q816" s="30">
        <f t="shared" si="99"/>
        <v>0</v>
      </c>
      <c r="R816" s="30">
        <f t="shared" si="100"/>
        <v>-1</v>
      </c>
      <c r="S816" s="12">
        <f t="shared" si="101"/>
        <v>0</v>
      </c>
      <c r="T816" s="30">
        <f t="shared" si="102"/>
        <v>0</v>
      </c>
      <c r="U816" s="9" t="str">
        <f t="shared" si="103"/>
        <v>45-54</v>
      </c>
    </row>
    <row r="817" spans="1:21">
      <c r="A817" t="s">
        <v>849</v>
      </c>
      <c r="B817" s="8">
        <v>1278</v>
      </c>
      <c r="C817" s="23">
        <v>0.19041</v>
      </c>
      <c r="D817" s="19" t="s">
        <v>15</v>
      </c>
      <c r="E817" s="21">
        <v>61.542000000000002</v>
      </c>
      <c r="F817" s="21">
        <v>8.66</v>
      </c>
      <c r="G817" s="23">
        <v>0</v>
      </c>
      <c r="H817" s="26">
        <v>0</v>
      </c>
      <c r="I817" s="19" t="s">
        <v>21</v>
      </c>
      <c r="J817" s="8">
        <v>64</v>
      </c>
      <c r="K817" s="19" t="s">
        <v>18</v>
      </c>
      <c r="L817" s="19" t="s">
        <v>23</v>
      </c>
      <c r="M817" s="8" t="s">
        <v>1065</v>
      </c>
      <c r="N817" s="33">
        <f t="shared" si="96"/>
        <v>0</v>
      </c>
      <c r="O817" s="23">
        <f t="shared" si="97"/>
        <v>2.198729792147806E-2</v>
      </c>
      <c r="P817" s="59">
        <f t="shared" si="98"/>
        <v>0.14071690877774529</v>
      </c>
      <c r="Q817" s="30">
        <f t="shared" si="99"/>
        <v>0</v>
      </c>
      <c r="R817" s="30">
        <f t="shared" si="100"/>
        <v>-1</v>
      </c>
      <c r="S817" s="12">
        <f t="shared" si="101"/>
        <v>0</v>
      </c>
      <c r="T817" s="30">
        <f t="shared" si="102"/>
        <v>0</v>
      </c>
      <c r="U817" s="9" t="str">
        <f t="shared" si="103"/>
        <v>55+</v>
      </c>
    </row>
    <row r="818" spans="1:21">
      <c r="A818" t="s">
        <v>850</v>
      </c>
      <c r="B818" s="8">
        <v>5149</v>
      </c>
      <c r="C818" s="23">
        <v>0</v>
      </c>
      <c r="D818" s="19" t="s">
        <v>45</v>
      </c>
      <c r="E818" s="21">
        <v>93.757000000000005</v>
      </c>
      <c r="F818" s="21">
        <v>7.266</v>
      </c>
      <c r="G818" s="23">
        <v>0</v>
      </c>
      <c r="H818" s="26">
        <v>0</v>
      </c>
      <c r="I818" s="19" t="s">
        <v>26</v>
      </c>
      <c r="J818" s="8">
        <v>63</v>
      </c>
      <c r="K818" s="19" t="s">
        <v>31</v>
      </c>
      <c r="L818" s="19" t="s">
        <v>45</v>
      </c>
      <c r="M818" s="8">
        <v>1</v>
      </c>
      <c r="N818" s="33">
        <f t="shared" si="96"/>
        <v>0</v>
      </c>
      <c r="O818" s="23">
        <f t="shared" si="97"/>
        <v>0</v>
      </c>
      <c r="P818" s="59">
        <f t="shared" si="98"/>
        <v>7.7498213466727819E-2</v>
      </c>
      <c r="Q818" s="30">
        <f t="shared" si="99"/>
        <v>0</v>
      </c>
      <c r="R818" s="30">
        <f t="shared" si="100"/>
        <v>0</v>
      </c>
      <c r="S818" s="12">
        <f t="shared" si="101"/>
        <v>0</v>
      </c>
      <c r="T818" s="30">
        <f t="shared" si="102"/>
        <v>0</v>
      </c>
      <c r="U818" s="9" t="str">
        <f t="shared" si="103"/>
        <v>55+</v>
      </c>
    </row>
    <row r="819" spans="1:21">
      <c r="A819" t="s">
        <v>851</v>
      </c>
      <c r="B819" s="8">
        <v>8287</v>
      </c>
      <c r="C819" s="23">
        <v>0.16175</v>
      </c>
      <c r="D819" s="19" t="s">
        <v>32</v>
      </c>
      <c r="E819" s="21">
        <v>5.859</v>
      </c>
      <c r="F819" s="21">
        <v>4.0430000000000001</v>
      </c>
      <c r="G819" s="23">
        <v>0.37426999999999999</v>
      </c>
      <c r="H819" s="26">
        <v>1</v>
      </c>
      <c r="I819" s="19" t="s">
        <v>34</v>
      </c>
      <c r="J819" s="8">
        <v>34</v>
      </c>
      <c r="K819" s="19" t="s">
        <v>31</v>
      </c>
      <c r="L819" s="19" t="s">
        <v>45</v>
      </c>
      <c r="M819" s="8" t="s">
        <v>1065</v>
      </c>
      <c r="N819" s="33">
        <f t="shared" si="96"/>
        <v>0.24734108335394508</v>
      </c>
      <c r="O819" s="23">
        <f t="shared" si="97"/>
        <v>4.0007420232500618E-2</v>
      </c>
      <c r="P819" s="59">
        <f t="shared" si="98"/>
        <v>0.69004949650110947</v>
      </c>
      <c r="Q819" s="30">
        <f t="shared" si="99"/>
        <v>0.16175</v>
      </c>
      <c r="R819" s="30">
        <f t="shared" si="100"/>
        <v>1.3138794435857803</v>
      </c>
      <c r="S819" s="12">
        <f t="shared" si="101"/>
        <v>2.3138794435857806</v>
      </c>
      <c r="T819" s="30">
        <f t="shared" si="102"/>
        <v>9.2572347266881017E-2</v>
      </c>
      <c r="U819" s="9" t="str">
        <f t="shared" si="103"/>
        <v>25-34</v>
      </c>
    </row>
    <row r="820" spans="1:21">
      <c r="A820" t="s">
        <v>852</v>
      </c>
      <c r="B820" s="8">
        <v>6200</v>
      </c>
      <c r="C820" s="23">
        <v>6.5629999999999994E-2</v>
      </c>
      <c r="D820" s="19" t="s">
        <v>28</v>
      </c>
      <c r="E820" s="21">
        <v>49.915999999999997</v>
      </c>
      <c r="F820" s="21">
        <v>4.8630000000000004</v>
      </c>
      <c r="G820" s="23">
        <v>0</v>
      </c>
      <c r="H820" s="26">
        <v>0</v>
      </c>
      <c r="I820" s="19" t="s">
        <v>17</v>
      </c>
      <c r="J820" s="8">
        <v>65</v>
      </c>
      <c r="K820" s="19" t="s">
        <v>37</v>
      </c>
      <c r="L820" s="19" t="s">
        <v>45</v>
      </c>
      <c r="M820" s="8" t="s">
        <v>1065</v>
      </c>
      <c r="N820" s="33">
        <f t="shared" si="96"/>
        <v>0</v>
      </c>
      <c r="O820" s="23">
        <f t="shared" si="97"/>
        <v>1.3495784495167589E-2</v>
      </c>
      <c r="P820" s="59">
        <f t="shared" si="98"/>
        <v>9.742367176857121E-2</v>
      </c>
      <c r="Q820" s="30">
        <f t="shared" si="99"/>
        <v>0</v>
      </c>
      <c r="R820" s="30">
        <f t="shared" si="100"/>
        <v>-1</v>
      </c>
      <c r="S820" s="12">
        <f t="shared" si="101"/>
        <v>0</v>
      </c>
      <c r="T820" s="30">
        <f t="shared" si="102"/>
        <v>0</v>
      </c>
      <c r="U820" s="9" t="str">
        <f t="shared" si="103"/>
        <v>55+</v>
      </c>
    </row>
    <row r="821" spans="1:21">
      <c r="A821" t="s">
        <v>853</v>
      </c>
      <c r="B821" s="8">
        <v>8728</v>
      </c>
      <c r="C821" s="23">
        <v>0</v>
      </c>
      <c r="D821" s="19" t="s">
        <v>45</v>
      </c>
      <c r="E821" s="21">
        <v>44.55</v>
      </c>
      <c r="F821" s="21">
        <v>6.5730000000000004</v>
      </c>
      <c r="G821" s="23">
        <v>0</v>
      </c>
      <c r="H821" s="26">
        <v>0</v>
      </c>
      <c r="I821" s="19" t="s">
        <v>1067</v>
      </c>
      <c r="J821" s="8">
        <v>41</v>
      </c>
      <c r="K821" s="19" t="s">
        <v>31</v>
      </c>
      <c r="L821" s="19" t="s">
        <v>38</v>
      </c>
      <c r="M821" s="8">
        <v>1</v>
      </c>
      <c r="N821" s="33">
        <f t="shared" si="96"/>
        <v>0</v>
      </c>
      <c r="O821" s="23">
        <f t="shared" si="97"/>
        <v>0</v>
      </c>
      <c r="P821" s="59">
        <f t="shared" si="98"/>
        <v>0.14754208754208756</v>
      </c>
      <c r="Q821" s="30">
        <f t="shared" si="99"/>
        <v>0</v>
      </c>
      <c r="R821" s="30">
        <f t="shared" si="100"/>
        <v>0</v>
      </c>
      <c r="S821" s="12">
        <f t="shared" si="101"/>
        <v>0</v>
      </c>
      <c r="T821" s="30">
        <f t="shared" si="102"/>
        <v>0</v>
      </c>
      <c r="U821" s="9" t="str">
        <f t="shared" si="103"/>
        <v>35-44</v>
      </c>
    </row>
    <row r="822" spans="1:21">
      <c r="A822" t="s">
        <v>854</v>
      </c>
      <c r="B822" s="8">
        <v>4477</v>
      </c>
      <c r="C822" s="23">
        <v>0</v>
      </c>
      <c r="D822" s="19" t="s">
        <v>32</v>
      </c>
      <c r="E822" s="21">
        <v>19.856999999999999</v>
      </c>
      <c r="F822" s="21">
        <v>1.141</v>
      </c>
      <c r="G822" s="23">
        <v>0</v>
      </c>
      <c r="H822" s="26">
        <v>0</v>
      </c>
      <c r="I822" s="19" t="s">
        <v>17</v>
      </c>
      <c r="J822" s="8">
        <v>62</v>
      </c>
      <c r="K822" s="19" t="s">
        <v>31</v>
      </c>
      <c r="L822" s="19" t="s">
        <v>45</v>
      </c>
      <c r="M822" s="8" t="s">
        <v>1065</v>
      </c>
      <c r="N822" s="33">
        <f t="shared" si="96"/>
        <v>0</v>
      </c>
      <c r="O822" s="23">
        <f t="shared" si="97"/>
        <v>0</v>
      </c>
      <c r="P822" s="59">
        <f t="shared" si="98"/>
        <v>5.7460845042050665E-2</v>
      </c>
      <c r="Q822" s="30">
        <f t="shared" si="99"/>
        <v>0</v>
      </c>
      <c r="R822" s="30">
        <f t="shared" si="100"/>
        <v>0</v>
      </c>
      <c r="S822" s="12">
        <f t="shared" si="101"/>
        <v>0</v>
      </c>
      <c r="T822" s="30">
        <f t="shared" si="102"/>
        <v>0</v>
      </c>
      <c r="U822" s="9" t="str">
        <f t="shared" si="103"/>
        <v>55+</v>
      </c>
    </row>
    <row r="823" spans="1:21">
      <c r="A823" t="s">
        <v>855</v>
      </c>
      <c r="B823" s="8">
        <v>7466</v>
      </c>
      <c r="C823" s="23">
        <v>0.19628999999999999</v>
      </c>
      <c r="D823" s="19" t="s">
        <v>32</v>
      </c>
      <c r="E823" s="21">
        <v>65.632999999999996</v>
      </c>
      <c r="F823" s="21">
        <v>1.802</v>
      </c>
      <c r="G823" s="23">
        <v>0.35765000000000002</v>
      </c>
      <c r="H823" s="26">
        <v>1</v>
      </c>
      <c r="I823" s="19" t="s">
        <v>26</v>
      </c>
      <c r="J823" s="8">
        <v>46</v>
      </c>
      <c r="K823" s="19" t="s">
        <v>18</v>
      </c>
      <c r="L823" s="19" t="s">
        <v>19</v>
      </c>
      <c r="M823" s="8">
        <v>4</v>
      </c>
      <c r="N823" s="33">
        <f t="shared" si="96"/>
        <v>0.55493895671476134</v>
      </c>
      <c r="O823" s="23">
        <f t="shared" si="97"/>
        <v>0.1089289678135405</v>
      </c>
      <c r="P823" s="59">
        <f t="shared" si="98"/>
        <v>2.7455700638398368E-2</v>
      </c>
      <c r="Q823" s="30">
        <f t="shared" si="99"/>
        <v>0.19628999999999999</v>
      </c>
      <c r="R823" s="30">
        <f t="shared" si="100"/>
        <v>0.82204900911916057</v>
      </c>
      <c r="S823" s="12">
        <f t="shared" si="101"/>
        <v>1.8220490091191606</v>
      </c>
      <c r="T823" s="30">
        <f t="shared" si="102"/>
        <v>0.19847391786903443</v>
      </c>
      <c r="U823" s="9" t="str">
        <f t="shared" si="103"/>
        <v>45-54</v>
      </c>
    </row>
    <row r="824" spans="1:21">
      <c r="A824" t="s">
        <v>856</v>
      </c>
      <c r="B824" s="8">
        <v>1739</v>
      </c>
      <c r="C824" s="23">
        <v>0.17774999999999999</v>
      </c>
      <c r="D824" s="19" t="s">
        <v>32</v>
      </c>
      <c r="E824" s="21">
        <v>38.828000000000003</v>
      </c>
      <c r="F824" s="21">
        <v>3.9790000000000001</v>
      </c>
      <c r="G824" s="23">
        <v>0</v>
      </c>
      <c r="H824" s="26">
        <v>0</v>
      </c>
      <c r="I824" s="19" t="s">
        <v>17</v>
      </c>
      <c r="J824" s="8">
        <v>28</v>
      </c>
      <c r="K824" s="19" t="s">
        <v>31</v>
      </c>
      <c r="L824" s="19" t="s">
        <v>45</v>
      </c>
      <c r="M824" s="8">
        <v>3</v>
      </c>
      <c r="N824" s="33">
        <f t="shared" si="96"/>
        <v>0</v>
      </c>
      <c r="O824" s="23">
        <f t="shared" si="97"/>
        <v>4.4672028147775822E-2</v>
      </c>
      <c r="P824" s="59">
        <f t="shared" si="98"/>
        <v>0.10247759348923456</v>
      </c>
      <c r="Q824" s="30">
        <f t="shared" si="99"/>
        <v>0</v>
      </c>
      <c r="R824" s="30">
        <f t="shared" si="100"/>
        <v>-1</v>
      </c>
      <c r="S824" s="12">
        <f t="shared" si="101"/>
        <v>0</v>
      </c>
      <c r="T824" s="30">
        <f t="shared" si="102"/>
        <v>0</v>
      </c>
      <c r="U824" s="9" t="str">
        <f t="shared" si="103"/>
        <v>25-34</v>
      </c>
    </row>
    <row r="825" spans="1:21">
      <c r="A825" t="s">
        <v>857</v>
      </c>
      <c r="B825" s="8">
        <v>3062</v>
      </c>
      <c r="C825" s="23">
        <v>0</v>
      </c>
      <c r="D825" s="19" t="s">
        <v>32</v>
      </c>
      <c r="E825" s="21">
        <v>57.497999999999998</v>
      </c>
      <c r="F825" s="21">
        <v>8.3699999999999992</v>
      </c>
      <c r="G825" s="23">
        <v>0</v>
      </c>
      <c r="H825" s="26">
        <v>0</v>
      </c>
      <c r="I825" s="19" t="s">
        <v>34</v>
      </c>
      <c r="J825" s="8">
        <v>51</v>
      </c>
      <c r="K825" s="19" t="s">
        <v>31</v>
      </c>
      <c r="L825" s="19" t="s">
        <v>23</v>
      </c>
      <c r="M825" s="8">
        <v>3</v>
      </c>
      <c r="N825" s="33">
        <f t="shared" si="96"/>
        <v>0</v>
      </c>
      <c r="O825" s="23">
        <f t="shared" si="97"/>
        <v>0</v>
      </c>
      <c r="P825" s="59">
        <f t="shared" si="98"/>
        <v>0.14557028070541583</v>
      </c>
      <c r="Q825" s="30">
        <f t="shared" si="99"/>
        <v>0</v>
      </c>
      <c r="R825" s="30">
        <f t="shared" si="100"/>
        <v>0</v>
      </c>
      <c r="S825" s="12">
        <f t="shared" si="101"/>
        <v>0</v>
      </c>
      <c r="T825" s="30">
        <f t="shared" si="102"/>
        <v>0</v>
      </c>
      <c r="U825" s="9" t="str">
        <f t="shared" si="103"/>
        <v>45-54</v>
      </c>
    </row>
    <row r="826" spans="1:21">
      <c r="A826" t="s">
        <v>858</v>
      </c>
      <c r="B826" s="8">
        <v>3084</v>
      </c>
      <c r="C826" s="23">
        <v>2.852E-2</v>
      </c>
      <c r="D826" s="19" t="s">
        <v>25</v>
      </c>
      <c r="E826" s="21">
        <v>66.864999999999995</v>
      </c>
      <c r="F826" s="21">
        <v>1.869</v>
      </c>
      <c r="G826" s="23">
        <v>0.17771000000000001</v>
      </c>
      <c r="H826" s="26">
        <v>1</v>
      </c>
      <c r="I826" s="19" t="s">
        <v>29</v>
      </c>
      <c r="J826" s="8">
        <v>64</v>
      </c>
      <c r="K826" s="19" t="s">
        <v>37</v>
      </c>
      <c r="L826" s="19" t="s">
        <v>23</v>
      </c>
      <c r="M826" s="8">
        <v>2</v>
      </c>
      <c r="N826" s="33">
        <f t="shared" si="96"/>
        <v>0.53504547886570364</v>
      </c>
      <c r="O826" s="23">
        <f t="shared" si="97"/>
        <v>1.5259497057249867E-2</v>
      </c>
      <c r="P826" s="59">
        <f t="shared" si="98"/>
        <v>2.7951843266282812E-2</v>
      </c>
      <c r="Q826" s="30">
        <f t="shared" si="99"/>
        <v>2.852E-2</v>
      </c>
      <c r="R826" s="30">
        <f t="shared" si="100"/>
        <v>5.2310659186535773</v>
      </c>
      <c r="S826" s="12">
        <f t="shared" si="101"/>
        <v>6.2310659186535764</v>
      </c>
      <c r="T826" s="30">
        <f t="shared" si="102"/>
        <v>9.5082932049224189E-2</v>
      </c>
      <c r="U826" s="9" t="str">
        <f t="shared" si="103"/>
        <v>55+</v>
      </c>
    </row>
    <row r="827" spans="1:21">
      <c r="A827" t="s">
        <v>859</v>
      </c>
      <c r="B827" s="8">
        <v>7386</v>
      </c>
      <c r="C827" s="23">
        <v>5.4539999999999998E-2</v>
      </c>
      <c r="D827" s="19" t="s">
        <v>40</v>
      </c>
      <c r="E827" s="21">
        <v>72.119</v>
      </c>
      <c r="F827" s="21">
        <v>8.5679999999999996</v>
      </c>
      <c r="G827" s="23">
        <v>0</v>
      </c>
      <c r="H827" s="26">
        <v>0</v>
      </c>
      <c r="I827" s="19" t="s">
        <v>17</v>
      </c>
      <c r="J827" s="8">
        <v>59</v>
      </c>
      <c r="K827" s="19" t="s">
        <v>18</v>
      </c>
      <c r="L827" s="19" t="s">
        <v>19</v>
      </c>
      <c r="M827" s="8" t="s">
        <v>1065</v>
      </c>
      <c r="N827" s="33">
        <f t="shared" si="96"/>
        <v>0</v>
      </c>
      <c r="O827" s="23">
        <f t="shared" si="97"/>
        <v>6.3655462184873954E-3</v>
      </c>
      <c r="P827" s="59">
        <f t="shared" si="98"/>
        <v>0.11880364397731527</v>
      </c>
      <c r="Q827" s="30">
        <f t="shared" si="99"/>
        <v>0</v>
      </c>
      <c r="R827" s="30">
        <f t="shared" si="100"/>
        <v>-1</v>
      </c>
      <c r="S827" s="12">
        <f t="shared" si="101"/>
        <v>0</v>
      </c>
      <c r="T827" s="30">
        <f t="shared" si="102"/>
        <v>0</v>
      </c>
      <c r="U827" s="9" t="str">
        <f t="shared" si="103"/>
        <v>55+</v>
      </c>
    </row>
    <row r="828" spans="1:21">
      <c r="A828" t="s">
        <v>860</v>
      </c>
      <c r="B828" s="8">
        <v>3006</v>
      </c>
      <c r="C828" s="23">
        <v>0.11064</v>
      </c>
      <c r="D828" s="19" t="s">
        <v>25</v>
      </c>
      <c r="E828" s="21">
        <v>21.131</v>
      </c>
      <c r="F828" s="21">
        <v>5.6710000000000003</v>
      </c>
      <c r="G828" s="23">
        <v>0</v>
      </c>
      <c r="H828" s="26">
        <v>0</v>
      </c>
      <c r="I828" s="19" t="s">
        <v>29</v>
      </c>
      <c r="J828" s="8">
        <v>22</v>
      </c>
      <c r="K828" s="19" t="s">
        <v>22</v>
      </c>
      <c r="L828" s="19" t="s">
        <v>32</v>
      </c>
      <c r="M828" s="8">
        <v>5</v>
      </c>
      <c r="N828" s="33">
        <f t="shared" si="96"/>
        <v>0</v>
      </c>
      <c r="O828" s="23">
        <f t="shared" si="97"/>
        <v>1.9509786633750661E-2</v>
      </c>
      <c r="P828" s="59">
        <f t="shared" si="98"/>
        <v>0.26837347972173586</v>
      </c>
      <c r="Q828" s="30">
        <f t="shared" si="99"/>
        <v>0</v>
      </c>
      <c r="R828" s="30">
        <f t="shared" si="100"/>
        <v>-1</v>
      </c>
      <c r="S828" s="12">
        <f t="shared" si="101"/>
        <v>0</v>
      </c>
      <c r="T828" s="30">
        <f t="shared" si="102"/>
        <v>0</v>
      </c>
      <c r="U828" s="9" t="str">
        <f t="shared" si="103"/>
        <v>18-24</v>
      </c>
    </row>
    <row r="829" spans="1:21">
      <c r="A829" t="s">
        <v>861</v>
      </c>
      <c r="B829" s="8">
        <v>9409</v>
      </c>
      <c r="C829" s="23">
        <v>0.13533000000000001</v>
      </c>
      <c r="D829" s="19" t="s">
        <v>40</v>
      </c>
      <c r="E829" s="21">
        <v>14.435</v>
      </c>
      <c r="F829" s="21">
        <v>9.0250000000000004</v>
      </c>
      <c r="G829" s="23">
        <v>0</v>
      </c>
      <c r="H829" s="26">
        <v>0</v>
      </c>
      <c r="I829" s="19" t="s">
        <v>26</v>
      </c>
      <c r="J829" s="8">
        <v>50</v>
      </c>
      <c r="K829" s="19" t="s">
        <v>18</v>
      </c>
      <c r="L829" s="19" t="s">
        <v>45</v>
      </c>
      <c r="M829" s="8">
        <v>2</v>
      </c>
      <c r="N829" s="33">
        <f t="shared" si="96"/>
        <v>0</v>
      </c>
      <c r="O829" s="23">
        <f t="shared" si="97"/>
        <v>1.4995013850415512E-2</v>
      </c>
      <c r="P829" s="59">
        <f t="shared" si="98"/>
        <v>0.62521648770349847</v>
      </c>
      <c r="Q829" s="30">
        <f t="shared" si="99"/>
        <v>0</v>
      </c>
      <c r="R829" s="30">
        <f t="shared" si="100"/>
        <v>-1</v>
      </c>
      <c r="S829" s="12">
        <f t="shared" si="101"/>
        <v>0</v>
      </c>
      <c r="T829" s="30">
        <f t="shared" si="102"/>
        <v>0</v>
      </c>
      <c r="U829" s="9" t="str">
        <f t="shared" si="103"/>
        <v>45-54</v>
      </c>
    </row>
    <row r="830" spans="1:21">
      <c r="A830" t="s">
        <v>862</v>
      </c>
      <c r="B830" s="8">
        <v>7552</v>
      </c>
      <c r="C830" s="23">
        <v>9.0010000000000007E-2</v>
      </c>
      <c r="D830" s="19" t="s">
        <v>40</v>
      </c>
      <c r="E830" s="21">
        <v>99.739000000000004</v>
      </c>
      <c r="F830" s="21">
        <v>8.5939999999999994</v>
      </c>
      <c r="G830" s="23">
        <v>0.43348999999999999</v>
      </c>
      <c r="H830" s="26">
        <v>1</v>
      </c>
      <c r="I830" s="19" t="s">
        <v>17</v>
      </c>
      <c r="J830" s="8">
        <v>64</v>
      </c>
      <c r="K830" s="19" t="s">
        <v>18</v>
      </c>
      <c r="L830" s="19" t="s">
        <v>45</v>
      </c>
      <c r="M830" s="8">
        <v>3</v>
      </c>
      <c r="N830" s="33">
        <f t="shared" si="96"/>
        <v>0.1163602513381429</v>
      </c>
      <c r="O830" s="23">
        <f t="shared" si="97"/>
        <v>1.0473586222946243E-2</v>
      </c>
      <c r="P830" s="59">
        <f t="shared" si="98"/>
        <v>8.6164890363849639E-2</v>
      </c>
      <c r="Q830" s="30">
        <f t="shared" si="99"/>
        <v>9.0010000000000007E-2</v>
      </c>
      <c r="R830" s="30">
        <f t="shared" si="100"/>
        <v>3.8160204421730919</v>
      </c>
      <c r="S830" s="12">
        <f t="shared" si="101"/>
        <v>4.816020442173091</v>
      </c>
      <c r="T830" s="30">
        <f t="shared" si="102"/>
        <v>5.0441005352571566E-2</v>
      </c>
      <c r="U830" s="9" t="str">
        <f t="shared" si="103"/>
        <v>55+</v>
      </c>
    </row>
    <row r="831" spans="1:21">
      <c r="A831" t="s">
        <v>863</v>
      </c>
      <c r="B831" s="8">
        <v>4725</v>
      </c>
      <c r="C831" s="23">
        <v>0</v>
      </c>
      <c r="D831" s="19" t="s">
        <v>32</v>
      </c>
      <c r="E831" s="21">
        <v>28.867000000000001</v>
      </c>
      <c r="F831" s="21">
        <v>5.6920000000000002</v>
      </c>
      <c r="G831" s="23">
        <v>0</v>
      </c>
      <c r="H831" s="26">
        <v>0</v>
      </c>
      <c r="I831" s="19" t="s">
        <v>21</v>
      </c>
      <c r="J831" s="8">
        <v>54</v>
      </c>
      <c r="K831" s="19" t="s">
        <v>22</v>
      </c>
      <c r="L831" s="19" t="s">
        <v>45</v>
      </c>
      <c r="M831" s="8">
        <v>1</v>
      </c>
      <c r="N831" s="33">
        <f t="shared" si="96"/>
        <v>0</v>
      </c>
      <c r="O831" s="23">
        <f t="shared" si="97"/>
        <v>0</v>
      </c>
      <c r="P831" s="59">
        <f t="shared" si="98"/>
        <v>0.19718017112966363</v>
      </c>
      <c r="Q831" s="30">
        <f t="shared" si="99"/>
        <v>0</v>
      </c>
      <c r="R831" s="30">
        <f t="shared" si="100"/>
        <v>0</v>
      </c>
      <c r="S831" s="12">
        <f t="shared" si="101"/>
        <v>0</v>
      </c>
      <c r="T831" s="30">
        <f t="shared" si="102"/>
        <v>0</v>
      </c>
      <c r="U831" s="9" t="str">
        <f t="shared" si="103"/>
        <v>45-54</v>
      </c>
    </row>
    <row r="832" spans="1:21">
      <c r="A832" t="s">
        <v>864</v>
      </c>
      <c r="B832" s="8">
        <v>7434</v>
      </c>
      <c r="C832" s="23">
        <v>0.16983000000000001</v>
      </c>
      <c r="D832" s="19" t="s">
        <v>32</v>
      </c>
      <c r="E832" s="21">
        <v>17.96</v>
      </c>
      <c r="F832" s="21">
        <v>8.734</v>
      </c>
      <c r="G832" s="23">
        <v>0</v>
      </c>
      <c r="H832" s="26">
        <v>0</v>
      </c>
      <c r="I832" s="19" t="s">
        <v>34</v>
      </c>
      <c r="J832" s="8">
        <v>53</v>
      </c>
      <c r="K832" s="19" t="s">
        <v>31</v>
      </c>
      <c r="L832" s="19" t="s">
        <v>45</v>
      </c>
      <c r="M832" s="8" t="s">
        <v>1065</v>
      </c>
      <c r="N832" s="33">
        <f t="shared" si="96"/>
        <v>0</v>
      </c>
      <c r="O832" s="23">
        <f t="shared" si="97"/>
        <v>1.9444698877948249E-2</v>
      </c>
      <c r="P832" s="59">
        <f t="shared" si="98"/>
        <v>0.48630289532293985</v>
      </c>
      <c r="Q832" s="30">
        <f t="shared" si="99"/>
        <v>0</v>
      </c>
      <c r="R832" s="30">
        <f t="shared" si="100"/>
        <v>-1</v>
      </c>
      <c r="S832" s="12">
        <f t="shared" si="101"/>
        <v>0</v>
      </c>
      <c r="T832" s="30">
        <f t="shared" si="102"/>
        <v>0</v>
      </c>
      <c r="U832" s="9" t="str">
        <f t="shared" si="103"/>
        <v>45-54</v>
      </c>
    </row>
    <row r="833" spans="1:21">
      <c r="A833" t="s">
        <v>865</v>
      </c>
      <c r="B833" s="8">
        <v>9480</v>
      </c>
      <c r="C833" s="23">
        <v>0.18622</v>
      </c>
      <c r="D833" s="19" t="s">
        <v>32</v>
      </c>
      <c r="E833" s="21">
        <v>78.034000000000006</v>
      </c>
      <c r="F833" s="21">
        <v>6.5810000000000004</v>
      </c>
      <c r="G833" s="23">
        <v>0</v>
      </c>
      <c r="H833" s="26">
        <v>0</v>
      </c>
      <c r="I833" s="19" t="s">
        <v>26</v>
      </c>
      <c r="J833" s="8">
        <v>34</v>
      </c>
      <c r="K833" s="19" t="s">
        <v>18</v>
      </c>
      <c r="L833" s="19" t="s">
        <v>45</v>
      </c>
      <c r="M833" s="8">
        <v>1</v>
      </c>
      <c r="N833" s="33">
        <f t="shared" si="96"/>
        <v>0</v>
      </c>
      <c r="O833" s="23">
        <f t="shared" si="97"/>
        <v>2.8296611457225344E-2</v>
      </c>
      <c r="P833" s="59">
        <f t="shared" si="98"/>
        <v>8.4335033446959015E-2</v>
      </c>
      <c r="Q833" s="30">
        <f t="shared" si="99"/>
        <v>0</v>
      </c>
      <c r="R833" s="30">
        <f t="shared" si="100"/>
        <v>-1</v>
      </c>
      <c r="S833" s="12">
        <f t="shared" si="101"/>
        <v>0</v>
      </c>
      <c r="T833" s="30">
        <f t="shared" si="102"/>
        <v>0</v>
      </c>
      <c r="U833" s="9" t="str">
        <f t="shared" si="103"/>
        <v>25-34</v>
      </c>
    </row>
    <row r="834" spans="1:21">
      <c r="A834" t="s">
        <v>866</v>
      </c>
      <c r="B834" s="8">
        <v>9083</v>
      </c>
      <c r="C834" s="23">
        <v>0</v>
      </c>
      <c r="D834" s="19" t="s">
        <v>15</v>
      </c>
      <c r="E834" s="21">
        <v>54.265999999999998</v>
      </c>
      <c r="F834" s="21">
        <v>5.6920000000000002</v>
      </c>
      <c r="G834" s="23">
        <v>0.26439000000000001</v>
      </c>
      <c r="H834" s="26">
        <v>1</v>
      </c>
      <c r="I834" s="19" t="s">
        <v>21</v>
      </c>
      <c r="J834" s="8">
        <v>59</v>
      </c>
      <c r="K834" s="19" t="s">
        <v>18</v>
      </c>
      <c r="L834" s="19" t="s">
        <v>38</v>
      </c>
      <c r="M834" s="8">
        <v>3</v>
      </c>
      <c r="N834" s="33">
        <f t="shared" ref="N834:N897" si="104">IF(F834=0,0,H834/F834)</f>
        <v>0.17568517217146873</v>
      </c>
      <c r="O834" s="23">
        <f t="shared" ref="O834:O897" si="105">IF(F834=0,0,C834/F834)</f>
        <v>0</v>
      </c>
      <c r="P834" s="59">
        <f t="shared" ref="P834:P897" si="106">IF(E834=0,0,F834/E834)</f>
        <v>0.10489072347326135</v>
      </c>
      <c r="Q834" s="30">
        <f t="shared" ref="Q834:Q897" si="107">IF(H834=0,0,C834/H834)</f>
        <v>0</v>
      </c>
      <c r="R834" s="30">
        <f t="shared" ref="R834:R897" si="108">IF(C834=0,0,(G834-C834)/C834)</f>
        <v>0</v>
      </c>
      <c r="S834" s="12" t="e">
        <f t="shared" ref="S834:S897" si="109">IF(G834=0,0,G834/C834)</f>
        <v>#DIV/0!</v>
      </c>
      <c r="T834" s="30">
        <f t="shared" ref="T834:T897" si="110">IF(F834=0,0,G834/F834)</f>
        <v>4.644940267041462E-2</v>
      </c>
      <c r="U834" s="9" t="str">
        <f t="shared" si="103"/>
        <v>55+</v>
      </c>
    </row>
    <row r="835" spans="1:21">
      <c r="A835" t="s">
        <v>867</v>
      </c>
      <c r="B835" s="8">
        <v>1330</v>
      </c>
      <c r="C835" s="23">
        <v>0.17277999999999999</v>
      </c>
      <c r="D835" s="19" t="s">
        <v>28</v>
      </c>
      <c r="E835" s="21">
        <v>37.573999999999998</v>
      </c>
      <c r="F835" s="21">
        <v>9.4420000000000002</v>
      </c>
      <c r="G835" s="23">
        <v>0</v>
      </c>
      <c r="H835" s="26">
        <v>0</v>
      </c>
      <c r="I835" s="19" t="s">
        <v>17</v>
      </c>
      <c r="J835" s="8">
        <v>40</v>
      </c>
      <c r="K835" s="19" t="s">
        <v>18</v>
      </c>
      <c r="L835" s="19" t="s">
        <v>23</v>
      </c>
      <c r="M835" s="8" t="s">
        <v>1065</v>
      </c>
      <c r="N835" s="33">
        <f t="shared" si="104"/>
        <v>0</v>
      </c>
      <c r="O835" s="23">
        <f t="shared" si="105"/>
        <v>1.8299089176022028E-2</v>
      </c>
      <c r="P835" s="59">
        <f t="shared" si="106"/>
        <v>0.25129078618193434</v>
      </c>
      <c r="Q835" s="30">
        <f t="shared" si="107"/>
        <v>0</v>
      </c>
      <c r="R835" s="30">
        <f t="shared" si="108"/>
        <v>-1</v>
      </c>
      <c r="S835" s="12">
        <f t="shared" si="109"/>
        <v>0</v>
      </c>
      <c r="T835" s="30">
        <f t="shared" si="110"/>
        <v>0</v>
      </c>
      <c r="U835" s="9" t="str">
        <f t="shared" ref="U835:U898" si="111">IF(J835&lt;25,"18-24",IF(J835&lt;35,"25-34",IF(J835&lt;45,"35-44",IF(J835&lt;55,"45-54","55+"))))</f>
        <v>35-44</v>
      </c>
    </row>
    <row r="836" spans="1:21">
      <c r="A836" t="s">
        <v>868</v>
      </c>
      <c r="B836" s="8">
        <v>6392</v>
      </c>
      <c r="C836" s="23">
        <v>0.11111</v>
      </c>
      <c r="D836" s="19" t="s">
        <v>28</v>
      </c>
      <c r="E836" s="21">
        <v>53.475000000000001</v>
      </c>
      <c r="F836" s="21">
        <v>0.95899999999999996</v>
      </c>
      <c r="G836" s="23">
        <v>0</v>
      </c>
      <c r="H836" s="26">
        <v>0</v>
      </c>
      <c r="I836" s="19" t="s">
        <v>29</v>
      </c>
      <c r="J836" s="8">
        <v>49</v>
      </c>
      <c r="K836" s="19" t="s">
        <v>18</v>
      </c>
      <c r="L836" s="19" t="s">
        <v>38</v>
      </c>
      <c r="M836" s="8">
        <v>5</v>
      </c>
      <c r="N836" s="33">
        <f t="shared" si="104"/>
        <v>0</v>
      </c>
      <c r="O836" s="23">
        <f t="shared" si="105"/>
        <v>0.11586027111574557</v>
      </c>
      <c r="P836" s="59">
        <f t="shared" si="106"/>
        <v>1.7933613838242168E-2</v>
      </c>
      <c r="Q836" s="30">
        <f t="shared" si="107"/>
        <v>0</v>
      </c>
      <c r="R836" s="30">
        <f t="shared" si="108"/>
        <v>-1</v>
      </c>
      <c r="S836" s="12">
        <f t="shared" si="109"/>
        <v>0</v>
      </c>
      <c r="T836" s="30">
        <f t="shared" si="110"/>
        <v>0</v>
      </c>
      <c r="U836" s="9" t="str">
        <f t="shared" si="111"/>
        <v>45-54</v>
      </c>
    </row>
    <row r="837" spans="1:21">
      <c r="A837" t="s">
        <v>869</v>
      </c>
      <c r="B837" s="8">
        <v>5063</v>
      </c>
      <c r="C837" s="23">
        <v>0</v>
      </c>
      <c r="D837" s="19" t="s">
        <v>45</v>
      </c>
      <c r="E837" s="21">
        <v>95.111000000000004</v>
      </c>
      <c r="F837" s="21">
        <v>1.304</v>
      </c>
      <c r="G837" s="23">
        <v>0.17549999999999999</v>
      </c>
      <c r="H837" s="26">
        <v>1</v>
      </c>
      <c r="I837" s="19" t="s">
        <v>29</v>
      </c>
      <c r="J837" s="8">
        <v>38</v>
      </c>
      <c r="K837" s="19" t="s">
        <v>31</v>
      </c>
      <c r="L837" s="19" t="s">
        <v>23</v>
      </c>
      <c r="M837" s="8" t="s">
        <v>1065</v>
      </c>
      <c r="N837" s="33">
        <f t="shared" si="104"/>
        <v>0.76687116564417179</v>
      </c>
      <c r="O837" s="23">
        <f t="shared" si="105"/>
        <v>0</v>
      </c>
      <c r="P837" s="59">
        <f t="shared" si="106"/>
        <v>1.3710296390533167E-2</v>
      </c>
      <c r="Q837" s="30">
        <f t="shared" si="107"/>
        <v>0</v>
      </c>
      <c r="R837" s="30">
        <f t="shared" si="108"/>
        <v>0</v>
      </c>
      <c r="S837" s="12" t="e">
        <f t="shared" si="109"/>
        <v>#DIV/0!</v>
      </c>
      <c r="T837" s="30">
        <f t="shared" si="110"/>
        <v>0.13458588957055215</v>
      </c>
      <c r="U837" s="9" t="str">
        <f t="shared" si="111"/>
        <v>35-44</v>
      </c>
    </row>
    <row r="838" spans="1:21">
      <c r="A838" t="s">
        <v>870</v>
      </c>
      <c r="B838" s="8">
        <v>5589</v>
      </c>
      <c r="C838" s="23">
        <v>0</v>
      </c>
      <c r="D838" s="19" t="s">
        <v>25</v>
      </c>
      <c r="E838" s="21">
        <v>97.563000000000002</v>
      </c>
      <c r="F838" s="21">
        <v>2.1259999999999999</v>
      </c>
      <c r="G838" s="23">
        <v>0</v>
      </c>
      <c r="H838" s="26">
        <v>0</v>
      </c>
      <c r="I838" s="19" t="s">
        <v>26</v>
      </c>
      <c r="J838" s="8">
        <v>45</v>
      </c>
      <c r="K838" s="19" t="s">
        <v>37</v>
      </c>
      <c r="L838" s="19" t="s">
        <v>19</v>
      </c>
      <c r="M838" s="8" t="s">
        <v>1065</v>
      </c>
      <c r="N838" s="33">
        <f t="shared" si="104"/>
        <v>0</v>
      </c>
      <c r="O838" s="23">
        <f t="shared" si="105"/>
        <v>0</v>
      </c>
      <c r="P838" s="59">
        <f t="shared" si="106"/>
        <v>2.1791047835757405E-2</v>
      </c>
      <c r="Q838" s="30">
        <f t="shared" si="107"/>
        <v>0</v>
      </c>
      <c r="R838" s="30">
        <f t="shared" si="108"/>
        <v>0</v>
      </c>
      <c r="S838" s="12">
        <f t="shared" si="109"/>
        <v>0</v>
      </c>
      <c r="T838" s="30">
        <f t="shared" si="110"/>
        <v>0</v>
      </c>
      <c r="U838" s="9" t="str">
        <f t="shared" si="111"/>
        <v>45-54</v>
      </c>
    </row>
    <row r="839" spans="1:21">
      <c r="A839" t="s">
        <v>871</v>
      </c>
      <c r="B839" s="8">
        <v>7538</v>
      </c>
      <c r="C839" s="23">
        <v>0.13264999999999999</v>
      </c>
      <c r="D839" s="19" t="s">
        <v>25</v>
      </c>
      <c r="E839" s="21">
        <v>71.697999999999993</v>
      </c>
      <c r="F839" s="21">
        <v>9.6850000000000005</v>
      </c>
      <c r="G839" s="23">
        <v>0.44918999999999998</v>
      </c>
      <c r="H839" s="26">
        <v>1</v>
      </c>
      <c r="I839" s="19" t="s">
        <v>26</v>
      </c>
      <c r="J839" s="8">
        <v>20</v>
      </c>
      <c r="K839" s="19" t="s">
        <v>31</v>
      </c>
      <c r="L839" s="19" t="s">
        <v>45</v>
      </c>
      <c r="M839" s="8" t="s">
        <v>1065</v>
      </c>
      <c r="N839" s="33">
        <f t="shared" si="104"/>
        <v>0.10325245224574083</v>
      </c>
      <c r="O839" s="23">
        <f t="shared" si="105"/>
        <v>1.3696437790397521E-2</v>
      </c>
      <c r="P839" s="59">
        <f t="shared" si="106"/>
        <v>0.13508047644285756</v>
      </c>
      <c r="Q839" s="30">
        <f t="shared" si="107"/>
        <v>0.13264999999999999</v>
      </c>
      <c r="R839" s="30">
        <f t="shared" si="108"/>
        <v>2.386279683377309</v>
      </c>
      <c r="S839" s="12">
        <f t="shared" si="109"/>
        <v>3.386279683377309</v>
      </c>
      <c r="T839" s="30">
        <f t="shared" si="110"/>
        <v>4.637996902426432E-2</v>
      </c>
      <c r="U839" s="9" t="str">
        <f t="shared" si="111"/>
        <v>18-24</v>
      </c>
    </row>
    <row r="840" spans="1:21">
      <c r="A840" t="s">
        <v>872</v>
      </c>
      <c r="B840" s="8">
        <v>8213</v>
      </c>
      <c r="C840" s="23">
        <v>0.10507</v>
      </c>
      <c r="D840" s="19" t="s">
        <v>32</v>
      </c>
      <c r="E840" s="21">
        <v>96.814999999999998</v>
      </c>
      <c r="F840" s="21">
        <v>9.5269999999999992</v>
      </c>
      <c r="G840" s="23">
        <v>0</v>
      </c>
      <c r="H840" s="26">
        <v>0</v>
      </c>
      <c r="I840" s="19" t="s">
        <v>34</v>
      </c>
      <c r="J840" s="8">
        <v>61</v>
      </c>
      <c r="K840" s="19" t="s">
        <v>22</v>
      </c>
      <c r="L840" s="19" t="s">
        <v>32</v>
      </c>
      <c r="M840" s="8">
        <v>1</v>
      </c>
      <c r="N840" s="33">
        <f t="shared" si="104"/>
        <v>0</v>
      </c>
      <c r="O840" s="23">
        <f t="shared" si="105"/>
        <v>1.1028655400440852E-2</v>
      </c>
      <c r="P840" s="59">
        <f t="shared" si="106"/>
        <v>9.8404172907090831E-2</v>
      </c>
      <c r="Q840" s="30">
        <f t="shared" si="107"/>
        <v>0</v>
      </c>
      <c r="R840" s="30">
        <f t="shared" si="108"/>
        <v>-1</v>
      </c>
      <c r="S840" s="12">
        <f t="shared" si="109"/>
        <v>0</v>
      </c>
      <c r="T840" s="30">
        <f t="shared" si="110"/>
        <v>0</v>
      </c>
      <c r="U840" s="9" t="str">
        <f t="shared" si="111"/>
        <v>55+</v>
      </c>
    </row>
    <row r="841" spans="1:21">
      <c r="A841" t="s">
        <v>873</v>
      </c>
      <c r="B841" s="8">
        <v>7552</v>
      </c>
      <c r="C841" s="23">
        <v>0.13583000000000001</v>
      </c>
      <c r="D841" s="19" t="s">
        <v>45</v>
      </c>
      <c r="E841" s="21">
        <v>95.686000000000007</v>
      </c>
      <c r="F841" s="21">
        <v>3.069</v>
      </c>
      <c r="G841" s="23">
        <v>0</v>
      </c>
      <c r="H841" s="26">
        <v>0</v>
      </c>
      <c r="I841" s="19" t="s">
        <v>34</v>
      </c>
      <c r="J841" s="8">
        <v>33</v>
      </c>
      <c r="K841" s="19" t="s">
        <v>22</v>
      </c>
      <c r="L841" s="19" t="s">
        <v>23</v>
      </c>
      <c r="M841" s="8">
        <v>5</v>
      </c>
      <c r="N841" s="33">
        <f t="shared" si="104"/>
        <v>0</v>
      </c>
      <c r="O841" s="23">
        <f t="shared" si="105"/>
        <v>4.4258716194200069E-2</v>
      </c>
      <c r="P841" s="59">
        <f t="shared" si="106"/>
        <v>3.2073657588361934E-2</v>
      </c>
      <c r="Q841" s="30">
        <f t="shared" si="107"/>
        <v>0</v>
      </c>
      <c r="R841" s="30">
        <f t="shared" si="108"/>
        <v>-1</v>
      </c>
      <c r="S841" s="12">
        <f t="shared" si="109"/>
        <v>0</v>
      </c>
      <c r="T841" s="30">
        <f t="shared" si="110"/>
        <v>0</v>
      </c>
      <c r="U841" s="9" t="str">
        <f t="shared" si="111"/>
        <v>25-34</v>
      </c>
    </row>
    <row r="842" spans="1:21">
      <c r="A842" t="s">
        <v>874</v>
      </c>
      <c r="B842" s="8">
        <v>1766</v>
      </c>
      <c r="C842" s="23">
        <v>6.2820000000000001E-2</v>
      </c>
      <c r="D842" s="19" t="s">
        <v>32</v>
      </c>
      <c r="E842" s="21">
        <v>58.72</v>
      </c>
      <c r="F842" s="21">
        <v>8.3870000000000005</v>
      </c>
      <c r="G842" s="23">
        <v>0</v>
      </c>
      <c r="H842" s="26">
        <v>0</v>
      </c>
      <c r="I842" s="19" t="s">
        <v>34</v>
      </c>
      <c r="J842" s="8">
        <v>37</v>
      </c>
      <c r="K842" s="19" t="s">
        <v>22</v>
      </c>
      <c r="L842" s="19" t="s">
        <v>45</v>
      </c>
      <c r="M842" s="8">
        <v>3</v>
      </c>
      <c r="N842" s="33">
        <f t="shared" si="104"/>
        <v>0</v>
      </c>
      <c r="O842" s="23">
        <f t="shared" si="105"/>
        <v>7.4901633480386311E-3</v>
      </c>
      <c r="P842" s="59">
        <f t="shared" si="106"/>
        <v>0.14283038147138966</v>
      </c>
      <c r="Q842" s="30">
        <f t="shared" si="107"/>
        <v>0</v>
      </c>
      <c r="R842" s="30">
        <f t="shared" si="108"/>
        <v>-1</v>
      </c>
      <c r="S842" s="12">
        <f t="shared" si="109"/>
        <v>0</v>
      </c>
      <c r="T842" s="30">
        <f t="shared" si="110"/>
        <v>0</v>
      </c>
      <c r="U842" s="9" t="str">
        <f t="shared" si="111"/>
        <v>35-44</v>
      </c>
    </row>
    <row r="843" spans="1:21">
      <c r="A843" t="s">
        <v>875</v>
      </c>
      <c r="B843" s="8">
        <v>1617</v>
      </c>
      <c r="C843" s="23">
        <v>0.13591</v>
      </c>
      <c r="D843" s="19" t="s">
        <v>15</v>
      </c>
      <c r="E843" s="21">
        <v>61.975999999999999</v>
      </c>
      <c r="F843" s="21">
        <v>7.8369999999999997</v>
      </c>
      <c r="G843" s="23">
        <v>0</v>
      </c>
      <c r="H843" s="26">
        <v>0</v>
      </c>
      <c r="I843" s="19" t="s">
        <v>21</v>
      </c>
      <c r="J843" s="8">
        <v>61</v>
      </c>
      <c r="K843" s="19" t="s">
        <v>31</v>
      </c>
      <c r="L843" s="19" t="s">
        <v>32</v>
      </c>
      <c r="M843" s="8">
        <v>5</v>
      </c>
      <c r="N843" s="33">
        <f t="shared" si="104"/>
        <v>0</v>
      </c>
      <c r="O843" s="23">
        <f t="shared" si="105"/>
        <v>1.7342095189485773E-2</v>
      </c>
      <c r="P843" s="59">
        <f t="shared" si="106"/>
        <v>0.1264521750354976</v>
      </c>
      <c r="Q843" s="30">
        <f t="shared" si="107"/>
        <v>0</v>
      </c>
      <c r="R843" s="30">
        <f t="shared" si="108"/>
        <v>-1</v>
      </c>
      <c r="S843" s="12">
        <f t="shared" si="109"/>
        <v>0</v>
      </c>
      <c r="T843" s="30">
        <f t="shared" si="110"/>
        <v>0</v>
      </c>
      <c r="U843" s="9" t="str">
        <f t="shared" si="111"/>
        <v>55+</v>
      </c>
    </row>
    <row r="844" spans="1:21">
      <c r="A844" t="s">
        <v>876</v>
      </c>
      <c r="B844" s="8">
        <v>1046</v>
      </c>
      <c r="C844" s="23">
        <v>8.473E-2</v>
      </c>
      <c r="D844" s="19" t="s">
        <v>40</v>
      </c>
      <c r="E844" s="21">
        <v>26.059000000000001</v>
      </c>
      <c r="F844" s="21">
        <v>0.48899999999999999</v>
      </c>
      <c r="G844" s="23">
        <v>0</v>
      </c>
      <c r="H844" s="26">
        <v>0</v>
      </c>
      <c r="I844" s="19" t="s">
        <v>17</v>
      </c>
      <c r="J844" s="8">
        <v>24</v>
      </c>
      <c r="K844" s="19" t="s">
        <v>37</v>
      </c>
      <c r="L844" s="19" t="s">
        <v>45</v>
      </c>
      <c r="M844" s="8">
        <v>2</v>
      </c>
      <c r="N844" s="33">
        <f t="shared" si="104"/>
        <v>0</v>
      </c>
      <c r="O844" s="23">
        <f t="shared" si="105"/>
        <v>0.17327198364008181</v>
      </c>
      <c r="P844" s="59">
        <f t="shared" si="106"/>
        <v>1.8765109942822055E-2</v>
      </c>
      <c r="Q844" s="30">
        <f t="shared" si="107"/>
        <v>0</v>
      </c>
      <c r="R844" s="30">
        <f t="shared" si="108"/>
        <v>-1</v>
      </c>
      <c r="S844" s="12">
        <f t="shared" si="109"/>
        <v>0</v>
      </c>
      <c r="T844" s="30">
        <f t="shared" si="110"/>
        <v>0</v>
      </c>
      <c r="U844" s="9" t="str">
        <f t="shared" si="111"/>
        <v>18-24</v>
      </c>
    </row>
    <row r="845" spans="1:21">
      <c r="A845" t="s">
        <v>877</v>
      </c>
      <c r="B845" s="8">
        <v>3825</v>
      </c>
      <c r="C845" s="23">
        <v>5.9229999999999998E-2</v>
      </c>
      <c r="D845" s="19" t="s">
        <v>32</v>
      </c>
      <c r="E845" s="21">
        <v>42.893000000000001</v>
      </c>
      <c r="F845" s="21">
        <v>3.6760000000000002</v>
      </c>
      <c r="G845" s="23">
        <v>0</v>
      </c>
      <c r="H845" s="26">
        <v>0</v>
      </c>
      <c r="I845" s="19" t="s">
        <v>17</v>
      </c>
      <c r="J845" s="8">
        <v>28</v>
      </c>
      <c r="K845" s="19" t="s">
        <v>31</v>
      </c>
      <c r="L845" s="19" t="s">
        <v>45</v>
      </c>
      <c r="M845" s="8">
        <v>4</v>
      </c>
      <c r="N845" s="33">
        <f t="shared" si="104"/>
        <v>0</v>
      </c>
      <c r="O845" s="23">
        <f t="shared" si="105"/>
        <v>1.6112622415669204E-2</v>
      </c>
      <c r="P845" s="59">
        <f t="shared" si="106"/>
        <v>8.5701629636537435E-2</v>
      </c>
      <c r="Q845" s="30">
        <f t="shared" si="107"/>
        <v>0</v>
      </c>
      <c r="R845" s="30">
        <f t="shared" si="108"/>
        <v>-1</v>
      </c>
      <c r="S845" s="12">
        <f t="shared" si="109"/>
        <v>0</v>
      </c>
      <c r="T845" s="30">
        <f t="shared" si="110"/>
        <v>0</v>
      </c>
      <c r="U845" s="9" t="str">
        <f t="shared" si="111"/>
        <v>25-34</v>
      </c>
    </row>
    <row r="846" spans="1:21">
      <c r="A846" t="s">
        <v>878</v>
      </c>
      <c r="B846" s="8">
        <v>9187</v>
      </c>
      <c r="C846" s="23">
        <v>0.13311999999999999</v>
      </c>
      <c r="D846" s="19" t="s">
        <v>45</v>
      </c>
      <c r="E846" s="21">
        <v>3.54</v>
      </c>
      <c r="F846" s="21">
        <v>3.7930000000000001</v>
      </c>
      <c r="G846" s="23">
        <v>0</v>
      </c>
      <c r="H846" s="26">
        <v>0</v>
      </c>
      <c r="I846" s="19" t="s">
        <v>21</v>
      </c>
      <c r="J846" s="8">
        <v>42</v>
      </c>
      <c r="K846" s="19" t="s">
        <v>31</v>
      </c>
      <c r="L846" s="19" t="s">
        <v>19</v>
      </c>
      <c r="M846" s="8">
        <v>2</v>
      </c>
      <c r="N846" s="33">
        <f t="shared" si="104"/>
        <v>0</v>
      </c>
      <c r="O846" s="23">
        <f t="shared" si="105"/>
        <v>3.5096229897179011E-2</v>
      </c>
      <c r="P846" s="59">
        <f t="shared" si="106"/>
        <v>1.0714689265536723</v>
      </c>
      <c r="Q846" s="30">
        <f t="shared" si="107"/>
        <v>0</v>
      </c>
      <c r="R846" s="30">
        <f t="shared" si="108"/>
        <v>-1</v>
      </c>
      <c r="S846" s="12">
        <f t="shared" si="109"/>
        <v>0</v>
      </c>
      <c r="T846" s="30">
        <f t="shared" si="110"/>
        <v>0</v>
      </c>
      <c r="U846" s="9" t="str">
        <f t="shared" si="111"/>
        <v>35-44</v>
      </c>
    </row>
    <row r="847" spans="1:21">
      <c r="A847" t="s">
        <v>879</v>
      </c>
      <c r="B847" s="8">
        <v>4146</v>
      </c>
      <c r="C847" s="23">
        <v>8.3339999999999997E-2</v>
      </c>
      <c r="D847" s="19" t="s">
        <v>45</v>
      </c>
      <c r="E847" s="21">
        <v>24.846</v>
      </c>
      <c r="F847" s="21">
        <v>6.8470000000000004</v>
      </c>
      <c r="G847" s="23">
        <v>0.13408999999999999</v>
      </c>
      <c r="H847" s="26">
        <v>1</v>
      </c>
      <c r="I847" s="19" t="s">
        <v>21</v>
      </c>
      <c r="J847" s="8">
        <v>52</v>
      </c>
      <c r="K847" s="19" t="s">
        <v>18</v>
      </c>
      <c r="L847" s="19" t="s">
        <v>45</v>
      </c>
      <c r="M847" s="8" t="s">
        <v>1065</v>
      </c>
      <c r="N847" s="33">
        <f t="shared" si="104"/>
        <v>0.14604936468526361</v>
      </c>
      <c r="O847" s="23">
        <f t="shared" si="105"/>
        <v>1.2171754052869868E-2</v>
      </c>
      <c r="P847" s="59">
        <f t="shared" si="106"/>
        <v>0.27557755775577558</v>
      </c>
      <c r="Q847" s="30">
        <f t="shared" si="107"/>
        <v>8.3339999999999997E-2</v>
      </c>
      <c r="R847" s="30">
        <f t="shared" si="108"/>
        <v>0.60895128389728814</v>
      </c>
      <c r="S847" s="12">
        <f t="shared" si="109"/>
        <v>1.6089512838972881</v>
      </c>
      <c r="T847" s="30">
        <f t="shared" si="110"/>
        <v>1.9583759310646997E-2</v>
      </c>
      <c r="U847" s="9" t="str">
        <f t="shared" si="111"/>
        <v>45-54</v>
      </c>
    </row>
    <row r="848" spans="1:21">
      <c r="A848" t="s">
        <v>880</v>
      </c>
      <c r="B848" s="8">
        <v>2594</v>
      </c>
      <c r="C848" s="23">
        <v>0.19489999999999999</v>
      </c>
      <c r="D848" s="19" t="s">
        <v>25</v>
      </c>
      <c r="E848" s="21">
        <v>52.656999999999996</v>
      </c>
      <c r="F848" s="21">
        <v>1.407</v>
      </c>
      <c r="G848" s="23">
        <v>0</v>
      </c>
      <c r="H848" s="26">
        <v>0</v>
      </c>
      <c r="I848" s="19" t="s">
        <v>21</v>
      </c>
      <c r="J848" s="8">
        <v>41</v>
      </c>
      <c r="K848" s="19" t="s">
        <v>22</v>
      </c>
      <c r="L848" s="19" t="s">
        <v>19</v>
      </c>
      <c r="M848" s="8">
        <v>5</v>
      </c>
      <c r="N848" s="33">
        <f t="shared" si="104"/>
        <v>0</v>
      </c>
      <c r="O848" s="23">
        <f t="shared" si="105"/>
        <v>0.13852167732764747</v>
      </c>
      <c r="P848" s="59">
        <f t="shared" si="106"/>
        <v>2.6720094194504058E-2</v>
      </c>
      <c r="Q848" s="30">
        <f t="shared" si="107"/>
        <v>0</v>
      </c>
      <c r="R848" s="30">
        <f t="shared" si="108"/>
        <v>-1</v>
      </c>
      <c r="S848" s="12">
        <f t="shared" si="109"/>
        <v>0</v>
      </c>
      <c r="T848" s="30">
        <f t="shared" si="110"/>
        <v>0</v>
      </c>
      <c r="U848" s="9" t="str">
        <f t="shared" si="111"/>
        <v>35-44</v>
      </c>
    </row>
    <row r="849" spans="1:21">
      <c r="A849" t="s">
        <v>881</v>
      </c>
      <c r="B849" s="8">
        <v>3137</v>
      </c>
      <c r="C849" s="23">
        <v>2.8150000000000001E-2</v>
      </c>
      <c r="D849" s="19" t="s">
        <v>28</v>
      </c>
      <c r="E849" s="21">
        <v>96.968000000000004</v>
      </c>
      <c r="F849" s="21">
        <v>6.492</v>
      </c>
      <c r="G849" s="23">
        <v>0</v>
      </c>
      <c r="H849" s="26">
        <v>0</v>
      </c>
      <c r="I849" s="19" t="s">
        <v>29</v>
      </c>
      <c r="J849" s="8">
        <v>41</v>
      </c>
      <c r="K849" s="19" t="s">
        <v>37</v>
      </c>
      <c r="L849" s="19" t="s">
        <v>19</v>
      </c>
      <c r="M849" s="8">
        <v>4</v>
      </c>
      <c r="N849" s="33">
        <f t="shared" si="104"/>
        <v>0</v>
      </c>
      <c r="O849" s="23">
        <f t="shared" si="105"/>
        <v>4.3361059765865684E-3</v>
      </c>
      <c r="P849" s="59">
        <f t="shared" si="106"/>
        <v>6.6949921623628408E-2</v>
      </c>
      <c r="Q849" s="30">
        <f t="shared" si="107"/>
        <v>0</v>
      </c>
      <c r="R849" s="30">
        <f t="shared" si="108"/>
        <v>-1</v>
      </c>
      <c r="S849" s="12">
        <f t="shared" si="109"/>
        <v>0</v>
      </c>
      <c r="T849" s="30">
        <f t="shared" si="110"/>
        <v>0</v>
      </c>
      <c r="U849" s="9" t="str">
        <f t="shared" si="111"/>
        <v>35-44</v>
      </c>
    </row>
    <row r="850" spans="1:21">
      <c r="A850" t="s">
        <v>882</v>
      </c>
      <c r="B850" s="8">
        <v>6371</v>
      </c>
      <c r="C850" s="23">
        <v>0.13371</v>
      </c>
      <c r="D850" s="19" t="s">
        <v>32</v>
      </c>
      <c r="E850" s="21">
        <v>83.007999999999996</v>
      </c>
      <c r="F850" s="21">
        <v>9.2469999999999999</v>
      </c>
      <c r="G850" s="23">
        <v>0</v>
      </c>
      <c r="H850" s="26">
        <v>0</v>
      </c>
      <c r="I850" s="19" t="s">
        <v>17</v>
      </c>
      <c r="J850" s="8">
        <v>40</v>
      </c>
      <c r="K850" s="19" t="s">
        <v>18</v>
      </c>
      <c r="L850" s="19" t="s">
        <v>45</v>
      </c>
      <c r="M850" s="8">
        <v>5</v>
      </c>
      <c r="N850" s="33">
        <f t="shared" si="104"/>
        <v>0</v>
      </c>
      <c r="O850" s="23">
        <f t="shared" si="105"/>
        <v>1.4459824808045852E-2</v>
      </c>
      <c r="P850" s="59">
        <f t="shared" si="106"/>
        <v>0.11139890131071704</v>
      </c>
      <c r="Q850" s="30">
        <f t="shared" si="107"/>
        <v>0</v>
      </c>
      <c r="R850" s="30">
        <f t="shared" si="108"/>
        <v>-1</v>
      </c>
      <c r="S850" s="12">
        <f t="shared" si="109"/>
        <v>0</v>
      </c>
      <c r="T850" s="30">
        <f t="shared" si="110"/>
        <v>0</v>
      </c>
      <c r="U850" s="9" t="str">
        <f t="shared" si="111"/>
        <v>35-44</v>
      </c>
    </row>
    <row r="851" spans="1:21">
      <c r="A851" t="s">
        <v>883</v>
      </c>
      <c r="B851" s="8">
        <v>6281</v>
      </c>
      <c r="C851" s="23">
        <v>8.3949999999999997E-2</v>
      </c>
      <c r="D851" s="19" t="s">
        <v>40</v>
      </c>
      <c r="E851" s="21">
        <v>80.006</v>
      </c>
      <c r="F851" s="21">
        <v>9.5830000000000002</v>
      </c>
      <c r="G851" s="23">
        <v>0</v>
      </c>
      <c r="H851" s="26">
        <v>1</v>
      </c>
      <c r="I851" s="19" t="s">
        <v>34</v>
      </c>
      <c r="J851" s="8">
        <v>25</v>
      </c>
      <c r="K851" s="19" t="s">
        <v>22</v>
      </c>
      <c r="L851" s="19" t="s">
        <v>38</v>
      </c>
      <c r="M851" s="8">
        <v>5</v>
      </c>
      <c r="N851" s="33">
        <f t="shared" si="104"/>
        <v>0.10435145570280706</v>
      </c>
      <c r="O851" s="23">
        <f t="shared" si="105"/>
        <v>8.7603047062506517E-3</v>
      </c>
      <c r="P851" s="59">
        <f t="shared" si="106"/>
        <v>0.11977851661125416</v>
      </c>
      <c r="Q851" s="30">
        <f t="shared" si="107"/>
        <v>8.3949999999999997E-2</v>
      </c>
      <c r="R851" s="30">
        <f t="shared" si="108"/>
        <v>-1</v>
      </c>
      <c r="S851" s="12">
        <f t="shared" si="109"/>
        <v>0</v>
      </c>
      <c r="T851" s="30">
        <f t="shared" si="110"/>
        <v>0</v>
      </c>
      <c r="U851" s="9" t="str">
        <f t="shared" si="111"/>
        <v>25-34</v>
      </c>
    </row>
    <row r="852" spans="1:21">
      <c r="A852" t="s">
        <v>884</v>
      </c>
      <c r="B852" s="8">
        <v>4557</v>
      </c>
      <c r="C852" s="23">
        <v>0.10951</v>
      </c>
      <c r="D852" s="19" t="s">
        <v>25</v>
      </c>
      <c r="E852" s="21">
        <v>98.716999999999999</v>
      </c>
      <c r="F852" s="21">
        <v>7.468</v>
      </c>
      <c r="G852" s="23">
        <v>0.48876999999999998</v>
      </c>
      <c r="H852" s="26">
        <v>1</v>
      </c>
      <c r="I852" s="19" t="s">
        <v>26</v>
      </c>
      <c r="J852" s="8">
        <v>32</v>
      </c>
      <c r="K852" s="19" t="s">
        <v>22</v>
      </c>
      <c r="L852" s="19" t="s">
        <v>45</v>
      </c>
      <c r="M852" s="8" t="s">
        <v>1065</v>
      </c>
      <c r="N852" s="33">
        <f t="shared" si="104"/>
        <v>0.13390465988216391</v>
      </c>
      <c r="O852" s="23">
        <f t="shared" si="105"/>
        <v>1.4663899303695768E-2</v>
      </c>
      <c r="P852" s="59">
        <f t="shared" si="106"/>
        <v>7.5650597161583108E-2</v>
      </c>
      <c r="Q852" s="30">
        <f t="shared" si="107"/>
        <v>0.10951</v>
      </c>
      <c r="R852" s="30">
        <f t="shared" si="108"/>
        <v>3.4632453657200255</v>
      </c>
      <c r="S852" s="12">
        <f t="shared" si="109"/>
        <v>4.4632453657200255</v>
      </c>
      <c r="T852" s="30">
        <f t="shared" si="110"/>
        <v>6.5448580610605253E-2</v>
      </c>
      <c r="U852" s="9" t="str">
        <f t="shared" si="111"/>
        <v>25-34</v>
      </c>
    </row>
    <row r="853" spans="1:21">
      <c r="A853" t="s">
        <v>885</v>
      </c>
      <c r="B853" s="8">
        <v>9603</v>
      </c>
      <c r="C853" s="23">
        <v>0</v>
      </c>
      <c r="D853" s="19" t="s">
        <v>32</v>
      </c>
      <c r="E853" s="21">
        <v>19.062000000000001</v>
      </c>
      <c r="F853" s="21">
        <v>9.8490000000000002</v>
      </c>
      <c r="G853" s="23">
        <v>0</v>
      </c>
      <c r="H853" s="26">
        <v>0</v>
      </c>
      <c r="I853" s="19" t="s">
        <v>34</v>
      </c>
      <c r="J853" s="8">
        <v>39</v>
      </c>
      <c r="K853" s="19" t="s">
        <v>31</v>
      </c>
      <c r="L853" s="19" t="s">
        <v>45</v>
      </c>
      <c r="M853" s="8">
        <v>2</v>
      </c>
      <c r="N853" s="33">
        <f t="shared" si="104"/>
        <v>0</v>
      </c>
      <c r="O853" s="23">
        <f t="shared" si="105"/>
        <v>0</v>
      </c>
      <c r="P853" s="59">
        <f t="shared" si="106"/>
        <v>0.51668240478438776</v>
      </c>
      <c r="Q853" s="30">
        <f t="shared" si="107"/>
        <v>0</v>
      </c>
      <c r="R853" s="30">
        <f t="shared" si="108"/>
        <v>0</v>
      </c>
      <c r="S853" s="12">
        <f t="shared" si="109"/>
        <v>0</v>
      </c>
      <c r="T853" s="30">
        <f t="shared" si="110"/>
        <v>0</v>
      </c>
      <c r="U853" s="9" t="str">
        <f t="shared" si="111"/>
        <v>35-44</v>
      </c>
    </row>
    <row r="854" spans="1:21">
      <c r="A854" t="s">
        <v>886</v>
      </c>
      <c r="B854" s="8">
        <v>2194</v>
      </c>
      <c r="C854" s="23">
        <v>7.4349999999999999E-2</v>
      </c>
      <c r="D854" s="19" t="s">
        <v>25</v>
      </c>
      <c r="E854" s="21">
        <v>52.676000000000002</v>
      </c>
      <c r="F854" s="21">
        <v>3.5369999999999999</v>
      </c>
      <c r="G854" s="23">
        <v>0</v>
      </c>
      <c r="H854" s="26">
        <v>0</v>
      </c>
      <c r="I854" s="19" t="s">
        <v>29</v>
      </c>
      <c r="J854" s="8">
        <v>56</v>
      </c>
      <c r="K854" s="19" t="s">
        <v>22</v>
      </c>
      <c r="L854" s="19" t="s">
        <v>45</v>
      </c>
      <c r="M854" s="8">
        <v>4</v>
      </c>
      <c r="N854" s="33">
        <f t="shared" si="104"/>
        <v>0</v>
      </c>
      <c r="O854" s="23">
        <f t="shared" si="105"/>
        <v>2.1020638959570258E-2</v>
      </c>
      <c r="P854" s="59">
        <f t="shared" si="106"/>
        <v>6.7146328498747049E-2</v>
      </c>
      <c r="Q854" s="30">
        <f t="shared" si="107"/>
        <v>0</v>
      </c>
      <c r="R854" s="30">
        <f t="shared" si="108"/>
        <v>-1</v>
      </c>
      <c r="S854" s="12">
        <f t="shared" si="109"/>
        <v>0</v>
      </c>
      <c r="T854" s="30">
        <f t="shared" si="110"/>
        <v>0</v>
      </c>
      <c r="U854" s="9" t="str">
        <f t="shared" si="111"/>
        <v>55+</v>
      </c>
    </row>
    <row r="855" spans="1:21">
      <c r="A855" t="s">
        <v>887</v>
      </c>
      <c r="B855" s="8">
        <v>1158</v>
      </c>
      <c r="C855" s="23">
        <v>0.13142000000000001</v>
      </c>
      <c r="D855" s="19" t="s">
        <v>32</v>
      </c>
      <c r="E855" s="21">
        <v>14.465999999999999</v>
      </c>
      <c r="F855" s="21">
        <v>1.6259999999999999</v>
      </c>
      <c r="G855" s="23">
        <v>0</v>
      </c>
      <c r="H855" s="26">
        <v>0</v>
      </c>
      <c r="I855" s="19" t="s">
        <v>34</v>
      </c>
      <c r="J855" s="8">
        <v>41</v>
      </c>
      <c r="K855" s="19" t="s">
        <v>37</v>
      </c>
      <c r="L855" s="19" t="s">
        <v>32</v>
      </c>
      <c r="M855" s="8">
        <v>1</v>
      </c>
      <c r="N855" s="33">
        <f t="shared" si="104"/>
        <v>0</v>
      </c>
      <c r="O855" s="23">
        <f t="shared" si="105"/>
        <v>8.0824108241082424E-2</v>
      </c>
      <c r="P855" s="59">
        <f t="shared" si="106"/>
        <v>0.11240149315636665</v>
      </c>
      <c r="Q855" s="30">
        <f t="shared" si="107"/>
        <v>0</v>
      </c>
      <c r="R855" s="30">
        <f t="shared" si="108"/>
        <v>-1</v>
      </c>
      <c r="S855" s="12">
        <f t="shared" si="109"/>
        <v>0</v>
      </c>
      <c r="T855" s="30">
        <f t="shared" si="110"/>
        <v>0</v>
      </c>
      <c r="U855" s="9" t="str">
        <f t="shared" si="111"/>
        <v>35-44</v>
      </c>
    </row>
    <row r="856" spans="1:21">
      <c r="A856" t="s">
        <v>888</v>
      </c>
      <c r="B856" s="8">
        <v>9924</v>
      </c>
      <c r="C856" s="23">
        <v>0</v>
      </c>
      <c r="D856" s="19" t="s">
        <v>25</v>
      </c>
      <c r="E856" s="21">
        <v>10.012</v>
      </c>
      <c r="F856" s="21">
        <v>9.3170000000000002</v>
      </c>
      <c r="G856" s="23">
        <v>0</v>
      </c>
      <c r="H856" s="26">
        <v>0</v>
      </c>
      <c r="I856" s="19" t="s">
        <v>1067</v>
      </c>
      <c r="J856" s="8">
        <v>29</v>
      </c>
      <c r="K856" s="19" t="s">
        <v>22</v>
      </c>
      <c r="L856" s="19" t="s">
        <v>23</v>
      </c>
      <c r="M856" s="8" t="s">
        <v>1065</v>
      </c>
      <c r="N856" s="33">
        <f t="shared" si="104"/>
        <v>0</v>
      </c>
      <c r="O856" s="23">
        <f t="shared" si="105"/>
        <v>0</v>
      </c>
      <c r="P856" s="59">
        <f t="shared" si="106"/>
        <v>0.93058330003995204</v>
      </c>
      <c r="Q856" s="30">
        <f t="shared" si="107"/>
        <v>0</v>
      </c>
      <c r="R856" s="30">
        <f t="shared" si="108"/>
        <v>0</v>
      </c>
      <c r="S856" s="12">
        <f t="shared" si="109"/>
        <v>0</v>
      </c>
      <c r="T856" s="30">
        <f t="shared" si="110"/>
        <v>0</v>
      </c>
      <c r="U856" s="9" t="str">
        <f t="shared" si="111"/>
        <v>25-34</v>
      </c>
    </row>
    <row r="857" spans="1:21">
      <c r="A857" t="s">
        <v>889</v>
      </c>
      <c r="B857" s="8">
        <v>5215</v>
      </c>
      <c r="C857" s="23">
        <v>8.5669999999999996E-2</v>
      </c>
      <c r="D857" s="19" t="s">
        <v>32</v>
      </c>
      <c r="E857" s="21">
        <v>42.905999999999999</v>
      </c>
      <c r="F857" s="21">
        <v>6.9109999999999996</v>
      </c>
      <c r="G857" s="23">
        <v>0.23391000000000001</v>
      </c>
      <c r="H857" s="26">
        <v>1</v>
      </c>
      <c r="I857" s="19" t="s">
        <v>17</v>
      </c>
      <c r="J857" s="8">
        <v>24</v>
      </c>
      <c r="K857" s="19" t="s">
        <v>22</v>
      </c>
      <c r="L857" s="19" t="s">
        <v>45</v>
      </c>
      <c r="M857" s="8">
        <v>5</v>
      </c>
      <c r="N857" s="33">
        <f t="shared" si="104"/>
        <v>0.14469686007813631</v>
      </c>
      <c r="O857" s="23">
        <f t="shared" si="105"/>
        <v>1.2396180002893937E-2</v>
      </c>
      <c r="P857" s="59">
        <f t="shared" si="106"/>
        <v>0.16107304339719386</v>
      </c>
      <c r="Q857" s="30">
        <f t="shared" si="107"/>
        <v>8.5669999999999996E-2</v>
      </c>
      <c r="R857" s="30">
        <f t="shared" si="108"/>
        <v>1.7303606863546168</v>
      </c>
      <c r="S857" s="12">
        <f t="shared" si="109"/>
        <v>2.7303606863546168</v>
      </c>
      <c r="T857" s="30">
        <f t="shared" si="110"/>
        <v>3.3846042540876864E-2</v>
      </c>
      <c r="U857" s="9" t="str">
        <f t="shared" si="111"/>
        <v>18-24</v>
      </c>
    </row>
    <row r="858" spans="1:21">
      <c r="A858" t="s">
        <v>890</v>
      </c>
      <c r="B858" s="8">
        <v>5368</v>
      </c>
      <c r="C858" s="23">
        <v>0</v>
      </c>
      <c r="D858" s="19" t="s">
        <v>45</v>
      </c>
      <c r="E858" s="21">
        <v>2.9239999999999999</v>
      </c>
      <c r="F858" s="21">
        <v>2.5419999999999998</v>
      </c>
      <c r="G858" s="23">
        <v>0</v>
      </c>
      <c r="H858" s="26">
        <v>0</v>
      </c>
      <c r="I858" s="19" t="s">
        <v>21</v>
      </c>
      <c r="J858" s="8">
        <v>64</v>
      </c>
      <c r="K858" s="19" t="s">
        <v>31</v>
      </c>
      <c r="L858" s="19" t="s">
        <v>32</v>
      </c>
      <c r="M858" s="8">
        <v>5</v>
      </c>
      <c r="N858" s="33">
        <f t="shared" si="104"/>
        <v>0</v>
      </c>
      <c r="O858" s="23">
        <f t="shared" si="105"/>
        <v>0</v>
      </c>
      <c r="P858" s="59">
        <f t="shared" si="106"/>
        <v>0.86935704514363876</v>
      </c>
      <c r="Q858" s="30">
        <f t="shared" si="107"/>
        <v>0</v>
      </c>
      <c r="R858" s="30">
        <f t="shared" si="108"/>
        <v>0</v>
      </c>
      <c r="S858" s="12">
        <f t="shared" si="109"/>
        <v>0</v>
      </c>
      <c r="T858" s="30">
        <f t="shared" si="110"/>
        <v>0</v>
      </c>
      <c r="U858" s="9" t="str">
        <f t="shared" si="111"/>
        <v>55+</v>
      </c>
    </row>
    <row r="859" spans="1:21">
      <c r="A859" t="s">
        <v>891</v>
      </c>
      <c r="B859" s="8">
        <v>7854</v>
      </c>
      <c r="C859" s="23">
        <v>0.18379000000000001</v>
      </c>
      <c r="D859" s="19" t="s">
        <v>32</v>
      </c>
      <c r="E859" s="21">
        <v>58.253999999999998</v>
      </c>
      <c r="F859" s="21">
        <v>0.79300000000000004</v>
      </c>
      <c r="G859" s="23">
        <v>0.35513</v>
      </c>
      <c r="H859" s="26">
        <v>1</v>
      </c>
      <c r="I859" s="19" t="s">
        <v>21</v>
      </c>
      <c r="J859" s="8">
        <v>51</v>
      </c>
      <c r="K859" s="19" t="s">
        <v>37</v>
      </c>
      <c r="L859" s="19" t="s">
        <v>38</v>
      </c>
      <c r="M859" s="8">
        <v>2</v>
      </c>
      <c r="N859" s="33">
        <f t="shared" si="104"/>
        <v>1.2610340479192939</v>
      </c>
      <c r="O859" s="23">
        <f t="shared" si="105"/>
        <v>0.23176544766708701</v>
      </c>
      <c r="P859" s="59">
        <f t="shared" si="106"/>
        <v>1.3612799121090398E-2</v>
      </c>
      <c r="Q859" s="30">
        <f t="shared" si="107"/>
        <v>0.18379000000000001</v>
      </c>
      <c r="R859" s="30">
        <f t="shared" si="108"/>
        <v>0.93225964415909457</v>
      </c>
      <c r="S859" s="12">
        <f t="shared" si="109"/>
        <v>1.9322596441590945</v>
      </c>
      <c r="T859" s="30">
        <f t="shared" si="110"/>
        <v>0.4478310214375788</v>
      </c>
      <c r="U859" s="9" t="str">
        <f t="shared" si="111"/>
        <v>45-54</v>
      </c>
    </row>
    <row r="860" spans="1:21">
      <c r="A860" t="s">
        <v>892</v>
      </c>
      <c r="B860" s="8">
        <v>1533</v>
      </c>
      <c r="C860" s="23">
        <v>0.19700999999999999</v>
      </c>
      <c r="D860" s="19" t="s">
        <v>45</v>
      </c>
      <c r="E860" s="21">
        <v>24.878</v>
      </c>
      <c r="F860" s="21">
        <v>7.6929999999999996</v>
      </c>
      <c r="G860" s="23">
        <v>0</v>
      </c>
      <c r="H860" s="26">
        <v>0</v>
      </c>
      <c r="I860" s="19" t="s">
        <v>26</v>
      </c>
      <c r="J860" s="8">
        <v>22</v>
      </c>
      <c r="K860" s="19" t="s">
        <v>31</v>
      </c>
      <c r="L860" s="19" t="s">
        <v>38</v>
      </c>
      <c r="M860" s="8" t="s">
        <v>1065</v>
      </c>
      <c r="N860" s="33">
        <f t="shared" si="104"/>
        <v>0</v>
      </c>
      <c r="O860" s="23">
        <f t="shared" si="105"/>
        <v>2.5608995190432859E-2</v>
      </c>
      <c r="P860" s="59">
        <f t="shared" si="106"/>
        <v>0.30922903770399546</v>
      </c>
      <c r="Q860" s="30">
        <f t="shared" si="107"/>
        <v>0</v>
      </c>
      <c r="R860" s="30">
        <f t="shared" si="108"/>
        <v>-1</v>
      </c>
      <c r="S860" s="12">
        <f t="shared" si="109"/>
        <v>0</v>
      </c>
      <c r="T860" s="30">
        <f t="shared" si="110"/>
        <v>0</v>
      </c>
      <c r="U860" s="9" t="str">
        <f t="shared" si="111"/>
        <v>18-24</v>
      </c>
    </row>
    <row r="861" spans="1:21">
      <c r="A861" t="s">
        <v>893</v>
      </c>
      <c r="B861" s="8">
        <v>1896</v>
      </c>
      <c r="C861" s="23">
        <v>0.15026999999999999</v>
      </c>
      <c r="D861" s="19" t="s">
        <v>15</v>
      </c>
      <c r="E861" s="21">
        <v>53.578000000000003</v>
      </c>
      <c r="F861" s="21">
        <v>7.3209999999999997</v>
      </c>
      <c r="G861" s="23">
        <v>0</v>
      </c>
      <c r="H861" s="26">
        <v>0</v>
      </c>
      <c r="I861" s="19" t="s">
        <v>21</v>
      </c>
      <c r="J861" s="8">
        <v>41</v>
      </c>
      <c r="K861" s="19" t="s">
        <v>37</v>
      </c>
      <c r="L861" s="19" t="s">
        <v>45</v>
      </c>
      <c r="M861" s="8">
        <v>1</v>
      </c>
      <c r="N861" s="33">
        <f t="shared" si="104"/>
        <v>0</v>
      </c>
      <c r="O861" s="23">
        <f t="shared" si="105"/>
        <v>2.0525884442016116E-2</v>
      </c>
      <c r="P861" s="59">
        <f t="shared" si="106"/>
        <v>0.13664190525962147</v>
      </c>
      <c r="Q861" s="30">
        <f t="shared" si="107"/>
        <v>0</v>
      </c>
      <c r="R861" s="30">
        <f t="shared" si="108"/>
        <v>-1</v>
      </c>
      <c r="S861" s="12">
        <f t="shared" si="109"/>
        <v>0</v>
      </c>
      <c r="T861" s="30">
        <f t="shared" si="110"/>
        <v>0</v>
      </c>
      <c r="U861" s="9" t="str">
        <f t="shared" si="111"/>
        <v>35-44</v>
      </c>
    </row>
    <row r="862" spans="1:21">
      <c r="A862" t="s">
        <v>894</v>
      </c>
      <c r="B862" s="8">
        <v>2128</v>
      </c>
      <c r="C862" s="23">
        <v>0.11001</v>
      </c>
      <c r="D862" s="19" t="s">
        <v>28</v>
      </c>
      <c r="E862" s="21">
        <v>70.926000000000002</v>
      </c>
      <c r="F862" s="21">
        <v>9.9610000000000003</v>
      </c>
      <c r="G862" s="23">
        <v>0</v>
      </c>
      <c r="H862" s="26">
        <v>0</v>
      </c>
      <c r="I862" s="19" t="s">
        <v>34</v>
      </c>
      <c r="J862" s="8">
        <v>56</v>
      </c>
      <c r="K862" s="19" t="s">
        <v>18</v>
      </c>
      <c r="L862" s="19" t="s">
        <v>45</v>
      </c>
      <c r="M862" s="8">
        <v>5</v>
      </c>
      <c r="N862" s="33">
        <f t="shared" si="104"/>
        <v>0</v>
      </c>
      <c r="O862" s="23">
        <f t="shared" si="105"/>
        <v>1.1044071880333298E-2</v>
      </c>
      <c r="P862" s="59">
        <f t="shared" si="106"/>
        <v>0.14044215097425486</v>
      </c>
      <c r="Q862" s="30">
        <f t="shared" si="107"/>
        <v>0</v>
      </c>
      <c r="R862" s="30">
        <f t="shared" si="108"/>
        <v>-1</v>
      </c>
      <c r="S862" s="12">
        <f t="shared" si="109"/>
        <v>0</v>
      </c>
      <c r="T862" s="30">
        <f t="shared" si="110"/>
        <v>0</v>
      </c>
      <c r="U862" s="9" t="str">
        <f t="shared" si="111"/>
        <v>55+</v>
      </c>
    </row>
    <row r="863" spans="1:21">
      <c r="A863" t="s">
        <v>895</v>
      </c>
      <c r="B863" s="8">
        <v>1765</v>
      </c>
      <c r="C863" s="23">
        <v>8.8469999999999993E-2</v>
      </c>
      <c r="D863" s="19" t="s">
        <v>45</v>
      </c>
      <c r="E863" s="21">
        <v>78.070999999999998</v>
      </c>
      <c r="F863" s="21">
        <v>4.6980000000000004</v>
      </c>
      <c r="G863" s="23">
        <v>0</v>
      </c>
      <c r="H863" s="26">
        <v>1</v>
      </c>
      <c r="I863" s="19" t="s">
        <v>26</v>
      </c>
      <c r="J863" s="8">
        <v>31</v>
      </c>
      <c r="K863" s="19" t="s">
        <v>18</v>
      </c>
      <c r="L863" s="19" t="s">
        <v>32</v>
      </c>
      <c r="M863" s="8">
        <v>1</v>
      </c>
      <c r="N863" s="33">
        <f t="shared" si="104"/>
        <v>0.21285653469561513</v>
      </c>
      <c r="O863" s="23">
        <f t="shared" si="105"/>
        <v>1.883141762452107E-2</v>
      </c>
      <c r="P863" s="59">
        <f t="shared" si="106"/>
        <v>6.017599364680868E-2</v>
      </c>
      <c r="Q863" s="30">
        <f t="shared" si="107"/>
        <v>8.8469999999999993E-2</v>
      </c>
      <c r="R863" s="30">
        <f t="shared" si="108"/>
        <v>-1</v>
      </c>
      <c r="S863" s="12">
        <f t="shared" si="109"/>
        <v>0</v>
      </c>
      <c r="T863" s="30">
        <f t="shared" si="110"/>
        <v>0</v>
      </c>
      <c r="U863" s="9" t="str">
        <f t="shared" si="111"/>
        <v>25-34</v>
      </c>
    </row>
    <row r="864" spans="1:21">
      <c r="A864" t="s">
        <v>896</v>
      </c>
      <c r="B864" s="8">
        <v>3427</v>
      </c>
      <c r="C864" s="23">
        <v>0.18248</v>
      </c>
      <c r="D864" s="19" t="s">
        <v>40</v>
      </c>
      <c r="E864" s="21">
        <v>76.682000000000002</v>
      </c>
      <c r="F864" s="21">
        <v>0.25900000000000001</v>
      </c>
      <c r="G864" s="23">
        <v>0</v>
      </c>
      <c r="H864" s="26">
        <v>0</v>
      </c>
      <c r="I864" s="19" t="s">
        <v>17</v>
      </c>
      <c r="J864" s="8">
        <v>59</v>
      </c>
      <c r="K864" s="19" t="s">
        <v>37</v>
      </c>
      <c r="L864" s="19" t="s">
        <v>45</v>
      </c>
      <c r="M864" s="8">
        <v>4</v>
      </c>
      <c r="N864" s="33">
        <f t="shared" si="104"/>
        <v>0</v>
      </c>
      <c r="O864" s="23">
        <f t="shared" si="105"/>
        <v>0.70455598455598456</v>
      </c>
      <c r="P864" s="59">
        <f t="shared" si="106"/>
        <v>3.3775853524947185E-3</v>
      </c>
      <c r="Q864" s="30">
        <f t="shared" si="107"/>
        <v>0</v>
      </c>
      <c r="R864" s="30">
        <f t="shared" si="108"/>
        <v>-1</v>
      </c>
      <c r="S864" s="12">
        <f t="shared" si="109"/>
        <v>0</v>
      </c>
      <c r="T864" s="30">
        <f t="shared" si="110"/>
        <v>0</v>
      </c>
      <c r="U864" s="9" t="str">
        <f t="shared" si="111"/>
        <v>55+</v>
      </c>
    </row>
    <row r="865" spans="1:21">
      <c r="A865" t="s">
        <v>897</v>
      </c>
      <c r="B865" s="8">
        <v>2123</v>
      </c>
      <c r="C865" s="23">
        <v>0</v>
      </c>
      <c r="D865" s="19" t="s">
        <v>28</v>
      </c>
      <c r="E865" s="21">
        <v>4.9450000000000003</v>
      </c>
      <c r="F865" s="21">
        <v>3.899</v>
      </c>
      <c r="G865" s="23">
        <v>0</v>
      </c>
      <c r="H865" s="26">
        <v>0</v>
      </c>
      <c r="I865" s="19" t="s">
        <v>26</v>
      </c>
      <c r="J865" s="8">
        <v>41</v>
      </c>
      <c r="K865" s="19" t="s">
        <v>37</v>
      </c>
      <c r="L865" s="19" t="s">
        <v>23</v>
      </c>
      <c r="M865" s="8">
        <v>5</v>
      </c>
      <c r="N865" s="33">
        <f t="shared" si="104"/>
        <v>0</v>
      </c>
      <c r="O865" s="23">
        <f t="shared" si="105"/>
        <v>0</v>
      </c>
      <c r="P865" s="59">
        <f t="shared" si="106"/>
        <v>0.78847320525783615</v>
      </c>
      <c r="Q865" s="30">
        <f t="shared" si="107"/>
        <v>0</v>
      </c>
      <c r="R865" s="30">
        <f t="shared" si="108"/>
        <v>0</v>
      </c>
      <c r="S865" s="12">
        <f t="shared" si="109"/>
        <v>0</v>
      </c>
      <c r="T865" s="30">
        <f t="shared" si="110"/>
        <v>0</v>
      </c>
      <c r="U865" s="9" t="str">
        <f t="shared" si="111"/>
        <v>35-44</v>
      </c>
    </row>
    <row r="866" spans="1:21">
      <c r="A866" t="s">
        <v>898</v>
      </c>
      <c r="B866" s="8">
        <v>8922</v>
      </c>
      <c r="C866" s="23">
        <v>0.17111000000000001</v>
      </c>
      <c r="D866" s="19" t="s">
        <v>28</v>
      </c>
      <c r="E866" s="21">
        <v>23.183</v>
      </c>
      <c r="F866" s="21">
        <v>3.234</v>
      </c>
      <c r="G866" s="23">
        <v>0.45027</v>
      </c>
      <c r="H866" s="26">
        <v>1</v>
      </c>
      <c r="I866" s="19" t="s">
        <v>29</v>
      </c>
      <c r="J866" s="8">
        <v>26</v>
      </c>
      <c r="K866" s="19" t="s">
        <v>18</v>
      </c>
      <c r="L866" s="19" t="s">
        <v>23</v>
      </c>
      <c r="M866" s="8">
        <v>3</v>
      </c>
      <c r="N866" s="33">
        <f t="shared" si="104"/>
        <v>0.30921459492888065</v>
      </c>
      <c r="O866" s="23">
        <f t="shared" si="105"/>
        <v>5.2909709338280771E-2</v>
      </c>
      <c r="P866" s="59">
        <f t="shared" si="106"/>
        <v>0.13949877065090799</v>
      </c>
      <c r="Q866" s="30">
        <f t="shared" si="107"/>
        <v>0.17111000000000001</v>
      </c>
      <c r="R866" s="30">
        <f t="shared" si="108"/>
        <v>1.6314651393840216</v>
      </c>
      <c r="S866" s="12">
        <f t="shared" si="109"/>
        <v>2.6314651393840216</v>
      </c>
      <c r="T866" s="30">
        <f t="shared" si="110"/>
        <v>0.13923005565862709</v>
      </c>
      <c r="U866" s="9" t="str">
        <f t="shared" si="111"/>
        <v>25-34</v>
      </c>
    </row>
    <row r="867" spans="1:21">
      <c r="A867" t="s">
        <v>899</v>
      </c>
      <c r="B867" s="8">
        <v>4843</v>
      </c>
      <c r="C867" s="23">
        <v>3.4500000000000003E-2</v>
      </c>
      <c r="D867" s="19" t="s">
        <v>15</v>
      </c>
      <c r="E867" s="21">
        <v>55.069000000000003</v>
      </c>
      <c r="F867" s="21">
        <v>8.3230000000000004</v>
      </c>
      <c r="G867" s="23">
        <v>0</v>
      </c>
      <c r="H867" s="26">
        <v>0</v>
      </c>
      <c r="I867" s="19" t="s">
        <v>29</v>
      </c>
      <c r="J867" s="8">
        <v>51</v>
      </c>
      <c r="K867" s="19" t="s">
        <v>37</v>
      </c>
      <c r="L867" s="19" t="s">
        <v>19</v>
      </c>
      <c r="M867" s="8">
        <v>4</v>
      </c>
      <c r="N867" s="33">
        <f t="shared" si="104"/>
        <v>0</v>
      </c>
      <c r="O867" s="23">
        <f t="shared" si="105"/>
        <v>4.1451399735672233E-3</v>
      </c>
      <c r="P867" s="59">
        <f t="shared" si="106"/>
        <v>0.15113766365831957</v>
      </c>
      <c r="Q867" s="30">
        <f t="shared" si="107"/>
        <v>0</v>
      </c>
      <c r="R867" s="30">
        <f t="shared" si="108"/>
        <v>-1</v>
      </c>
      <c r="S867" s="12">
        <f t="shared" si="109"/>
        <v>0</v>
      </c>
      <c r="T867" s="30">
        <f t="shared" si="110"/>
        <v>0</v>
      </c>
      <c r="U867" s="9" t="str">
        <f t="shared" si="111"/>
        <v>45-54</v>
      </c>
    </row>
    <row r="868" spans="1:21">
      <c r="A868" t="s">
        <v>900</v>
      </c>
      <c r="B868" s="8">
        <v>1490</v>
      </c>
      <c r="C868" s="23">
        <v>8.8679999999999995E-2</v>
      </c>
      <c r="D868" s="19" t="s">
        <v>40</v>
      </c>
      <c r="E868" s="21">
        <v>10.215</v>
      </c>
      <c r="F868" s="21">
        <v>5.2750000000000004</v>
      </c>
      <c r="G868" s="23">
        <v>0.15257999999999999</v>
      </c>
      <c r="H868" s="26">
        <v>1</v>
      </c>
      <c r="I868" s="19" t="s">
        <v>29</v>
      </c>
      <c r="J868" s="8">
        <v>23</v>
      </c>
      <c r="K868" s="19" t="s">
        <v>37</v>
      </c>
      <c r="L868" s="19" t="s">
        <v>19</v>
      </c>
      <c r="M868" s="8">
        <v>5</v>
      </c>
      <c r="N868" s="33">
        <f t="shared" si="104"/>
        <v>0.1895734597156398</v>
      </c>
      <c r="O868" s="23">
        <f t="shared" si="105"/>
        <v>1.6811374407582937E-2</v>
      </c>
      <c r="P868" s="59">
        <f t="shared" si="106"/>
        <v>0.516397454723446</v>
      </c>
      <c r="Q868" s="30">
        <f t="shared" si="107"/>
        <v>8.8679999999999995E-2</v>
      </c>
      <c r="R868" s="30">
        <f t="shared" si="108"/>
        <v>0.72056833558863331</v>
      </c>
      <c r="S868" s="12">
        <f t="shared" si="109"/>
        <v>1.7205683355886332</v>
      </c>
      <c r="T868" s="30">
        <f t="shared" si="110"/>
        <v>2.892511848341232E-2</v>
      </c>
      <c r="U868" s="9" t="str">
        <f t="shared" si="111"/>
        <v>18-24</v>
      </c>
    </row>
    <row r="869" spans="1:21">
      <c r="A869" t="s">
        <v>901</v>
      </c>
      <c r="B869" s="8">
        <v>6211</v>
      </c>
      <c r="C869" s="23">
        <v>3.0859999999999999E-2</v>
      </c>
      <c r="D869" s="19" t="s">
        <v>28</v>
      </c>
      <c r="E869" s="21">
        <v>22.369</v>
      </c>
      <c r="F869" s="21">
        <v>0.75</v>
      </c>
      <c r="G869" s="23">
        <v>0</v>
      </c>
      <c r="H869" s="26">
        <v>0</v>
      </c>
      <c r="I869" s="19" t="s">
        <v>29</v>
      </c>
      <c r="J869" s="8">
        <v>33</v>
      </c>
      <c r="K869" s="19" t="s">
        <v>37</v>
      </c>
      <c r="L869" s="19" t="s">
        <v>45</v>
      </c>
      <c r="M869" s="8">
        <v>4</v>
      </c>
      <c r="N869" s="33">
        <f t="shared" si="104"/>
        <v>0</v>
      </c>
      <c r="O869" s="23">
        <f t="shared" si="105"/>
        <v>4.1146666666666665E-2</v>
      </c>
      <c r="P869" s="59">
        <f t="shared" si="106"/>
        <v>3.352854396709732E-2</v>
      </c>
      <c r="Q869" s="30">
        <f t="shared" si="107"/>
        <v>0</v>
      </c>
      <c r="R869" s="30">
        <f t="shared" si="108"/>
        <v>-1</v>
      </c>
      <c r="S869" s="12">
        <f t="shared" si="109"/>
        <v>0</v>
      </c>
      <c r="T869" s="30">
        <f t="shared" si="110"/>
        <v>0</v>
      </c>
      <c r="U869" s="9" t="str">
        <f t="shared" si="111"/>
        <v>25-34</v>
      </c>
    </row>
    <row r="870" spans="1:21">
      <c r="A870" t="s">
        <v>902</v>
      </c>
      <c r="B870" s="8">
        <v>6412</v>
      </c>
      <c r="C870" s="23">
        <v>0.19003</v>
      </c>
      <c r="D870" s="19" t="s">
        <v>32</v>
      </c>
      <c r="E870" s="21">
        <v>81.611000000000004</v>
      </c>
      <c r="F870" s="21">
        <v>4.3899999999999997</v>
      </c>
      <c r="G870" s="23">
        <v>0</v>
      </c>
      <c r="H870" s="26">
        <v>0</v>
      </c>
      <c r="I870" s="19" t="s">
        <v>26</v>
      </c>
      <c r="J870" s="8">
        <v>46</v>
      </c>
      <c r="K870" s="19" t="s">
        <v>31</v>
      </c>
      <c r="L870" s="19" t="s">
        <v>32</v>
      </c>
      <c r="M870" s="8">
        <v>5</v>
      </c>
      <c r="N870" s="33">
        <f t="shared" si="104"/>
        <v>0</v>
      </c>
      <c r="O870" s="23">
        <f t="shared" si="105"/>
        <v>4.3287015945330298E-2</v>
      </c>
      <c r="P870" s="59">
        <f t="shared" si="106"/>
        <v>5.3791768266532689E-2</v>
      </c>
      <c r="Q870" s="30">
        <f t="shared" si="107"/>
        <v>0</v>
      </c>
      <c r="R870" s="30">
        <f t="shared" si="108"/>
        <v>-1</v>
      </c>
      <c r="S870" s="12">
        <f t="shared" si="109"/>
        <v>0</v>
      </c>
      <c r="T870" s="30">
        <f t="shared" si="110"/>
        <v>0</v>
      </c>
      <c r="U870" s="9" t="str">
        <f t="shared" si="111"/>
        <v>45-54</v>
      </c>
    </row>
    <row r="871" spans="1:21">
      <c r="A871" t="s">
        <v>903</v>
      </c>
      <c r="B871" s="8">
        <v>4815</v>
      </c>
      <c r="C871" s="23">
        <v>0</v>
      </c>
      <c r="D871" s="19" t="s">
        <v>28</v>
      </c>
      <c r="E871" s="21">
        <v>12.621</v>
      </c>
      <c r="F871" s="21">
        <v>9.1270000000000007</v>
      </c>
      <c r="G871" s="23">
        <v>0.12195</v>
      </c>
      <c r="H871" s="26">
        <v>1</v>
      </c>
      <c r="I871" s="19" t="s">
        <v>26</v>
      </c>
      <c r="J871" s="8">
        <v>26</v>
      </c>
      <c r="K871" s="19" t="s">
        <v>31</v>
      </c>
      <c r="L871" s="19" t="s">
        <v>32</v>
      </c>
      <c r="M871" s="8" t="s">
        <v>1065</v>
      </c>
      <c r="N871" s="33">
        <f t="shared" si="104"/>
        <v>0.10956502684343157</v>
      </c>
      <c r="O871" s="23">
        <f t="shared" si="105"/>
        <v>0</v>
      </c>
      <c r="P871" s="59">
        <f t="shared" si="106"/>
        <v>0.7231598130100626</v>
      </c>
      <c r="Q871" s="30">
        <f t="shared" si="107"/>
        <v>0</v>
      </c>
      <c r="R871" s="30">
        <f t="shared" si="108"/>
        <v>0</v>
      </c>
      <c r="S871" s="12" t="e">
        <f t="shared" si="109"/>
        <v>#DIV/0!</v>
      </c>
      <c r="T871" s="30">
        <f t="shared" si="110"/>
        <v>1.3361455023556481E-2</v>
      </c>
      <c r="U871" s="9" t="str">
        <f t="shared" si="111"/>
        <v>25-34</v>
      </c>
    </row>
    <row r="872" spans="1:21">
      <c r="A872" t="s">
        <v>904</v>
      </c>
      <c r="B872" s="8">
        <v>4060</v>
      </c>
      <c r="C872" s="23">
        <v>2.4479999999999998E-2</v>
      </c>
      <c r="D872" s="19" t="s">
        <v>15</v>
      </c>
      <c r="E872" s="21">
        <v>59.344999999999999</v>
      </c>
      <c r="F872" s="21">
        <v>8.4350000000000005</v>
      </c>
      <c r="G872" s="23">
        <v>0</v>
      </c>
      <c r="H872" s="26">
        <v>0</v>
      </c>
      <c r="I872" s="19" t="s">
        <v>26</v>
      </c>
      <c r="J872" s="8">
        <v>41</v>
      </c>
      <c r="K872" s="19" t="s">
        <v>37</v>
      </c>
      <c r="L872" s="19" t="s">
        <v>32</v>
      </c>
      <c r="M872" s="8">
        <v>3</v>
      </c>
      <c r="N872" s="33">
        <f t="shared" si="104"/>
        <v>0</v>
      </c>
      <c r="O872" s="23">
        <f t="shared" si="105"/>
        <v>2.9021932424422047E-3</v>
      </c>
      <c r="P872" s="59">
        <f t="shared" si="106"/>
        <v>0.14213497346027468</v>
      </c>
      <c r="Q872" s="30">
        <f t="shared" si="107"/>
        <v>0</v>
      </c>
      <c r="R872" s="30">
        <f t="shared" si="108"/>
        <v>-1</v>
      </c>
      <c r="S872" s="12">
        <f t="shared" si="109"/>
        <v>0</v>
      </c>
      <c r="T872" s="30">
        <f t="shared" si="110"/>
        <v>0</v>
      </c>
      <c r="U872" s="9" t="str">
        <f t="shared" si="111"/>
        <v>35-44</v>
      </c>
    </row>
    <row r="873" spans="1:21">
      <c r="A873" t="s">
        <v>905</v>
      </c>
      <c r="B873" s="8">
        <v>3073</v>
      </c>
      <c r="C873" s="23">
        <v>0</v>
      </c>
      <c r="D873" s="19" t="s">
        <v>32</v>
      </c>
      <c r="E873" s="21">
        <v>71.891000000000005</v>
      </c>
      <c r="F873" s="21">
        <v>5.657</v>
      </c>
      <c r="G873" s="23">
        <v>0</v>
      </c>
      <c r="H873" s="26">
        <v>0</v>
      </c>
      <c r="I873" s="19" t="s">
        <v>17</v>
      </c>
      <c r="J873" s="8">
        <v>59</v>
      </c>
      <c r="K873" s="19" t="s">
        <v>31</v>
      </c>
      <c r="L873" s="19" t="s">
        <v>23</v>
      </c>
      <c r="M873" s="8" t="s">
        <v>1065</v>
      </c>
      <c r="N873" s="33">
        <f t="shared" si="104"/>
        <v>0</v>
      </c>
      <c r="O873" s="23">
        <f t="shared" si="105"/>
        <v>0</v>
      </c>
      <c r="P873" s="59">
        <f t="shared" si="106"/>
        <v>7.8688570196547541E-2</v>
      </c>
      <c r="Q873" s="30">
        <f t="shared" si="107"/>
        <v>0</v>
      </c>
      <c r="R873" s="30">
        <f t="shared" si="108"/>
        <v>0</v>
      </c>
      <c r="S873" s="12">
        <f t="shared" si="109"/>
        <v>0</v>
      </c>
      <c r="T873" s="30">
        <f t="shared" si="110"/>
        <v>0</v>
      </c>
      <c r="U873" s="9" t="str">
        <f t="shared" si="111"/>
        <v>55+</v>
      </c>
    </row>
    <row r="874" spans="1:21">
      <c r="A874" t="s">
        <v>906</v>
      </c>
      <c r="B874" s="8">
        <v>1125</v>
      </c>
      <c r="C874" s="23">
        <v>0</v>
      </c>
      <c r="D874" s="19" t="s">
        <v>32</v>
      </c>
      <c r="E874" s="21">
        <v>53.401000000000003</v>
      </c>
      <c r="F874" s="21">
        <v>6.2779999999999996</v>
      </c>
      <c r="G874" s="23">
        <v>0</v>
      </c>
      <c r="H874" s="26">
        <v>0</v>
      </c>
      <c r="I874" s="19" t="s">
        <v>26</v>
      </c>
      <c r="J874" s="8">
        <v>30</v>
      </c>
      <c r="K874" s="19" t="s">
        <v>37</v>
      </c>
      <c r="L874" s="19" t="s">
        <v>23</v>
      </c>
      <c r="M874" s="8" t="s">
        <v>1065</v>
      </c>
      <c r="N874" s="33">
        <f t="shared" si="104"/>
        <v>0</v>
      </c>
      <c r="O874" s="23">
        <f t="shared" si="105"/>
        <v>0</v>
      </c>
      <c r="P874" s="59">
        <f t="shared" si="106"/>
        <v>0.11756334151045859</v>
      </c>
      <c r="Q874" s="30">
        <f t="shared" si="107"/>
        <v>0</v>
      </c>
      <c r="R874" s="30">
        <f t="shared" si="108"/>
        <v>0</v>
      </c>
      <c r="S874" s="12">
        <f t="shared" si="109"/>
        <v>0</v>
      </c>
      <c r="T874" s="30">
        <f t="shared" si="110"/>
        <v>0</v>
      </c>
      <c r="U874" s="9" t="str">
        <f t="shared" si="111"/>
        <v>25-34</v>
      </c>
    </row>
    <row r="875" spans="1:21">
      <c r="A875" t="s">
        <v>907</v>
      </c>
      <c r="B875" s="8">
        <v>7763</v>
      </c>
      <c r="C875" s="23">
        <v>0.11255</v>
      </c>
      <c r="D875" s="19" t="s">
        <v>45</v>
      </c>
      <c r="E875" s="21">
        <v>45.637</v>
      </c>
      <c r="F875" s="21">
        <v>7.1950000000000003</v>
      </c>
      <c r="G875" s="23">
        <v>0.36381000000000002</v>
      </c>
      <c r="H875" s="26">
        <v>1</v>
      </c>
      <c r="I875" s="19" t="s">
        <v>34</v>
      </c>
      <c r="J875" s="8">
        <v>41</v>
      </c>
      <c r="K875" s="19" t="s">
        <v>37</v>
      </c>
      <c r="L875" s="19" t="s">
        <v>38</v>
      </c>
      <c r="M875" s="8">
        <v>3</v>
      </c>
      <c r="N875" s="33">
        <f t="shared" si="104"/>
        <v>0.13898540653231412</v>
      </c>
      <c r="O875" s="23">
        <f t="shared" si="105"/>
        <v>1.564280750521195E-2</v>
      </c>
      <c r="P875" s="59">
        <f t="shared" si="106"/>
        <v>0.1576571641431295</v>
      </c>
      <c r="Q875" s="30">
        <f t="shared" si="107"/>
        <v>0.11255</v>
      </c>
      <c r="R875" s="30">
        <f t="shared" si="108"/>
        <v>2.2324300310972904</v>
      </c>
      <c r="S875" s="12">
        <f t="shared" si="109"/>
        <v>3.2324300310972904</v>
      </c>
      <c r="T875" s="30">
        <f t="shared" si="110"/>
        <v>5.0564280750521197E-2</v>
      </c>
      <c r="U875" s="9" t="str">
        <f t="shared" si="111"/>
        <v>35-44</v>
      </c>
    </row>
    <row r="876" spans="1:21">
      <c r="A876" t="s">
        <v>908</v>
      </c>
      <c r="B876" s="8">
        <v>2980</v>
      </c>
      <c r="C876" s="23">
        <v>9.8119999999999999E-2</v>
      </c>
      <c r="D876" s="19" t="s">
        <v>28</v>
      </c>
      <c r="E876" s="21">
        <v>1.4410000000000001</v>
      </c>
      <c r="F876" s="21">
        <v>2.4079999999999999</v>
      </c>
      <c r="G876" s="23">
        <v>0</v>
      </c>
      <c r="H876" s="26">
        <v>0</v>
      </c>
      <c r="I876" s="19" t="s">
        <v>34</v>
      </c>
      <c r="J876" s="8">
        <v>42</v>
      </c>
      <c r="K876" s="19" t="s">
        <v>18</v>
      </c>
      <c r="L876" s="19" t="s">
        <v>45</v>
      </c>
      <c r="M876" s="8" t="s">
        <v>1065</v>
      </c>
      <c r="N876" s="33">
        <f t="shared" si="104"/>
        <v>0</v>
      </c>
      <c r="O876" s="23">
        <f t="shared" si="105"/>
        <v>4.0747508305647842E-2</v>
      </c>
      <c r="P876" s="59">
        <f t="shared" si="106"/>
        <v>1.6710617626648159</v>
      </c>
      <c r="Q876" s="30">
        <f t="shared" si="107"/>
        <v>0</v>
      </c>
      <c r="R876" s="30">
        <f t="shared" si="108"/>
        <v>-1</v>
      </c>
      <c r="S876" s="12">
        <f t="shared" si="109"/>
        <v>0</v>
      </c>
      <c r="T876" s="30">
        <f t="shared" si="110"/>
        <v>0</v>
      </c>
      <c r="U876" s="9" t="str">
        <f t="shared" si="111"/>
        <v>35-44</v>
      </c>
    </row>
    <row r="877" spans="1:21">
      <c r="A877" t="s">
        <v>909</v>
      </c>
      <c r="B877" s="8">
        <v>3296</v>
      </c>
      <c r="C877" s="23">
        <v>0.12745000000000001</v>
      </c>
      <c r="D877" s="19" t="s">
        <v>40</v>
      </c>
      <c r="E877" s="21">
        <v>38.177</v>
      </c>
      <c r="F877" s="21">
        <v>5.1689999999999996</v>
      </c>
      <c r="G877" s="23">
        <v>0</v>
      </c>
      <c r="H877" s="26">
        <v>0</v>
      </c>
      <c r="I877" s="19" t="s">
        <v>21</v>
      </c>
      <c r="J877" s="8">
        <v>25</v>
      </c>
      <c r="K877" s="19" t="s">
        <v>22</v>
      </c>
      <c r="L877" s="19" t="s">
        <v>38</v>
      </c>
      <c r="M877" s="8">
        <v>2</v>
      </c>
      <c r="N877" s="33">
        <f t="shared" si="104"/>
        <v>0</v>
      </c>
      <c r="O877" s="23">
        <f t="shared" si="105"/>
        <v>2.4656606693751214E-2</v>
      </c>
      <c r="P877" s="59">
        <f t="shared" si="106"/>
        <v>0.13539565707101134</v>
      </c>
      <c r="Q877" s="30">
        <f t="shared" si="107"/>
        <v>0</v>
      </c>
      <c r="R877" s="30">
        <f t="shared" si="108"/>
        <v>-1</v>
      </c>
      <c r="S877" s="12">
        <f t="shared" si="109"/>
        <v>0</v>
      </c>
      <c r="T877" s="30">
        <f t="shared" si="110"/>
        <v>0</v>
      </c>
      <c r="U877" s="9" t="str">
        <f t="shared" si="111"/>
        <v>25-34</v>
      </c>
    </row>
    <row r="878" spans="1:21">
      <c r="A878" t="s">
        <v>910</v>
      </c>
      <c r="B878" s="8">
        <v>9084</v>
      </c>
      <c r="C878" s="23">
        <v>0.15576999999999999</v>
      </c>
      <c r="D878" s="19" t="s">
        <v>45</v>
      </c>
      <c r="E878" s="21">
        <v>83.924999999999997</v>
      </c>
      <c r="F878" s="21">
        <v>9.9079999999999995</v>
      </c>
      <c r="G878" s="23">
        <v>0</v>
      </c>
      <c r="H878" s="26">
        <v>0</v>
      </c>
      <c r="I878" s="19" t="s">
        <v>26</v>
      </c>
      <c r="J878" s="8">
        <v>31</v>
      </c>
      <c r="K878" s="19" t="s">
        <v>31</v>
      </c>
      <c r="L878" s="19" t="s">
        <v>19</v>
      </c>
      <c r="M878" s="8">
        <v>3</v>
      </c>
      <c r="N878" s="33">
        <f t="shared" si="104"/>
        <v>0</v>
      </c>
      <c r="O878" s="23">
        <f t="shared" si="105"/>
        <v>1.5721639079531693E-2</v>
      </c>
      <c r="P878" s="59">
        <f t="shared" si="106"/>
        <v>0.11805778969317843</v>
      </c>
      <c r="Q878" s="30">
        <f t="shared" si="107"/>
        <v>0</v>
      </c>
      <c r="R878" s="30">
        <f t="shared" si="108"/>
        <v>-1</v>
      </c>
      <c r="S878" s="12">
        <f t="shared" si="109"/>
        <v>0</v>
      </c>
      <c r="T878" s="30">
        <f t="shared" si="110"/>
        <v>0</v>
      </c>
      <c r="U878" s="9" t="str">
        <f t="shared" si="111"/>
        <v>25-34</v>
      </c>
    </row>
    <row r="879" spans="1:21">
      <c r="A879" t="s">
        <v>911</v>
      </c>
      <c r="B879" s="8">
        <v>3353</v>
      </c>
      <c r="C879" s="23">
        <v>0</v>
      </c>
      <c r="D879" s="19" t="s">
        <v>40</v>
      </c>
      <c r="E879" s="21">
        <v>5.7510000000000003</v>
      </c>
      <c r="F879" s="21">
        <v>8.5760000000000005</v>
      </c>
      <c r="G879" s="23">
        <v>0</v>
      </c>
      <c r="H879" s="26">
        <v>0</v>
      </c>
      <c r="I879" s="19" t="s">
        <v>34</v>
      </c>
      <c r="J879" s="8">
        <v>41</v>
      </c>
      <c r="K879" s="19" t="s">
        <v>22</v>
      </c>
      <c r="L879" s="19" t="s">
        <v>32</v>
      </c>
      <c r="M879" s="8">
        <v>1</v>
      </c>
      <c r="N879" s="33">
        <f t="shared" si="104"/>
        <v>0</v>
      </c>
      <c r="O879" s="23">
        <f t="shared" si="105"/>
        <v>0</v>
      </c>
      <c r="P879" s="59">
        <f t="shared" si="106"/>
        <v>1.4912189184489655</v>
      </c>
      <c r="Q879" s="30">
        <f t="shared" si="107"/>
        <v>0</v>
      </c>
      <c r="R879" s="30">
        <f t="shared" si="108"/>
        <v>0</v>
      </c>
      <c r="S879" s="12">
        <f t="shared" si="109"/>
        <v>0</v>
      </c>
      <c r="T879" s="30">
        <f t="shared" si="110"/>
        <v>0</v>
      </c>
      <c r="U879" s="9" t="str">
        <f t="shared" si="111"/>
        <v>35-44</v>
      </c>
    </row>
    <row r="880" spans="1:21">
      <c r="A880" t="s">
        <v>912</v>
      </c>
      <c r="B880" s="8">
        <v>2228</v>
      </c>
      <c r="C880" s="23">
        <v>0.19794</v>
      </c>
      <c r="D880" s="19" t="s">
        <v>25</v>
      </c>
      <c r="E880" s="21">
        <v>27.771000000000001</v>
      </c>
      <c r="F880" s="21">
        <v>9.2409999999999997</v>
      </c>
      <c r="G880" s="23">
        <v>0</v>
      </c>
      <c r="H880" s="26">
        <v>0</v>
      </c>
      <c r="I880" s="19" t="s">
        <v>21</v>
      </c>
      <c r="J880" s="8">
        <v>31</v>
      </c>
      <c r="K880" s="19" t="s">
        <v>31</v>
      </c>
      <c r="L880" s="19" t="s">
        <v>23</v>
      </c>
      <c r="M880" s="8" t="s">
        <v>1065</v>
      </c>
      <c r="N880" s="33">
        <f t="shared" si="104"/>
        <v>0</v>
      </c>
      <c r="O880" s="23">
        <f t="shared" si="105"/>
        <v>2.1419759766259063E-2</v>
      </c>
      <c r="P880" s="59">
        <f t="shared" si="106"/>
        <v>0.33275719275503218</v>
      </c>
      <c r="Q880" s="30">
        <f t="shared" si="107"/>
        <v>0</v>
      </c>
      <c r="R880" s="30">
        <f t="shared" si="108"/>
        <v>-1</v>
      </c>
      <c r="S880" s="12">
        <f t="shared" si="109"/>
        <v>0</v>
      </c>
      <c r="T880" s="30">
        <f t="shared" si="110"/>
        <v>0</v>
      </c>
      <c r="U880" s="9" t="str">
        <f t="shared" si="111"/>
        <v>25-34</v>
      </c>
    </row>
    <row r="881" spans="1:21">
      <c r="A881" t="s">
        <v>913</v>
      </c>
      <c r="B881" s="8">
        <v>1920</v>
      </c>
      <c r="C881" s="23">
        <v>0.17677999999999999</v>
      </c>
      <c r="D881" s="19" t="s">
        <v>28</v>
      </c>
      <c r="E881" s="21">
        <v>5.1289999999999996</v>
      </c>
      <c r="F881" s="21">
        <v>4.7889999999999997</v>
      </c>
      <c r="G881" s="23">
        <v>0</v>
      </c>
      <c r="H881" s="26">
        <v>0</v>
      </c>
      <c r="I881" s="19" t="s">
        <v>21</v>
      </c>
      <c r="J881" s="8">
        <v>61</v>
      </c>
      <c r="K881" s="19" t="s">
        <v>22</v>
      </c>
      <c r="L881" s="19" t="s">
        <v>38</v>
      </c>
      <c r="M881" s="8">
        <v>4</v>
      </c>
      <c r="N881" s="33">
        <f t="shared" si="104"/>
        <v>0</v>
      </c>
      <c r="O881" s="23">
        <f t="shared" si="105"/>
        <v>3.6913760701607852E-2</v>
      </c>
      <c r="P881" s="59">
        <f t="shared" si="106"/>
        <v>0.93371027490738934</v>
      </c>
      <c r="Q881" s="30">
        <f t="shared" si="107"/>
        <v>0</v>
      </c>
      <c r="R881" s="30">
        <f t="shared" si="108"/>
        <v>-1</v>
      </c>
      <c r="S881" s="12">
        <f t="shared" si="109"/>
        <v>0</v>
      </c>
      <c r="T881" s="30">
        <f t="shared" si="110"/>
        <v>0</v>
      </c>
      <c r="U881" s="9" t="str">
        <f t="shared" si="111"/>
        <v>55+</v>
      </c>
    </row>
    <row r="882" spans="1:21">
      <c r="A882" t="s">
        <v>914</v>
      </c>
      <c r="B882" s="8">
        <v>7785</v>
      </c>
      <c r="C882" s="23">
        <v>0</v>
      </c>
      <c r="D882" s="19" t="s">
        <v>25</v>
      </c>
      <c r="E882" s="21">
        <v>71.897000000000006</v>
      </c>
      <c r="F882" s="21">
        <v>3.524</v>
      </c>
      <c r="G882" s="23">
        <v>0</v>
      </c>
      <c r="H882" s="26">
        <v>0</v>
      </c>
      <c r="I882" s="19" t="s">
        <v>29</v>
      </c>
      <c r="J882" s="8">
        <v>53</v>
      </c>
      <c r="K882" s="19" t="s">
        <v>18</v>
      </c>
      <c r="L882" s="19" t="s">
        <v>23</v>
      </c>
      <c r="M882" s="8">
        <v>5</v>
      </c>
      <c r="N882" s="33">
        <f t="shared" si="104"/>
        <v>0</v>
      </c>
      <c r="O882" s="23">
        <f t="shared" si="105"/>
        <v>0</v>
      </c>
      <c r="P882" s="59">
        <f t="shared" si="106"/>
        <v>4.90145624991307E-2</v>
      </c>
      <c r="Q882" s="30">
        <f t="shared" si="107"/>
        <v>0</v>
      </c>
      <c r="R882" s="30">
        <f t="shared" si="108"/>
        <v>0</v>
      </c>
      <c r="S882" s="12">
        <f t="shared" si="109"/>
        <v>0</v>
      </c>
      <c r="T882" s="30">
        <f t="shared" si="110"/>
        <v>0</v>
      </c>
      <c r="U882" s="9" t="str">
        <f t="shared" si="111"/>
        <v>45-54</v>
      </c>
    </row>
    <row r="883" spans="1:21">
      <c r="A883" t="s">
        <v>915</v>
      </c>
      <c r="B883" s="8">
        <v>6889</v>
      </c>
      <c r="C883" s="23">
        <v>0</v>
      </c>
      <c r="D883" s="19" t="s">
        <v>25</v>
      </c>
      <c r="E883" s="21">
        <v>63.353000000000002</v>
      </c>
      <c r="F883" s="21">
        <v>3.9849999999999999</v>
      </c>
      <c r="G883" s="23">
        <v>0</v>
      </c>
      <c r="H883" s="26">
        <v>0</v>
      </c>
      <c r="I883" s="19" t="s">
        <v>26</v>
      </c>
      <c r="J883" s="8">
        <v>43</v>
      </c>
      <c r="K883" s="19" t="s">
        <v>18</v>
      </c>
      <c r="L883" s="19" t="s">
        <v>19</v>
      </c>
      <c r="M883" s="8">
        <v>2</v>
      </c>
      <c r="N883" s="33">
        <f t="shared" si="104"/>
        <v>0</v>
      </c>
      <c r="O883" s="23">
        <f t="shared" si="105"/>
        <v>0</v>
      </c>
      <c r="P883" s="59">
        <f t="shared" si="106"/>
        <v>6.2901520054298929E-2</v>
      </c>
      <c r="Q883" s="30">
        <f t="shared" si="107"/>
        <v>0</v>
      </c>
      <c r="R883" s="30">
        <f t="shared" si="108"/>
        <v>0</v>
      </c>
      <c r="S883" s="12">
        <f t="shared" si="109"/>
        <v>0</v>
      </c>
      <c r="T883" s="30">
        <f t="shared" si="110"/>
        <v>0</v>
      </c>
      <c r="U883" s="9" t="str">
        <f t="shared" si="111"/>
        <v>35-44</v>
      </c>
    </row>
    <row r="884" spans="1:21">
      <c r="A884" t="s">
        <v>916</v>
      </c>
      <c r="B884" s="8">
        <v>2845</v>
      </c>
      <c r="C884" s="23">
        <v>0.15864</v>
      </c>
      <c r="D884" s="19" t="s">
        <v>15</v>
      </c>
      <c r="E884" s="21">
        <v>48.387999999999998</v>
      </c>
      <c r="F884" s="21">
        <v>8.593</v>
      </c>
      <c r="G884" s="23">
        <v>0</v>
      </c>
      <c r="H884" s="26">
        <v>0</v>
      </c>
      <c r="I884" s="19" t="s">
        <v>26</v>
      </c>
      <c r="J884" s="8">
        <v>19</v>
      </c>
      <c r="K884" s="19" t="s">
        <v>22</v>
      </c>
      <c r="L884" s="19" t="s">
        <v>19</v>
      </c>
      <c r="M884" s="8">
        <v>4</v>
      </c>
      <c r="N884" s="33">
        <f t="shared" si="104"/>
        <v>0</v>
      </c>
      <c r="O884" s="23">
        <f t="shared" si="105"/>
        <v>1.8461538461538463E-2</v>
      </c>
      <c r="P884" s="59">
        <f t="shared" si="106"/>
        <v>0.17758535174010084</v>
      </c>
      <c r="Q884" s="30">
        <f t="shared" si="107"/>
        <v>0</v>
      </c>
      <c r="R884" s="30">
        <f t="shared" si="108"/>
        <v>-1</v>
      </c>
      <c r="S884" s="12">
        <f t="shared" si="109"/>
        <v>0</v>
      </c>
      <c r="T884" s="30">
        <f t="shared" si="110"/>
        <v>0</v>
      </c>
      <c r="U884" s="9" t="str">
        <f t="shared" si="111"/>
        <v>18-24</v>
      </c>
    </row>
    <row r="885" spans="1:21">
      <c r="A885" t="s">
        <v>917</v>
      </c>
      <c r="B885" s="8">
        <v>7602</v>
      </c>
      <c r="C885" s="23">
        <v>0</v>
      </c>
      <c r="D885" s="19" t="s">
        <v>15</v>
      </c>
      <c r="E885" s="21">
        <v>48.838999999999999</v>
      </c>
      <c r="F885" s="21">
        <v>1.139</v>
      </c>
      <c r="G885" s="23">
        <v>0</v>
      </c>
      <c r="H885" s="26">
        <v>0</v>
      </c>
      <c r="I885" s="19" t="s">
        <v>17</v>
      </c>
      <c r="J885" s="8">
        <v>38</v>
      </c>
      <c r="K885" s="19" t="s">
        <v>31</v>
      </c>
      <c r="L885" s="19" t="s">
        <v>19</v>
      </c>
      <c r="M885" s="8">
        <v>2</v>
      </c>
      <c r="N885" s="33">
        <f t="shared" si="104"/>
        <v>0</v>
      </c>
      <c r="O885" s="23">
        <f t="shared" si="105"/>
        <v>0</v>
      </c>
      <c r="P885" s="59">
        <f t="shared" si="106"/>
        <v>2.3321525829767195E-2</v>
      </c>
      <c r="Q885" s="30">
        <f t="shared" si="107"/>
        <v>0</v>
      </c>
      <c r="R885" s="30">
        <f t="shared" si="108"/>
        <v>0</v>
      </c>
      <c r="S885" s="12">
        <f t="shared" si="109"/>
        <v>0</v>
      </c>
      <c r="T885" s="30">
        <f t="shared" si="110"/>
        <v>0</v>
      </c>
      <c r="U885" s="9" t="str">
        <f t="shared" si="111"/>
        <v>35-44</v>
      </c>
    </row>
    <row r="886" spans="1:21">
      <c r="A886" t="s">
        <v>918</v>
      </c>
      <c r="B886" s="8">
        <v>3277</v>
      </c>
      <c r="C886" s="23">
        <v>0</v>
      </c>
      <c r="D886" s="19" t="s">
        <v>25</v>
      </c>
      <c r="E886" s="21">
        <v>64.676000000000002</v>
      </c>
      <c r="F886" s="21">
        <v>4.62</v>
      </c>
      <c r="G886" s="23">
        <v>6.2489999999999997E-2</v>
      </c>
      <c r="H886" s="26">
        <v>1</v>
      </c>
      <c r="I886" s="19" t="s">
        <v>17</v>
      </c>
      <c r="J886" s="8">
        <v>42</v>
      </c>
      <c r="K886" s="19" t="s">
        <v>37</v>
      </c>
      <c r="L886" s="19" t="s">
        <v>19</v>
      </c>
      <c r="M886" s="8">
        <v>4</v>
      </c>
      <c r="N886" s="33">
        <f t="shared" si="104"/>
        <v>0.21645021645021645</v>
      </c>
      <c r="O886" s="23">
        <f t="shared" si="105"/>
        <v>0</v>
      </c>
      <c r="P886" s="59">
        <f t="shared" si="106"/>
        <v>7.1432989053126353E-2</v>
      </c>
      <c r="Q886" s="30">
        <f t="shared" si="107"/>
        <v>0</v>
      </c>
      <c r="R886" s="30">
        <f t="shared" si="108"/>
        <v>0</v>
      </c>
      <c r="S886" s="12" t="e">
        <f t="shared" si="109"/>
        <v>#DIV/0!</v>
      </c>
      <c r="T886" s="30">
        <f t="shared" si="110"/>
        <v>1.3525974025974025E-2</v>
      </c>
      <c r="U886" s="9" t="str">
        <f t="shared" si="111"/>
        <v>35-44</v>
      </c>
    </row>
    <row r="887" spans="1:21">
      <c r="A887" t="s">
        <v>919</v>
      </c>
      <c r="B887" s="8">
        <v>4323</v>
      </c>
      <c r="C887" s="23">
        <v>0.16314000000000001</v>
      </c>
      <c r="D887" s="19" t="s">
        <v>28</v>
      </c>
      <c r="E887" s="21">
        <v>5.952</v>
      </c>
      <c r="F887" s="21">
        <v>7.3849999999999998</v>
      </c>
      <c r="G887" s="23">
        <v>0</v>
      </c>
      <c r="H887" s="26">
        <v>0</v>
      </c>
      <c r="I887" s="19" t="s">
        <v>29</v>
      </c>
      <c r="J887" s="8">
        <v>31</v>
      </c>
      <c r="K887" s="19" t="s">
        <v>37</v>
      </c>
      <c r="L887" s="19" t="s">
        <v>45</v>
      </c>
      <c r="M887" s="8">
        <v>5</v>
      </c>
      <c r="N887" s="33">
        <f t="shared" si="104"/>
        <v>0</v>
      </c>
      <c r="O887" s="23">
        <f t="shared" si="105"/>
        <v>2.2090724441435342E-2</v>
      </c>
      <c r="P887" s="59">
        <f t="shared" si="106"/>
        <v>1.2407594086021505</v>
      </c>
      <c r="Q887" s="30">
        <f t="shared" si="107"/>
        <v>0</v>
      </c>
      <c r="R887" s="30">
        <f t="shared" si="108"/>
        <v>-1</v>
      </c>
      <c r="S887" s="12">
        <f t="shared" si="109"/>
        <v>0</v>
      </c>
      <c r="T887" s="30">
        <f t="shared" si="110"/>
        <v>0</v>
      </c>
      <c r="U887" s="9" t="str">
        <f t="shared" si="111"/>
        <v>25-34</v>
      </c>
    </row>
    <row r="888" spans="1:21">
      <c r="A888" t="s">
        <v>920</v>
      </c>
      <c r="B888" s="8">
        <v>3594</v>
      </c>
      <c r="C888" s="23">
        <v>7.7689999999999995E-2</v>
      </c>
      <c r="D888" s="19" t="s">
        <v>25</v>
      </c>
      <c r="E888" s="21">
        <v>37.256999999999998</v>
      </c>
      <c r="F888" s="21">
        <v>3.4</v>
      </c>
      <c r="G888" s="23">
        <v>0.47527000000000003</v>
      </c>
      <c r="H888" s="26">
        <v>1</v>
      </c>
      <c r="I888" s="19" t="s">
        <v>17</v>
      </c>
      <c r="J888" s="8">
        <v>26</v>
      </c>
      <c r="K888" s="19" t="s">
        <v>18</v>
      </c>
      <c r="L888" s="19" t="s">
        <v>45</v>
      </c>
      <c r="M888" s="8">
        <v>1</v>
      </c>
      <c r="N888" s="33">
        <f t="shared" si="104"/>
        <v>0.29411764705882354</v>
      </c>
      <c r="O888" s="23">
        <f t="shared" si="105"/>
        <v>2.2849999999999999E-2</v>
      </c>
      <c r="P888" s="59">
        <f t="shared" si="106"/>
        <v>9.125801862737204E-2</v>
      </c>
      <c r="Q888" s="30">
        <f t="shared" si="107"/>
        <v>7.7689999999999995E-2</v>
      </c>
      <c r="R888" s="30">
        <f t="shared" si="108"/>
        <v>5.1175183421289754</v>
      </c>
      <c r="S888" s="12">
        <f t="shared" si="109"/>
        <v>6.1175183421289745</v>
      </c>
      <c r="T888" s="30">
        <f t="shared" si="110"/>
        <v>0.13978529411764706</v>
      </c>
      <c r="U888" s="9" t="str">
        <f t="shared" si="111"/>
        <v>25-34</v>
      </c>
    </row>
    <row r="889" spans="1:21">
      <c r="A889" t="s">
        <v>921</v>
      </c>
      <c r="B889" s="8">
        <v>1627</v>
      </c>
      <c r="C889" s="23">
        <v>1.2109999999999999E-2</v>
      </c>
      <c r="D889" s="19" t="s">
        <v>15</v>
      </c>
      <c r="E889" s="21">
        <v>32.924999999999997</v>
      </c>
      <c r="F889" s="21">
        <v>9.1319999999999997</v>
      </c>
      <c r="G889" s="23">
        <v>0</v>
      </c>
      <c r="H889" s="26">
        <v>0</v>
      </c>
      <c r="I889" s="19" t="s">
        <v>17</v>
      </c>
      <c r="J889" s="8">
        <v>39</v>
      </c>
      <c r="K889" s="19" t="s">
        <v>31</v>
      </c>
      <c r="L889" s="19" t="s">
        <v>38</v>
      </c>
      <c r="M889" s="8">
        <v>5</v>
      </c>
      <c r="N889" s="33">
        <f t="shared" si="104"/>
        <v>0</v>
      </c>
      <c r="O889" s="23">
        <f t="shared" si="105"/>
        <v>1.3261060008760402E-3</v>
      </c>
      <c r="P889" s="59">
        <f t="shared" si="106"/>
        <v>0.27735763097949889</v>
      </c>
      <c r="Q889" s="30">
        <f t="shared" si="107"/>
        <v>0</v>
      </c>
      <c r="R889" s="30">
        <f t="shared" si="108"/>
        <v>-1</v>
      </c>
      <c r="S889" s="12">
        <f t="shared" si="109"/>
        <v>0</v>
      </c>
      <c r="T889" s="30">
        <f t="shared" si="110"/>
        <v>0</v>
      </c>
      <c r="U889" s="9" t="str">
        <f t="shared" si="111"/>
        <v>35-44</v>
      </c>
    </row>
    <row r="890" spans="1:21">
      <c r="A890" t="s">
        <v>922</v>
      </c>
      <c r="B890" s="8">
        <v>1000</v>
      </c>
      <c r="C890" s="23">
        <v>0.10779</v>
      </c>
      <c r="D890" s="19" t="s">
        <v>15</v>
      </c>
      <c r="E890" s="21">
        <v>4.2290000000000001</v>
      </c>
      <c r="F890" s="21">
        <v>9.6850000000000005</v>
      </c>
      <c r="G890" s="23">
        <v>0</v>
      </c>
      <c r="H890" s="26">
        <v>0</v>
      </c>
      <c r="I890" s="19" t="s">
        <v>26</v>
      </c>
      <c r="J890" s="8">
        <v>30</v>
      </c>
      <c r="K890" s="19" t="s">
        <v>18</v>
      </c>
      <c r="L890" s="19" t="s">
        <v>19</v>
      </c>
      <c r="M890" s="8">
        <v>4</v>
      </c>
      <c r="N890" s="33">
        <f t="shared" si="104"/>
        <v>0</v>
      </c>
      <c r="O890" s="23">
        <f t="shared" si="105"/>
        <v>1.1129581827568404E-2</v>
      </c>
      <c r="P890" s="59">
        <f t="shared" si="106"/>
        <v>2.2901395128872073</v>
      </c>
      <c r="Q890" s="30">
        <f t="shared" si="107"/>
        <v>0</v>
      </c>
      <c r="R890" s="30">
        <f t="shared" si="108"/>
        <v>-1</v>
      </c>
      <c r="S890" s="12">
        <f t="shared" si="109"/>
        <v>0</v>
      </c>
      <c r="T890" s="30">
        <f t="shared" si="110"/>
        <v>0</v>
      </c>
      <c r="U890" s="9" t="str">
        <f t="shared" si="111"/>
        <v>25-34</v>
      </c>
    </row>
    <row r="891" spans="1:21">
      <c r="A891" t="s">
        <v>923</v>
      </c>
      <c r="B891" s="8">
        <v>9263</v>
      </c>
      <c r="C891" s="23">
        <v>1.8759999999999999E-2</v>
      </c>
      <c r="D891" s="19" t="s">
        <v>25</v>
      </c>
      <c r="E891" s="21">
        <v>70.311000000000007</v>
      </c>
      <c r="F891" s="21">
        <v>8.3070000000000004</v>
      </c>
      <c r="G891" s="23">
        <v>0</v>
      </c>
      <c r="H891" s="26">
        <v>0</v>
      </c>
      <c r="I891" s="19" t="s">
        <v>17</v>
      </c>
      <c r="J891" s="8">
        <v>40</v>
      </c>
      <c r="K891" s="19" t="s">
        <v>22</v>
      </c>
      <c r="L891" s="19" t="s">
        <v>23</v>
      </c>
      <c r="M891" s="8">
        <v>2</v>
      </c>
      <c r="N891" s="33">
        <f t="shared" si="104"/>
        <v>0</v>
      </c>
      <c r="O891" s="23">
        <f t="shared" si="105"/>
        <v>2.2583363428433849E-3</v>
      </c>
      <c r="P891" s="59">
        <f t="shared" si="106"/>
        <v>0.11814652045910312</v>
      </c>
      <c r="Q891" s="30">
        <f t="shared" si="107"/>
        <v>0</v>
      </c>
      <c r="R891" s="30">
        <f t="shared" si="108"/>
        <v>-1</v>
      </c>
      <c r="S891" s="12">
        <f t="shared" si="109"/>
        <v>0</v>
      </c>
      <c r="T891" s="30">
        <f t="shared" si="110"/>
        <v>0</v>
      </c>
      <c r="U891" s="9" t="str">
        <f t="shared" si="111"/>
        <v>35-44</v>
      </c>
    </row>
    <row r="892" spans="1:21">
      <c r="A892" t="s">
        <v>924</v>
      </c>
      <c r="B892" s="8">
        <v>1879</v>
      </c>
      <c r="C892" s="23">
        <v>5.706E-2</v>
      </c>
      <c r="D892" s="19" t="s">
        <v>25</v>
      </c>
      <c r="E892" s="21">
        <v>86.631</v>
      </c>
      <c r="F892" s="21">
        <v>9.9420000000000002</v>
      </c>
      <c r="G892" s="23">
        <v>0</v>
      </c>
      <c r="H892" s="26">
        <v>0</v>
      </c>
      <c r="I892" s="19" t="s">
        <v>26</v>
      </c>
      <c r="J892" s="8">
        <v>65</v>
      </c>
      <c r="K892" s="19" t="s">
        <v>37</v>
      </c>
      <c r="L892" s="19" t="s">
        <v>32</v>
      </c>
      <c r="M892" s="8" t="s">
        <v>1065</v>
      </c>
      <c r="N892" s="33">
        <f t="shared" si="104"/>
        <v>0</v>
      </c>
      <c r="O892" s="23">
        <f t="shared" si="105"/>
        <v>5.739287869643935E-3</v>
      </c>
      <c r="P892" s="59">
        <f t="shared" si="106"/>
        <v>0.11476261384492849</v>
      </c>
      <c r="Q892" s="30">
        <f t="shared" si="107"/>
        <v>0</v>
      </c>
      <c r="R892" s="30">
        <f t="shared" si="108"/>
        <v>-1</v>
      </c>
      <c r="S892" s="12">
        <f t="shared" si="109"/>
        <v>0</v>
      </c>
      <c r="T892" s="30">
        <f t="shared" si="110"/>
        <v>0</v>
      </c>
      <c r="U892" s="9" t="str">
        <f t="shared" si="111"/>
        <v>55+</v>
      </c>
    </row>
    <row r="893" spans="1:21">
      <c r="A893" t="s">
        <v>925</v>
      </c>
      <c r="B893" s="8">
        <v>4779</v>
      </c>
      <c r="C893" s="23">
        <v>5.1110000000000003E-2</v>
      </c>
      <c r="D893" s="19" t="s">
        <v>15</v>
      </c>
      <c r="E893" s="21">
        <v>45.811</v>
      </c>
      <c r="F893" s="21">
        <v>2.0230000000000001</v>
      </c>
      <c r="G893" s="23">
        <v>0</v>
      </c>
      <c r="H893" s="26">
        <v>0</v>
      </c>
      <c r="I893" s="19" t="s">
        <v>26</v>
      </c>
      <c r="J893" s="8">
        <v>46</v>
      </c>
      <c r="K893" s="19" t="s">
        <v>31</v>
      </c>
      <c r="L893" s="19" t="s">
        <v>32</v>
      </c>
      <c r="M893" s="8">
        <v>5</v>
      </c>
      <c r="N893" s="33">
        <f t="shared" si="104"/>
        <v>0</v>
      </c>
      <c r="O893" s="23">
        <f t="shared" si="105"/>
        <v>2.5264458724666337E-2</v>
      </c>
      <c r="P893" s="59">
        <f t="shared" si="106"/>
        <v>4.4159699635458738E-2</v>
      </c>
      <c r="Q893" s="30">
        <f t="shared" si="107"/>
        <v>0</v>
      </c>
      <c r="R893" s="30">
        <f t="shared" si="108"/>
        <v>-1</v>
      </c>
      <c r="S893" s="12">
        <f t="shared" si="109"/>
        <v>0</v>
      </c>
      <c r="T893" s="30">
        <f t="shared" si="110"/>
        <v>0</v>
      </c>
      <c r="U893" s="9" t="str">
        <f t="shared" si="111"/>
        <v>45-54</v>
      </c>
    </row>
    <row r="894" spans="1:21">
      <c r="A894" t="s">
        <v>926</v>
      </c>
      <c r="B894" s="8">
        <v>8085</v>
      </c>
      <c r="C894" s="23">
        <v>0.11309</v>
      </c>
      <c r="D894" s="19" t="s">
        <v>32</v>
      </c>
      <c r="E894" s="21">
        <v>27.992999999999999</v>
      </c>
      <c r="F894" s="21">
        <v>3.6560000000000001</v>
      </c>
      <c r="G894" s="23">
        <v>0.33557999999999999</v>
      </c>
      <c r="H894" s="26">
        <v>1</v>
      </c>
      <c r="I894" s="19" t="s">
        <v>34</v>
      </c>
      <c r="J894" s="8">
        <v>49</v>
      </c>
      <c r="K894" s="19" t="s">
        <v>22</v>
      </c>
      <c r="L894" s="19" t="s">
        <v>38</v>
      </c>
      <c r="M894" s="8">
        <v>3</v>
      </c>
      <c r="N894" s="33">
        <f t="shared" si="104"/>
        <v>0.2735229759299781</v>
      </c>
      <c r="O894" s="23">
        <f t="shared" si="105"/>
        <v>3.0932713347921224E-2</v>
      </c>
      <c r="P894" s="59">
        <f t="shared" si="106"/>
        <v>0.13060407959132642</v>
      </c>
      <c r="Q894" s="30">
        <f t="shared" si="107"/>
        <v>0.11309</v>
      </c>
      <c r="R894" s="30">
        <f t="shared" si="108"/>
        <v>1.9673711203466266</v>
      </c>
      <c r="S894" s="12">
        <f t="shared" si="109"/>
        <v>2.9673711203466264</v>
      </c>
      <c r="T894" s="30">
        <f t="shared" si="110"/>
        <v>9.178884026258205E-2</v>
      </c>
      <c r="U894" s="9" t="str">
        <f t="shared" si="111"/>
        <v>45-54</v>
      </c>
    </row>
    <row r="895" spans="1:21">
      <c r="A895" t="s">
        <v>927</v>
      </c>
      <c r="B895" s="8">
        <v>6235</v>
      </c>
      <c r="C895" s="23">
        <v>0.18057999999999999</v>
      </c>
      <c r="D895" s="19" t="s">
        <v>45</v>
      </c>
      <c r="E895" s="21">
        <v>13.038</v>
      </c>
      <c r="F895" s="21">
        <v>5.3339999999999996</v>
      </c>
      <c r="G895" s="23">
        <v>0</v>
      </c>
      <c r="H895" s="26">
        <v>0</v>
      </c>
      <c r="I895" s="19" t="s">
        <v>34</v>
      </c>
      <c r="J895" s="8">
        <v>43</v>
      </c>
      <c r="K895" s="19" t="s">
        <v>22</v>
      </c>
      <c r="L895" s="19" t="s">
        <v>45</v>
      </c>
      <c r="M895" s="8" t="s">
        <v>1065</v>
      </c>
      <c r="N895" s="33">
        <f t="shared" si="104"/>
        <v>0</v>
      </c>
      <c r="O895" s="23">
        <f t="shared" si="105"/>
        <v>3.3854518185226848E-2</v>
      </c>
      <c r="P895" s="59">
        <f t="shared" si="106"/>
        <v>0.40911182696732623</v>
      </c>
      <c r="Q895" s="30">
        <f t="shared" si="107"/>
        <v>0</v>
      </c>
      <c r="R895" s="30">
        <f t="shared" si="108"/>
        <v>-1</v>
      </c>
      <c r="S895" s="12">
        <f t="shared" si="109"/>
        <v>0</v>
      </c>
      <c r="T895" s="30">
        <f t="shared" si="110"/>
        <v>0</v>
      </c>
      <c r="U895" s="9" t="str">
        <f t="shared" si="111"/>
        <v>35-44</v>
      </c>
    </row>
    <row r="896" spans="1:21">
      <c r="A896" t="s">
        <v>928</v>
      </c>
      <c r="B896" s="8">
        <v>3249</v>
      </c>
      <c r="C896" s="23">
        <v>0.1142</v>
      </c>
      <c r="D896" s="19" t="s">
        <v>25</v>
      </c>
      <c r="E896" s="21">
        <v>38.987000000000002</v>
      </c>
      <c r="F896" s="21">
        <v>5.5439999999999996</v>
      </c>
      <c r="G896" s="23">
        <v>0</v>
      </c>
      <c r="H896" s="26">
        <v>0</v>
      </c>
      <c r="I896" s="19" t="s">
        <v>1067</v>
      </c>
      <c r="J896" s="8">
        <v>47</v>
      </c>
      <c r="K896" s="19" t="s">
        <v>18</v>
      </c>
      <c r="L896" s="19" t="s">
        <v>19</v>
      </c>
      <c r="M896" s="8">
        <v>5</v>
      </c>
      <c r="N896" s="33">
        <f t="shared" si="104"/>
        <v>0</v>
      </c>
      <c r="O896" s="23">
        <f t="shared" si="105"/>
        <v>2.0598845598845599E-2</v>
      </c>
      <c r="P896" s="59">
        <f t="shared" si="106"/>
        <v>0.14220124656936925</v>
      </c>
      <c r="Q896" s="30">
        <f t="shared" si="107"/>
        <v>0</v>
      </c>
      <c r="R896" s="30">
        <f t="shared" si="108"/>
        <v>-1</v>
      </c>
      <c r="S896" s="12">
        <f t="shared" si="109"/>
        <v>0</v>
      </c>
      <c r="T896" s="30">
        <f t="shared" si="110"/>
        <v>0</v>
      </c>
      <c r="U896" s="9" t="str">
        <f t="shared" si="111"/>
        <v>45-54</v>
      </c>
    </row>
    <row r="897" spans="1:21">
      <c r="A897" t="s">
        <v>929</v>
      </c>
      <c r="B897" s="8">
        <v>8032</v>
      </c>
      <c r="C897" s="23">
        <v>0.14967</v>
      </c>
      <c r="D897" s="19" t="s">
        <v>40</v>
      </c>
      <c r="E897" s="21">
        <v>51.758000000000003</v>
      </c>
      <c r="F897" s="21">
        <v>7.2009999999999996</v>
      </c>
      <c r="G897" s="23">
        <v>0</v>
      </c>
      <c r="H897" s="26">
        <v>0</v>
      </c>
      <c r="I897" s="19" t="s">
        <v>34</v>
      </c>
      <c r="J897" s="8">
        <v>22</v>
      </c>
      <c r="K897" s="19" t="s">
        <v>18</v>
      </c>
      <c r="L897" s="19" t="s">
        <v>32</v>
      </c>
      <c r="M897" s="8">
        <v>1</v>
      </c>
      <c r="N897" s="33">
        <f t="shared" si="104"/>
        <v>0</v>
      </c>
      <c r="O897" s="23">
        <f t="shared" si="105"/>
        <v>2.0784613248159979E-2</v>
      </c>
      <c r="P897" s="59">
        <f t="shared" si="106"/>
        <v>0.13912825070520499</v>
      </c>
      <c r="Q897" s="30">
        <f t="shared" si="107"/>
        <v>0</v>
      </c>
      <c r="R897" s="30">
        <f t="shared" si="108"/>
        <v>-1</v>
      </c>
      <c r="S897" s="12">
        <f t="shared" si="109"/>
        <v>0</v>
      </c>
      <c r="T897" s="30">
        <f t="shared" si="110"/>
        <v>0</v>
      </c>
      <c r="U897" s="9" t="str">
        <f t="shared" si="111"/>
        <v>18-24</v>
      </c>
    </row>
    <row r="898" spans="1:21">
      <c r="A898" t="s">
        <v>930</v>
      </c>
      <c r="B898" s="8">
        <v>8737</v>
      </c>
      <c r="C898" s="23">
        <v>0.16095999999999999</v>
      </c>
      <c r="D898" s="19" t="s">
        <v>45</v>
      </c>
      <c r="E898" s="21">
        <v>56.2</v>
      </c>
      <c r="F898" s="21">
        <v>9.3770000000000007</v>
      </c>
      <c r="G898" s="23">
        <v>0</v>
      </c>
      <c r="H898" s="26">
        <v>0</v>
      </c>
      <c r="I898" s="19" t="s">
        <v>26</v>
      </c>
      <c r="J898" s="8">
        <v>19</v>
      </c>
      <c r="K898" s="19" t="s">
        <v>37</v>
      </c>
      <c r="L898" s="19" t="s">
        <v>38</v>
      </c>
      <c r="M898" s="8" t="s">
        <v>1065</v>
      </c>
      <c r="N898" s="33">
        <f t="shared" ref="N898:N961" si="112">IF(F898=0,0,H898/F898)</f>
        <v>0</v>
      </c>
      <c r="O898" s="23">
        <f t="shared" ref="O898:O961" si="113">IF(F898=0,0,C898/F898)</f>
        <v>1.7165404713661084E-2</v>
      </c>
      <c r="P898" s="59">
        <f t="shared" ref="P898:P961" si="114">IF(E898=0,0,F898/E898)</f>
        <v>0.16685053380782919</v>
      </c>
      <c r="Q898" s="30">
        <f t="shared" ref="Q898:Q961" si="115">IF(H898=0,0,C898/H898)</f>
        <v>0</v>
      </c>
      <c r="R898" s="30">
        <f t="shared" ref="R898:R961" si="116">IF(C898=0,0,(G898-C898)/C898)</f>
        <v>-1</v>
      </c>
      <c r="S898" s="12">
        <f t="shared" ref="S898:S961" si="117">IF(G898=0,0,G898/C898)</f>
        <v>0</v>
      </c>
      <c r="T898" s="30">
        <f t="shared" ref="T898:T961" si="118">IF(F898=0,0,G898/F898)</f>
        <v>0</v>
      </c>
      <c r="U898" s="9" t="str">
        <f t="shared" si="111"/>
        <v>18-24</v>
      </c>
    </row>
    <row r="899" spans="1:21">
      <c r="A899" t="s">
        <v>931</v>
      </c>
      <c r="B899" s="8">
        <v>9597</v>
      </c>
      <c r="C899" s="23">
        <v>0.19122</v>
      </c>
      <c r="D899" s="19" t="s">
        <v>45</v>
      </c>
      <c r="E899" s="21">
        <v>62.642000000000003</v>
      </c>
      <c r="F899" s="21">
        <v>1.4179999999999999</v>
      </c>
      <c r="G899" s="23">
        <v>0.38991999999999999</v>
      </c>
      <c r="H899" s="26">
        <v>1</v>
      </c>
      <c r="I899" s="19" t="s">
        <v>21</v>
      </c>
      <c r="J899" s="8">
        <v>41</v>
      </c>
      <c r="K899" s="19" t="s">
        <v>22</v>
      </c>
      <c r="L899" s="19" t="s">
        <v>19</v>
      </c>
      <c r="M899" s="8">
        <v>5</v>
      </c>
      <c r="N899" s="33">
        <f t="shared" si="112"/>
        <v>0.70521861777150918</v>
      </c>
      <c r="O899" s="23">
        <f t="shared" si="113"/>
        <v>0.13485190409026798</v>
      </c>
      <c r="P899" s="59">
        <f t="shared" si="114"/>
        <v>2.2636569713610673E-2</v>
      </c>
      <c r="Q899" s="30">
        <f t="shared" si="115"/>
        <v>0.19122</v>
      </c>
      <c r="R899" s="30">
        <f t="shared" si="116"/>
        <v>1.0391172471498797</v>
      </c>
      <c r="S899" s="12">
        <f t="shared" si="117"/>
        <v>2.0391172471498797</v>
      </c>
      <c r="T899" s="30">
        <f t="shared" si="118"/>
        <v>0.27497884344146684</v>
      </c>
      <c r="U899" s="9" t="str">
        <f t="shared" ref="U899:U962" si="119">IF(J899&lt;25,"18-24",IF(J899&lt;35,"25-34",IF(J899&lt;45,"35-44",IF(J899&lt;55,"45-54","55+"))))</f>
        <v>35-44</v>
      </c>
    </row>
    <row r="900" spans="1:21">
      <c r="A900" t="s">
        <v>932</v>
      </c>
      <c r="B900" s="8">
        <v>3414</v>
      </c>
      <c r="C900" s="23">
        <v>0</v>
      </c>
      <c r="D900" s="19" t="s">
        <v>32</v>
      </c>
      <c r="E900" s="21">
        <v>22.95</v>
      </c>
      <c r="F900" s="21">
        <v>2.7989999999999999</v>
      </c>
      <c r="G900" s="23">
        <v>0</v>
      </c>
      <c r="H900" s="26">
        <v>0</v>
      </c>
      <c r="I900" s="19" t="s">
        <v>29</v>
      </c>
      <c r="J900" s="8">
        <v>22</v>
      </c>
      <c r="K900" s="19" t="s">
        <v>37</v>
      </c>
      <c r="L900" s="19" t="s">
        <v>45</v>
      </c>
      <c r="M900" s="8" t="s">
        <v>1065</v>
      </c>
      <c r="N900" s="33">
        <f t="shared" si="112"/>
        <v>0</v>
      </c>
      <c r="O900" s="23">
        <f t="shared" si="113"/>
        <v>0</v>
      </c>
      <c r="P900" s="59">
        <f t="shared" si="114"/>
        <v>0.12196078431372549</v>
      </c>
      <c r="Q900" s="30">
        <f t="shared" si="115"/>
        <v>0</v>
      </c>
      <c r="R900" s="30">
        <f t="shared" si="116"/>
        <v>0</v>
      </c>
      <c r="S900" s="12">
        <f t="shared" si="117"/>
        <v>0</v>
      </c>
      <c r="T900" s="30">
        <f t="shared" si="118"/>
        <v>0</v>
      </c>
      <c r="U900" s="9" t="str">
        <f t="shared" si="119"/>
        <v>18-24</v>
      </c>
    </row>
    <row r="901" spans="1:21">
      <c r="A901" t="s">
        <v>933</v>
      </c>
      <c r="B901" s="8">
        <v>2664</v>
      </c>
      <c r="C901" s="23">
        <v>4.079E-2</v>
      </c>
      <c r="D901" s="19" t="s">
        <v>25</v>
      </c>
      <c r="E901" s="21">
        <v>41.045000000000002</v>
      </c>
      <c r="F901" s="21">
        <v>6.7759999999999998</v>
      </c>
      <c r="G901" s="23">
        <v>0</v>
      </c>
      <c r="H901" s="26">
        <v>0</v>
      </c>
      <c r="I901" s="19" t="s">
        <v>26</v>
      </c>
      <c r="J901" s="8">
        <v>38</v>
      </c>
      <c r="K901" s="19" t="s">
        <v>22</v>
      </c>
      <c r="L901" s="19" t="s">
        <v>32</v>
      </c>
      <c r="M901" s="8">
        <v>3</v>
      </c>
      <c r="N901" s="33">
        <f t="shared" si="112"/>
        <v>0</v>
      </c>
      <c r="O901" s="23">
        <f t="shared" si="113"/>
        <v>6.0197756788665877E-3</v>
      </c>
      <c r="P901" s="59">
        <f t="shared" si="114"/>
        <v>0.16508709952491166</v>
      </c>
      <c r="Q901" s="30">
        <f t="shared" si="115"/>
        <v>0</v>
      </c>
      <c r="R901" s="30">
        <f t="shared" si="116"/>
        <v>-1</v>
      </c>
      <c r="S901" s="12">
        <f t="shared" si="117"/>
        <v>0</v>
      </c>
      <c r="T901" s="30">
        <f t="shared" si="118"/>
        <v>0</v>
      </c>
      <c r="U901" s="9" t="str">
        <f t="shared" si="119"/>
        <v>35-44</v>
      </c>
    </row>
    <row r="902" spans="1:21">
      <c r="A902" t="s">
        <v>934</v>
      </c>
      <c r="B902" s="8">
        <v>4208</v>
      </c>
      <c r="C902" s="23">
        <v>0.11115</v>
      </c>
      <c r="D902" s="19" t="s">
        <v>25</v>
      </c>
      <c r="E902" s="21">
        <v>95.834999999999994</v>
      </c>
      <c r="F902" s="21">
        <v>8.4619999999999997</v>
      </c>
      <c r="G902" s="23">
        <v>0</v>
      </c>
      <c r="H902" s="26">
        <v>0</v>
      </c>
      <c r="I902" s="19" t="s">
        <v>21</v>
      </c>
      <c r="J902" s="8">
        <v>21</v>
      </c>
      <c r="K902" s="19" t="s">
        <v>22</v>
      </c>
      <c r="L902" s="19" t="s">
        <v>38</v>
      </c>
      <c r="M902" s="8" t="s">
        <v>1065</v>
      </c>
      <c r="N902" s="33">
        <f t="shared" si="112"/>
        <v>0</v>
      </c>
      <c r="O902" s="23">
        <f t="shared" si="113"/>
        <v>1.3135192625856771E-2</v>
      </c>
      <c r="P902" s="59">
        <f t="shared" si="114"/>
        <v>8.8297594824437844E-2</v>
      </c>
      <c r="Q902" s="30">
        <f t="shared" si="115"/>
        <v>0</v>
      </c>
      <c r="R902" s="30">
        <f t="shared" si="116"/>
        <v>-1</v>
      </c>
      <c r="S902" s="12">
        <f t="shared" si="117"/>
        <v>0</v>
      </c>
      <c r="T902" s="30">
        <f t="shared" si="118"/>
        <v>0</v>
      </c>
      <c r="U902" s="9" t="str">
        <f t="shared" si="119"/>
        <v>18-24</v>
      </c>
    </row>
    <row r="903" spans="1:21">
      <c r="A903" t="s">
        <v>935</v>
      </c>
      <c r="B903" s="8">
        <v>7158</v>
      </c>
      <c r="C903" s="23">
        <v>6.9040000000000004E-2</v>
      </c>
      <c r="D903" s="19" t="s">
        <v>32</v>
      </c>
      <c r="E903" s="21">
        <v>96.897999999999996</v>
      </c>
      <c r="F903" s="21">
        <v>9.5839999999999996</v>
      </c>
      <c r="G903" s="23">
        <v>0.13058</v>
      </c>
      <c r="H903" s="26">
        <v>1</v>
      </c>
      <c r="I903" s="19" t="s">
        <v>17</v>
      </c>
      <c r="J903" s="8">
        <v>44</v>
      </c>
      <c r="K903" s="19" t="s">
        <v>37</v>
      </c>
      <c r="L903" s="19" t="s">
        <v>19</v>
      </c>
      <c r="M903" s="8">
        <v>2</v>
      </c>
      <c r="N903" s="33">
        <f t="shared" si="112"/>
        <v>0.10434056761268781</v>
      </c>
      <c r="O903" s="23">
        <f t="shared" si="113"/>
        <v>7.2036727879799672E-3</v>
      </c>
      <c r="P903" s="59">
        <f t="shared" si="114"/>
        <v>9.8908130198765709E-2</v>
      </c>
      <c r="Q903" s="30">
        <f t="shared" si="115"/>
        <v>6.9040000000000004E-2</v>
      </c>
      <c r="R903" s="30">
        <f t="shared" si="116"/>
        <v>0.89136732329084578</v>
      </c>
      <c r="S903" s="12">
        <f t="shared" si="117"/>
        <v>1.8913673232908459</v>
      </c>
      <c r="T903" s="30">
        <f t="shared" si="118"/>
        <v>1.3624791318864776E-2</v>
      </c>
      <c r="U903" s="9" t="str">
        <f t="shared" si="119"/>
        <v>35-44</v>
      </c>
    </row>
    <row r="904" spans="1:21">
      <c r="A904" t="s">
        <v>936</v>
      </c>
      <c r="B904" s="8">
        <v>9694</v>
      </c>
      <c r="C904" s="23">
        <v>6.0319999999999999E-2</v>
      </c>
      <c r="D904" s="19" t="s">
        <v>25</v>
      </c>
      <c r="E904" s="21">
        <v>38.145000000000003</v>
      </c>
      <c r="F904" s="21">
        <v>9.7119999999999997</v>
      </c>
      <c r="G904" s="23">
        <v>0</v>
      </c>
      <c r="H904" s="26">
        <v>0</v>
      </c>
      <c r="I904" s="19" t="s">
        <v>34</v>
      </c>
      <c r="J904" s="8">
        <v>18</v>
      </c>
      <c r="K904" s="19" t="s">
        <v>18</v>
      </c>
      <c r="L904" s="19" t="s">
        <v>19</v>
      </c>
      <c r="M904" s="8">
        <v>4</v>
      </c>
      <c r="N904" s="33">
        <f t="shared" si="112"/>
        <v>0</v>
      </c>
      <c r="O904" s="23">
        <f t="shared" si="113"/>
        <v>6.2108731466227344E-3</v>
      </c>
      <c r="P904" s="59">
        <f t="shared" si="114"/>
        <v>0.25460741905885437</v>
      </c>
      <c r="Q904" s="30">
        <f t="shared" si="115"/>
        <v>0</v>
      </c>
      <c r="R904" s="30">
        <f t="shared" si="116"/>
        <v>-1</v>
      </c>
      <c r="S904" s="12">
        <f t="shared" si="117"/>
        <v>0</v>
      </c>
      <c r="T904" s="30">
        <f t="shared" si="118"/>
        <v>0</v>
      </c>
      <c r="U904" s="9" t="str">
        <f t="shared" si="119"/>
        <v>18-24</v>
      </c>
    </row>
    <row r="905" spans="1:21">
      <c r="A905" t="s">
        <v>937</v>
      </c>
      <c r="B905" s="8">
        <v>9027</v>
      </c>
      <c r="C905" s="23">
        <v>6.3479999999999995E-2</v>
      </c>
      <c r="D905" s="19" t="s">
        <v>28</v>
      </c>
      <c r="E905" s="21">
        <v>33.710999999999999</v>
      </c>
      <c r="F905" s="21">
        <v>7.468</v>
      </c>
      <c r="G905" s="23">
        <v>0</v>
      </c>
      <c r="H905" s="26">
        <v>0</v>
      </c>
      <c r="I905" s="19" t="s">
        <v>34</v>
      </c>
      <c r="J905" s="8">
        <v>27</v>
      </c>
      <c r="K905" s="19" t="s">
        <v>22</v>
      </c>
      <c r="L905" s="19" t="s">
        <v>23</v>
      </c>
      <c r="M905" s="8">
        <v>3</v>
      </c>
      <c r="N905" s="33">
        <f t="shared" si="112"/>
        <v>0</v>
      </c>
      <c r="O905" s="23">
        <f t="shared" si="113"/>
        <v>8.5002678093197628E-3</v>
      </c>
      <c r="P905" s="59">
        <f t="shared" si="114"/>
        <v>0.22153006437068021</v>
      </c>
      <c r="Q905" s="30">
        <f t="shared" si="115"/>
        <v>0</v>
      </c>
      <c r="R905" s="30">
        <f t="shared" si="116"/>
        <v>-1</v>
      </c>
      <c r="S905" s="12">
        <f t="shared" si="117"/>
        <v>0</v>
      </c>
      <c r="T905" s="30">
        <f t="shared" si="118"/>
        <v>0</v>
      </c>
      <c r="U905" s="9" t="str">
        <f t="shared" si="119"/>
        <v>25-34</v>
      </c>
    </row>
    <row r="906" spans="1:21">
      <c r="A906" t="s">
        <v>938</v>
      </c>
      <c r="B906" s="8">
        <v>8815</v>
      </c>
      <c r="C906" s="23">
        <v>2.877E-2</v>
      </c>
      <c r="D906" s="19" t="s">
        <v>15</v>
      </c>
      <c r="E906" s="21">
        <v>7.7789999999999999</v>
      </c>
      <c r="F906" s="21">
        <v>4.6159999999999997</v>
      </c>
      <c r="G906" s="23">
        <v>0</v>
      </c>
      <c r="H906" s="26">
        <v>0</v>
      </c>
      <c r="I906" s="19" t="s">
        <v>26</v>
      </c>
      <c r="J906" s="8">
        <v>43</v>
      </c>
      <c r="K906" s="19" t="s">
        <v>18</v>
      </c>
      <c r="L906" s="19" t="s">
        <v>19</v>
      </c>
      <c r="M906" s="8">
        <v>1</v>
      </c>
      <c r="N906" s="33">
        <f t="shared" si="112"/>
        <v>0</v>
      </c>
      <c r="O906" s="23">
        <f t="shared" si="113"/>
        <v>6.2326689774696714E-3</v>
      </c>
      <c r="P906" s="59">
        <f t="shared" si="114"/>
        <v>0.5933924668980588</v>
      </c>
      <c r="Q906" s="30">
        <f t="shared" si="115"/>
        <v>0</v>
      </c>
      <c r="R906" s="30">
        <f t="shared" si="116"/>
        <v>-1</v>
      </c>
      <c r="S906" s="12">
        <f t="shared" si="117"/>
        <v>0</v>
      </c>
      <c r="T906" s="30">
        <f t="shared" si="118"/>
        <v>0</v>
      </c>
      <c r="U906" s="9" t="str">
        <f t="shared" si="119"/>
        <v>35-44</v>
      </c>
    </row>
    <row r="907" spans="1:21">
      <c r="A907" t="s">
        <v>939</v>
      </c>
      <c r="B907" s="8">
        <v>1139</v>
      </c>
      <c r="C907" s="23">
        <v>0.11143</v>
      </c>
      <c r="D907" s="19" t="s">
        <v>28</v>
      </c>
      <c r="E907" s="21">
        <v>79.66</v>
      </c>
      <c r="F907" s="21">
        <v>9.2460000000000004</v>
      </c>
      <c r="G907" s="23">
        <v>0</v>
      </c>
      <c r="H907" s="26">
        <v>0</v>
      </c>
      <c r="I907" s="19" t="s">
        <v>17</v>
      </c>
      <c r="J907" s="8">
        <v>33</v>
      </c>
      <c r="K907" s="19" t="s">
        <v>37</v>
      </c>
      <c r="L907" s="19" t="s">
        <v>23</v>
      </c>
      <c r="M907" s="8">
        <v>1</v>
      </c>
      <c r="N907" s="33">
        <f t="shared" si="112"/>
        <v>0</v>
      </c>
      <c r="O907" s="23">
        <f t="shared" si="113"/>
        <v>1.2051698031581223E-2</v>
      </c>
      <c r="P907" s="59">
        <f t="shared" si="114"/>
        <v>0.11606829023349235</v>
      </c>
      <c r="Q907" s="30">
        <f t="shared" si="115"/>
        <v>0</v>
      </c>
      <c r="R907" s="30">
        <f t="shared" si="116"/>
        <v>-1</v>
      </c>
      <c r="S907" s="12">
        <f t="shared" si="117"/>
        <v>0</v>
      </c>
      <c r="T907" s="30">
        <f t="shared" si="118"/>
        <v>0</v>
      </c>
      <c r="U907" s="9" t="str">
        <f t="shared" si="119"/>
        <v>25-34</v>
      </c>
    </row>
    <row r="908" spans="1:21">
      <c r="A908" t="s">
        <v>940</v>
      </c>
      <c r="B908" s="8">
        <v>5771</v>
      </c>
      <c r="C908" s="23">
        <v>0.15626999999999999</v>
      </c>
      <c r="D908" s="19" t="s">
        <v>15</v>
      </c>
      <c r="E908" s="21">
        <v>12.997999999999999</v>
      </c>
      <c r="F908" s="21">
        <v>9.6199999999999992</v>
      </c>
      <c r="G908" s="23">
        <v>0.20196</v>
      </c>
      <c r="H908" s="26">
        <v>1</v>
      </c>
      <c r="I908" s="19" t="s">
        <v>17</v>
      </c>
      <c r="J908" s="8">
        <v>29</v>
      </c>
      <c r="K908" s="19" t="s">
        <v>22</v>
      </c>
      <c r="L908" s="19" t="s">
        <v>45</v>
      </c>
      <c r="M908" s="8">
        <v>1</v>
      </c>
      <c r="N908" s="33">
        <f t="shared" si="112"/>
        <v>0.10395010395010396</v>
      </c>
      <c r="O908" s="23">
        <f t="shared" si="113"/>
        <v>1.6244282744282745E-2</v>
      </c>
      <c r="P908" s="59">
        <f t="shared" si="114"/>
        <v>0.74011386367133403</v>
      </c>
      <c r="Q908" s="30">
        <f t="shared" si="115"/>
        <v>0.15626999999999999</v>
      </c>
      <c r="R908" s="30">
        <f t="shared" si="116"/>
        <v>0.29237857554233065</v>
      </c>
      <c r="S908" s="12">
        <f t="shared" si="117"/>
        <v>1.2923785755423307</v>
      </c>
      <c r="T908" s="30">
        <f t="shared" si="118"/>
        <v>2.0993762993762995E-2</v>
      </c>
      <c r="U908" s="9" t="str">
        <f t="shared" si="119"/>
        <v>25-34</v>
      </c>
    </row>
    <row r="909" spans="1:21">
      <c r="A909" t="s">
        <v>941</v>
      </c>
      <c r="B909" s="8">
        <v>4856</v>
      </c>
      <c r="C909" s="23">
        <v>0.1467</v>
      </c>
      <c r="D909" s="19" t="s">
        <v>25</v>
      </c>
      <c r="E909" s="21">
        <v>11.090999999999999</v>
      </c>
      <c r="F909" s="21">
        <v>8.048</v>
      </c>
      <c r="G909" s="23">
        <v>0</v>
      </c>
      <c r="H909" s="26">
        <v>1</v>
      </c>
      <c r="I909" s="19" t="s">
        <v>17</v>
      </c>
      <c r="J909" s="8">
        <v>45</v>
      </c>
      <c r="K909" s="19" t="s">
        <v>31</v>
      </c>
      <c r="L909" s="19" t="s">
        <v>45</v>
      </c>
      <c r="M909" s="8">
        <v>2</v>
      </c>
      <c r="N909" s="33">
        <f t="shared" si="112"/>
        <v>0.1242544731610338</v>
      </c>
      <c r="O909" s="23">
        <f t="shared" si="113"/>
        <v>1.8228131212723656E-2</v>
      </c>
      <c r="P909" s="59">
        <f t="shared" si="114"/>
        <v>0.72563339644757019</v>
      </c>
      <c r="Q909" s="30">
        <f t="shared" si="115"/>
        <v>0.1467</v>
      </c>
      <c r="R909" s="30">
        <f t="shared" si="116"/>
        <v>-1</v>
      </c>
      <c r="S909" s="12">
        <f t="shared" si="117"/>
        <v>0</v>
      </c>
      <c r="T909" s="30">
        <f t="shared" si="118"/>
        <v>0</v>
      </c>
      <c r="U909" s="9" t="str">
        <f t="shared" si="119"/>
        <v>45-54</v>
      </c>
    </row>
    <row r="910" spans="1:21">
      <c r="A910" t="s">
        <v>942</v>
      </c>
      <c r="B910" s="8">
        <v>7084</v>
      </c>
      <c r="C910" s="23">
        <v>8.8900000000000007E-2</v>
      </c>
      <c r="D910" s="19" t="s">
        <v>28</v>
      </c>
      <c r="E910" s="21">
        <v>76.626000000000005</v>
      </c>
      <c r="F910" s="21">
        <v>1.157</v>
      </c>
      <c r="G910" s="23">
        <v>0.10732</v>
      </c>
      <c r="H910" s="26">
        <v>1</v>
      </c>
      <c r="I910" s="19" t="s">
        <v>17</v>
      </c>
      <c r="J910" s="8">
        <v>24</v>
      </c>
      <c r="K910" s="19" t="s">
        <v>22</v>
      </c>
      <c r="L910" s="19" t="s">
        <v>45</v>
      </c>
      <c r="M910" s="8">
        <v>3</v>
      </c>
      <c r="N910" s="33">
        <f t="shared" si="112"/>
        <v>0.86430423509075194</v>
      </c>
      <c r="O910" s="23">
        <f t="shared" si="113"/>
        <v>7.6836646499567854E-2</v>
      </c>
      <c r="P910" s="59">
        <f t="shared" si="114"/>
        <v>1.5099313548925951E-2</v>
      </c>
      <c r="Q910" s="30">
        <f t="shared" si="115"/>
        <v>8.8900000000000007E-2</v>
      </c>
      <c r="R910" s="30">
        <f t="shared" si="116"/>
        <v>0.20719910011248582</v>
      </c>
      <c r="S910" s="12">
        <f t="shared" si="117"/>
        <v>1.2071991001124858</v>
      </c>
      <c r="T910" s="30">
        <f t="shared" si="118"/>
        <v>9.27571305099395E-2</v>
      </c>
      <c r="U910" s="9" t="str">
        <f t="shared" si="119"/>
        <v>18-24</v>
      </c>
    </row>
    <row r="911" spans="1:21">
      <c r="A911" t="s">
        <v>943</v>
      </c>
      <c r="B911" s="8">
        <v>7686</v>
      </c>
      <c r="C911" s="23">
        <v>0</v>
      </c>
      <c r="D911" s="19" t="s">
        <v>15</v>
      </c>
      <c r="E911" s="21">
        <v>61.762</v>
      </c>
      <c r="F911" s="21">
        <v>0.72199999999999998</v>
      </c>
      <c r="G911" s="23">
        <v>0.40436</v>
      </c>
      <c r="H911" s="26">
        <v>1</v>
      </c>
      <c r="I911" s="19" t="s">
        <v>1067</v>
      </c>
      <c r="J911" s="8">
        <v>31</v>
      </c>
      <c r="K911" s="19" t="s">
        <v>31</v>
      </c>
      <c r="L911" s="19" t="s">
        <v>38</v>
      </c>
      <c r="M911" s="8">
        <v>4</v>
      </c>
      <c r="N911" s="33">
        <f t="shared" si="112"/>
        <v>1.3850415512465375</v>
      </c>
      <c r="O911" s="23">
        <f t="shared" si="113"/>
        <v>0</v>
      </c>
      <c r="P911" s="59">
        <f t="shared" si="114"/>
        <v>1.169003594443185E-2</v>
      </c>
      <c r="Q911" s="30">
        <f t="shared" si="115"/>
        <v>0</v>
      </c>
      <c r="R911" s="30">
        <f t="shared" si="116"/>
        <v>0</v>
      </c>
      <c r="S911" s="12" t="e">
        <f t="shared" si="117"/>
        <v>#DIV/0!</v>
      </c>
      <c r="T911" s="30">
        <f t="shared" si="118"/>
        <v>0.56005540166204992</v>
      </c>
      <c r="U911" s="9" t="str">
        <f t="shared" si="119"/>
        <v>25-34</v>
      </c>
    </row>
    <row r="912" spans="1:21">
      <c r="A912" t="s">
        <v>944</v>
      </c>
      <c r="B912" s="8">
        <v>7904</v>
      </c>
      <c r="C912" s="23">
        <v>0.19781000000000001</v>
      </c>
      <c r="D912" s="19" t="s">
        <v>25</v>
      </c>
      <c r="E912" s="21">
        <v>39.003999999999998</v>
      </c>
      <c r="F912" s="21">
        <v>0.35699999999999998</v>
      </c>
      <c r="G912" s="23">
        <v>0</v>
      </c>
      <c r="H912" s="26">
        <v>0</v>
      </c>
      <c r="I912" s="19" t="s">
        <v>29</v>
      </c>
      <c r="J912" s="8">
        <v>44</v>
      </c>
      <c r="K912" s="19" t="s">
        <v>22</v>
      </c>
      <c r="L912" s="19" t="s">
        <v>23</v>
      </c>
      <c r="M912" s="8">
        <v>4</v>
      </c>
      <c r="N912" s="33">
        <f t="shared" si="112"/>
        <v>0</v>
      </c>
      <c r="O912" s="23">
        <f t="shared" si="113"/>
        <v>0.55408963585434179</v>
      </c>
      <c r="P912" s="59">
        <f t="shared" si="114"/>
        <v>9.1529073941134242E-3</v>
      </c>
      <c r="Q912" s="30">
        <f t="shared" si="115"/>
        <v>0</v>
      </c>
      <c r="R912" s="30">
        <f t="shared" si="116"/>
        <v>-1</v>
      </c>
      <c r="S912" s="12">
        <f t="shared" si="117"/>
        <v>0</v>
      </c>
      <c r="T912" s="30">
        <f t="shared" si="118"/>
        <v>0</v>
      </c>
      <c r="U912" s="9" t="str">
        <f t="shared" si="119"/>
        <v>35-44</v>
      </c>
    </row>
    <row r="913" spans="1:21">
      <c r="A913" t="s">
        <v>945</v>
      </c>
      <c r="B913" s="8">
        <v>3154</v>
      </c>
      <c r="C913" s="23">
        <v>0.13077</v>
      </c>
      <c r="D913" s="19" t="s">
        <v>25</v>
      </c>
      <c r="E913" s="21">
        <v>58.375999999999998</v>
      </c>
      <c r="F913" s="21">
        <v>1.464</v>
      </c>
      <c r="G913" s="23">
        <v>0</v>
      </c>
      <c r="H913" s="26">
        <v>0</v>
      </c>
      <c r="I913" s="19" t="s">
        <v>26</v>
      </c>
      <c r="J913" s="8">
        <v>41</v>
      </c>
      <c r="K913" s="19" t="s">
        <v>18</v>
      </c>
      <c r="L913" s="19" t="s">
        <v>23</v>
      </c>
      <c r="M913" s="8">
        <v>4</v>
      </c>
      <c r="N913" s="33">
        <f t="shared" si="112"/>
        <v>0</v>
      </c>
      <c r="O913" s="23">
        <f t="shared" si="113"/>
        <v>8.9323770491803275E-2</v>
      </c>
      <c r="P913" s="59">
        <f t="shared" si="114"/>
        <v>2.5078799506646567E-2</v>
      </c>
      <c r="Q913" s="30">
        <f t="shared" si="115"/>
        <v>0</v>
      </c>
      <c r="R913" s="30">
        <f t="shared" si="116"/>
        <v>-1</v>
      </c>
      <c r="S913" s="12">
        <f t="shared" si="117"/>
        <v>0</v>
      </c>
      <c r="T913" s="30">
        <f t="shared" si="118"/>
        <v>0</v>
      </c>
      <c r="U913" s="9" t="str">
        <f t="shared" si="119"/>
        <v>35-44</v>
      </c>
    </row>
    <row r="914" spans="1:21">
      <c r="A914" t="s">
        <v>946</v>
      </c>
      <c r="B914" s="8">
        <v>3622</v>
      </c>
      <c r="C914" s="23">
        <v>8.6800000000000002E-2</v>
      </c>
      <c r="D914" s="19" t="s">
        <v>45</v>
      </c>
      <c r="E914" s="21">
        <v>24.402000000000001</v>
      </c>
      <c r="F914" s="21">
        <v>5.0999999999999996</v>
      </c>
      <c r="G914" s="23">
        <v>0.27232000000000001</v>
      </c>
      <c r="H914" s="26">
        <v>1</v>
      </c>
      <c r="I914" s="19" t="s">
        <v>34</v>
      </c>
      <c r="J914" s="8">
        <v>49</v>
      </c>
      <c r="K914" s="19" t="s">
        <v>22</v>
      </c>
      <c r="L914" s="19" t="s">
        <v>23</v>
      </c>
      <c r="M914" s="8" t="s">
        <v>1065</v>
      </c>
      <c r="N914" s="33">
        <f t="shared" si="112"/>
        <v>0.19607843137254904</v>
      </c>
      <c r="O914" s="23">
        <f t="shared" si="113"/>
        <v>1.7019607843137257E-2</v>
      </c>
      <c r="P914" s="59">
        <f t="shared" si="114"/>
        <v>0.20899926235554461</v>
      </c>
      <c r="Q914" s="30">
        <f t="shared" si="115"/>
        <v>8.6800000000000002E-2</v>
      </c>
      <c r="R914" s="30">
        <f t="shared" si="116"/>
        <v>2.1373271889400924</v>
      </c>
      <c r="S914" s="12">
        <f t="shared" si="117"/>
        <v>3.137327188940092</v>
      </c>
      <c r="T914" s="30">
        <f t="shared" si="118"/>
        <v>5.3396078431372555E-2</v>
      </c>
      <c r="U914" s="9" t="str">
        <f t="shared" si="119"/>
        <v>45-54</v>
      </c>
    </row>
    <row r="915" spans="1:21">
      <c r="A915" t="s">
        <v>947</v>
      </c>
      <c r="B915" s="8">
        <v>8238</v>
      </c>
      <c r="C915" s="23">
        <v>7.9310000000000005E-2</v>
      </c>
      <c r="D915" s="19" t="s">
        <v>32</v>
      </c>
      <c r="E915" s="21">
        <v>75.248999999999995</v>
      </c>
      <c r="F915" s="21">
        <v>1.855</v>
      </c>
      <c r="G915" s="23">
        <v>0</v>
      </c>
      <c r="H915" s="26">
        <v>0</v>
      </c>
      <c r="I915" s="19" t="s">
        <v>29</v>
      </c>
      <c r="J915" s="8">
        <v>33</v>
      </c>
      <c r="K915" s="19" t="s">
        <v>22</v>
      </c>
      <c r="L915" s="19" t="s">
        <v>45</v>
      </c>
      <c r="M915" s="8" t="s">
        <v>1065</v>
      </c>
      <c r="N915" s="33">
        <f t="shared" si="112"/>
        <v>0</v>
      </c>
      <c r="O915" s="23">
        <f t="shared" si="113"/>
        <v>4.2754716981132077E-2</v>
      </c>
      <c r="P915" s="59">
        <f t="shared" si="114"/>
        <v>2.4651490385254292E-2</v>
      </c>
      <c r="Q915" s="30">
        <f t="shared" si="115"/>
        <v>0</v>
      </c>
      <c r="R915" s="30">
        <f t="shared" si="116"/>
        <v>-1</v>
      </c>
      <c r="S915" s="12">
        <f t="shared" si="117"/>
        <v>0</v>
      </c>
      <c r="T915" s="30">
        <f t="shared" si="118"/>
        <v>0</v>
      </c>
      <c r="U915" s="9" t="str">
        <f t="shared" si="119"/>
        <v>25-34</v>
      </c>
    </row>
    <row r="916" spans="1:21">
      <c r="A916" t="s">
        <v>948</v>
      </c>
      <c r="B916" s="8">
        <v>8515</v>
      </c>
      <c r="C916" s="23">
        <v>2.9989999999999999E-2</v>
      </c>
      <c r="D916" s="19" t="s">
        <v>32</v>
      </c>
      <c r="E916" s="21">
        <v>56.094999999999999</v>
      </c>
      <c r="F916" s="21">
        <v>0.371</v>
      </c>
      <c r="G916" s="23">
        <v>0</v>
      </c>
      <c r="H916" s="26">
        <v>0</v>
      </c>
      <c r="I916" s="19" t="s">
        <v>34</v>
      </c>
      <c r="J916" s="8">
        <v>36</v>
      </c>
      <c r="K916" s="19" t="s">
        <v>37</v>
      </c>
      <c r="L916" s="19" t="s">
        <v>32</v>
      </c>
      <c r="M916" s="8">
        <v>2</v>
      </c>
      <c r="N916" s="33">
        <f t="shared" si="112"/>
        <v>0</v>
      </c>
      <c r="O916" s="23">
        <f t="shared" si="113"/>
        <v>8.0835579514824799E-2</v>
      </c>
      <c r="P916" s="59">
        <f t="shared" si="114"/>
        <v>6.6137801943132188E-3</v>
      </c>
      <c r="Q916" s="30">
        <f t="shared" si="115"/>
        <v>0</v>
      </c>
      <c r="R916" s="30">
        <f t="shared" si="116"/>
        <v>-1</v>
      </c>
      <c r="S916" s="12">
        <f t="shared" si="117"/>
        <v>0</v>
      </c>
      <c r="T916" s="30">
        <f t="shared" si="118"/>
        <v>0</v>
      </c>
      <c r="U916" s="9" t="str">
        <f t="shared" si="119"/>
        <v>35-44</v>
      </c>
    </row>
    <row r="917" spans="1:21">
      <c r="A917" t="s">
        <v>949</v>
      </c>
      <c r="B917" s="8">
        <v>8979</v>
      </c>
      <c r="C917" s="23">
        <v>0.19675999999999999</v>
      </c>
      <c r="D917" s="19" t="s">
        <v>32</v>
      </c>
      <c r="E917" s="21">
        <v>69.759</v>
      </c>
      <c r="F917" s="21">
        <v>0.872</v>
      </c>
      <c r="G917" s="23">
        <v>0</v>
      </c>
      <c r="H917" s="26">
        <v>0</v>
      </c>
      <c r="I917" s="19" t="s">
        <v>26</v>
      </c>
      <c r="J917" s="8">
        <v>34</v>
      </c>
      <c r="K917" s="19" t="s">
        <v>31</v>
      </c>
      <c r="L917" s="19" t="s">
        <v>19</v>
      </c>
      <c r="M917" s="8" t="s">
        <v>1065</v>
      </c>
      <c r="N917" s="33">
        <f t="shared" si="112"/>
        <v>0</v>
      </c>
      <c r="O917" s="23">
        <f t="shared" si="113"/>
        <v>0.22564220183486239</v>
      </c>
      <c r="P917" s="59">
        <f t="shared" si="114"/>
        <v>1.2500179188348457E-2</v>
      </c>
      <c r="Q917" s="30">
        <f t="shared" si="115"/>
        <v>0</v>
      </c>
      <c r="R917" s="30">
        <f t="shared" si="116"/>
        <v>-1</v>
      </c>
      <c r="S917" s="12">
        <f t="shared" si="117"/>
        <v>0</v>
      </c>
      <c r="T917" s="30">
        <f t="shared" si="118"/>
        <v>0</v>
      </c>
      <c r="U917" s="9" t="str">
        <f t="shared" si="119"/>
        <v>25-34</v>
      </c>
    </row>
    <row r="918" spans="1:21">
      <c r="A918" t="s">
        <v>950</v>
      </c>
      <c r="B918" s="8">
        <v>2739</v>
      </c>
      <c r="C918" s="23">
        <v>0.10999</v>
      </c>
      <c r="D918" s="19" t="s">
        <v>28</v>
      </c>
      <c r="E918" s="21">
        <v>86.128</v>
      </c>
      <c r="F918" s="21">
        <v>8.2059999999999995</v>
      </c>
      <c r="G918" s="23">
        <v>0.27695999999999998</v>
      </c>
      <c r="H918" s="26">
        <v>1</v>
      </c>
      <c r="I918" s="19" t="s">
        <v>17</v>
      </c>
      <c r="J918" s="8">
        <v>35</v>
      </c>
      <c r="K918" s="19" t="s">
        <v>22</v>
      </c>
      <c r="L918" s="19" t="s">
        <v>45</v>
      </c>
      <c r="M918" s="8" t="s">
        <v>1065</v>
      </c>
      <c r="N918" s="33">
        <f t="shared" si="112"/>
        <v>0.12186205215695833</v>
      </c>
      <c r="O918" s="23">
        <f t="shared" si="113"/>
        <v>1.3403607116743847E-2</v>
      </c>
      <c r="P918" s="59">
        <f t="shared" si="114"/>
        <v>9.5276797324911747E-2</v>
      </c>
      <c r="Q918" s="30">
        <f t="shared" si="115"/>
        <v>0.10999</v>
      </c>
      <c r="R918" s="30">
        <f t="shared" si="116"/>
        <v>1.5180470951904717</v>
      </c>
      <c r="S918" s="12">
        <f t="shared" si="117"/>
        <v>2.5180470951904717</v>
      </c>
      <c r="T918" s="30">
        <f t="shared" si="118"/>
        <v>3.3750913965391177E-2</v>
      </c>
      <c r="U918" s="9" t="str">
        <f t="shared" si="119"/>
        <v>35-44</v>
      </c>
    </row>
    <row r="919" spans="1:21">
      <c r="A919" t="s">
        <v>951</v>
      </c>
      <c r="B919" s="8">
        <v>4967</v>
      </c>
      <c r="C919" s="23">
        <v>0</v>
      </c>
      <c r="D919" s="19" t="s">
        <v>28</v>
      </c>
      <c r="E919" s="21">
        <v>17.542000000000002</v>
      </c>
      <c r="F919" s="21">
        <v>8.0129999999999999</v>
      </c>
      <c r="G919" s="23">
        <v>0</v>
      </c>
      <c r="H919" s="26">
        <v>0</v>
      </c>
      <c r="I919" s="19" t="s">
        <v>17</v>
      </c>
      <c r="J919" s="8">
        <v>21</v>
      </c>
      <c r="K919" s="19" t="s">
        <v>31</v>
      </c>
      <c r="L919" s="19" t="s">
        <v>23</v>
      </c>
      <c r="M919" s="8">
        <v>3</v>
      </c>
      <c r="N919" s="33">
        <f t="shared" si="112"/>
        <v>0</v>
      </c>
      <c r="O919" s="23">
        <f t="shared" si="113"/>
        <v>0</v>
      </c>
      <c r="P919" s="59">
        <f t="shared" si="114"/>
        <v>0.45678941967848585</v>
      </c>
      <c r="Q919" s="30">
        <f t="shared" si="115"/>
        <v>0</v>
      </c>
      <c r="R919" s="30">
        <f t="shared" si="116"/>
        <v>0</v>
      </c>
      <c r="S919" s="12">
        <f t="shared" si="117"/>
        <v>0</v>
      </c>
      <c r="T919" s="30">
        <f t="shared" si="118"/>
        <v>0</v>
      </c>
      <c r="U919" s="9" t="str">
        <f t="shared" si="119"/>
        <v>18-24</v>
      </c>
    </row>
    <row r="920" spans="1:21">
      <c r="A920" t="s">
        <v>952</v>
      </c>
      <c r="B920" s="8">
        <v>3013</v>
      </c>
      <c r="C920" s="23">
        <v>0.12726000000000001</v>
      </c>
      <c r="D920" s="19" t="s">
        <v>40</v>
      </c>
      <c r="E920" s="21">
        <v>16.692</v>
      </c>
      <c r="F920" s="21">
        <v>2.2749999999999999</v>
      </c>
      <c r="G920" s="23">
        <v>0</v>
      </c>
      <c r="H920" s="26">
        <v>0</v>
      </c>
      <c r="I920" s="19" t="s">
        <v>34</v>
      </c>
      <c r="J920" s="8">
        <v>34</v>
      </c>
      <c r="K920" s="19" t="s">
        <v>18</v>
      </c>
      <c r="L920" s="19" t="s">
        <v>23</v>
      </c>
      <c r="M920" s="8">
        <v>1</v>
      </c>
      <c r="N920" s="33">
        <f t="shared" si="112"/>
        <v>0</v>
      </c>
      <c r="O920" s="23">
        <f t="shared" si="113"/>
        <v>5.5938461538461548E-2</v>
      </c>
      <c r="P920" s="59">
        <f t="shared" si="114"/>
        <v>0.13629283489096572</v>
      </c>
      <c r="Q920" s="30">
        <f t="shared" si="115"/>
        <v>0</v>
      </c>
      <c r="R920" s="30">
        <f t="shared" si="116"/>
        <v>-1</v>
      </c>
      <c r="S920" s="12">
        <f t="shared" si="117"/>
        <v>0</v>
      </c>
      <c r="T920" s="30">
        <f t="shared" si="118"/>
        <v>0</v>
      </c>
      <c r="U920" s="9" t="str">
        <f t="shared" si="119"/>
        <v>25-34</v>
      </c>
    </row>
    <row r="921" spans="1:21">
      <c r="A921" t="s">
        <v>953</v>
      </c>
      <c r="B921" s="8">
        <v>5436</v>
      </c>
      <c r="C921" s="23">
        <v>0.10917</v>
      </c>
      <c r="D921" s="19" t="s">
        <v>28</v>
      </c>
      <c r="E921" s="21">
        <v>32.710999999999999</v>
      </c>
      <c r="F921" s="21">
        <v>0.98899999999999999</v>
      </c>
      <c r="G921" s="23">
        <v>0</v>
      </c>
      <c r="H921" s="26">
        <v>0</v>
      </c>
      <c r="I921" s="19" t="s">
        <v>34</v>
      </c>
      <c r="J921" s="8">
        <v>44</v>
      </c>
      <c r="K921" s="19" t="s">
        <v>22</v>
      </c>
      <c r="L921" s="19" t="s">
        <v>38</v>
      </c>
      <c r="M921" s="8">
        <v>2</v>
      </c>
      <c r="N921" s="33">
        <f t="shared" si="112"/>
        <v>0</v>
      </c>
      <c r="O921" s="23">
        <f t="shared" si="113"/>
        <v>0.11038422649140546</v>
      </c>
      <c r="P921" s="59">
        <f t="shared" si="114"/>
        <v>3.0234477698633487E-2</v>
      </c>
      <c r="Q921" s="30">
        <f t="shared" si="115"/>
        <v>0</v>
      </c>
      <c r="R921" s="30">
        <f t="shared" si="116"/>
        <v>-1</v>
      </c>
      <c r="S921" s="12">
        <f t="shared" si="117"/>
        <v>0</v>
      </c>
      <c r="T921" s="30">
        <f t="shared" si="118"/>
        <v>0</v>
      </c>
      <c r="U921" s="9" t="str">
        <f t="shared" si="119"/>
        <v>35-44</v>
      </c>
    </row>
    <row r="922" spans="1:21">
      <c r="A922" t="s">
        <v>954</v>
      </c>
      <c r="B922" s="8">
        <v>7425</v>
      </c>
      <c r="C922" s="23">
        <v>4.088E-2</v>
      </c>
      <c r="D922" s="19" t="s">
        <v>45</v>
      </c>
      <c r="E922" s="21">
        <v>45.427</v>
      </c>
      <c r="F922" s="21">
        <v>5.758</v>
      </c>
      <c r="G922" s="23">
        <v>0.40137</v>
      </c>
      <c r="H922" s="26">
        <v>1</v>
      </c>
      <c r="I922" s="19" t="s">
        <v>29</v>
      </c>
      <c r="J922" s="8">
        <v>36</v>
      </c>
      <c r="K922" s="19" t="s">
        <v>31</v>
      </c>
      <c r="L922" s="19" t="s">
        <v>45</v>
      </c>
      <c r="M922" s="8">
        <v>4</v>
      </c>
      <c r="N922" s="33">
        <f t="shared" si="112"/>
        <v>0.17367141368530739</v>
      </c>
      <c r="O922" s="23">
        <f t="shared" si="113"/>
        <v>7.0996873914553667E-3</v>
      </c>
      <c r="P922" s="59">
        <f t="shared" si="114"/>
        <v>0.12675281220419574</v>
      </c>
      <c r="Q922" s="30">
        <f t="shared" si="115"/>
        <v>4.088E-2</v>
      </c>
      <c r="R922" s="30">
        <f t="shared" si="116"/>
        <v>8.818248532289628</v>
      </c>
      <c r="S922" s="12">
        <f t="shared" si="117"/>
        <v>9.818248532289628</v>
      </c>
      <c r="T922" s="30">
        <f t="shared" si="118"/>
        <v>6.9706495310871835E-2</v>
      </c>
      <c r="U922" s="9" t="str">
        <f t="shared" si="119"/>
        <v>35-44</v>
      </c>
    </row>
    <row r="923" spans="1:21">
      <c r="A923" t="s">
        <v>955</v>
      </c>
      <c r="B923" s="8">
        <v>9920</v>
      </c>
      <c r="C923" s="23">
        <v>3.6119999999999999E-2</v>
      </c>
      <c r="D923" s="19" t="s">
        <v>28</v>
      </c>
      <c r="E923" s="21">
        <v>79.953999999999994</v>
      </c>
      <c r="F923" s="21">
        <v>3.968</v>
      </c>
      <c r="G923" s="23">
        <v>0</v>
      </c>
      <c r="H923" s="26">
        <v>0</v>
      </c>
      <c r="I923" s="19" t="s">
        <v>1067</v>
      </c>
      <c r="J923" s="8">
        <v>51</v>
      </c>
      <c r="K923" s="19" t="s">
        <v>37</v>
      </c>
      <c r="L923" s="19" t="s">
        <v>23</v>
      </c>
      <c r="M923" s="8">
        <v>4</v>
      </c>
      <c r="N923" s="33">
        <f t="shared" si="112"/>
        <v>0</v>
      </c>
      <c r="O923" s="23">
        <f t="shared" si="113"/>
        <v>9.1028225806451604E-3</v>
      </c>
      <c r="P923" s="59">
        <f t="shared" si="114"/>
        <v>4.9628536408434856E-2</v>
      </c>
      <c r="Q923" s="30">
        <f t="shared" si="115"/>
        <v>0</v>
      </c>
      <c r="R923" s="30">
        <f t="shared" si="116"/>
        <v>-1</v>
      </c>
      <c r="S923" s="12">
        <f t="shared" si="117"/>
        <v>0</v>
      </c>
      <c r="T923" s="30">
        <f t="shared" si="118"/>
        <v>0</v>
      </c>
      <c r="U923" s="9" t="str">
        <f t="shared" si="119"/>
        <v>45-54</v>
      </c>
    </row>
    <row r="924" spans="1:21">
      <c r="A924" t="s">
        <v>956</v>
      </c>
      <c r="B924" s="8">
        <v>9424</v>
      </c>
      <c r="C924" s="23">
        <v>0.11791</v>
      </c>
      <c r="D924" s="19" t="s">
        <v>40</v>
      </c>
      <c r="E924" s="21">
        <v>62.853999999999999</v>
      </c>
      <c r="F924" s="21">
        <v>7.9630000000000001</v>
      </c>
      <c r="G924" s="23">
        <v>0</v>
      </c>
      <c r="H924" s="26">
        <v>0</v>
      </c>
      <c r="I924" s="19" t="s">
        <v>17</v>
      </c>
      <c r="J924" s="8">
        <v>41</v>
      </c>
      <c r="K924" s="19" t="s">
        <v>22</v>
      </c>
      <c r="L924" s="19" t="s">
        <v>38</v>
      </c>
      <c r="M924" s="8">
        <v>3</v>
      </c>
      <c r="N924" s="33">
        <f t="shared" si="112"/>
        <v>0</v>
      </c>
      <c r="O924" s="23">
        <f t="shared" si="113"/>
        <v>1.4807233454728118E-2</v>
      </c>
      <c r="P924" s="59">
        <f t="shared" si="114"/>
        <v>0.12669042543036244</v>
      </c>
      <c r="Q924" s="30">
        <f t="shared" si="115"/>
        <v>0</v>
      </c>
      <c r="R924" s="30">
        <f t="shared" si="116"/>
        <v>-1</v>
      </c>
      <c r="S924" s="12">
        <f t="shared" si="117"/>
        <v>0</v>
      </c>
      <c r="T924" s="30">
        <f t="shared" si="118"/>
        <v>0</v>
      </c>
      <c r="U924" s="9" t="str">
        <f t="shared" si="119"/>
        <v>35-44</v>
      </c>
    </row>
    <row r="925" spans="1:21">
      <c r="A925" t="s">
        <v>957</v>
      </c>
      <c r="B925" s="8">
        <v>4021</v>
      </c>
      <c r="C925" s="23">
        <v>0.17377999999999999</v>
      </c>
      <c r="D925" s="19" t="s">
        <v>45</v>
      </c>
      <c r="E925" s="21">
        <v>93.1</v>
      </c>
      <c r="F925" s="21">
        <v>9.0890000000000004</v>
      </c>
      <c r="G925" s="23">
        <v>0</v>
      </c>
      <c r="H925" s="26">
        <v>0</v>
      </c>
      <c r="I925" s="19" t="s">
        <v>1067</v>
      </c>
      <c r="J925" s="8">
        <v>41</v>
      </c>
      <c r="K925" s="19" t="s">
        <v>22</v>
      </c>
      <c r="L925" s="19" t="s">
        <v>38</v>
      </c>
      <c r="M925" s="8">
        <v>2</v>
      </c>
      <c r="N925" s="33">
        <f t="shared" si="112"/>
        <v>0</v>
      </c>
      <c r="O925" s="23">
        <f t="shared" si="113"/>
        <v>1.9119815161183846E-2</v>
      </c>
      <c r="P925" s="59">
        <f t="shared" si="114"/>
        <v>9.7626208378088095E-2</v>
      </c>
      <c r="Q925" s="30">
        <f t="shared" si="115"/>
        <v>0</v>
      </c>
      <c r="R925" s="30">
        <f t="shared" si="116"/>
        <v>-1</v>
      </c>
      <c r="S925" s="12">
        <f t="shared" si="117"/>
        <v>0</v>
      </c>
      <c r="T925" s="30">
        <f t="shared" si="118"/>
        <v>0</v>
      </c>
      <c r="U925" s="9" t="str">
        <f t="shared" si="119"/>
        <v>35-44</v>
      </c>
    </row>
    <row r="926" spans="1:21">
      <c r="A926" t="s">
        <v>958</v>
      </c>
      <c r="B926" s="8">
        <v>5023</v>
      </c>
      <c r="C926" s="23">
        <v>0.19606000000000001</v>
      </c>
      <c r="D926" s="19" t="s">
        <v>45</v>
      </c>
      <c r="E926" s="21">
        <v>73.260000000000005</v>
      </c>
      <c r="F926" s="21">
        <v>6.5490000000000004</v>
      </c>
      <c r="G926" s="23">
        <v>0</v>
      </c>
      <c r="H926" s="26">
        <v>0</v>
      </c>
      <c r="I926" s="19" t="s">
        <v>17</v>
      </c>
      <c r="J926" s="8">
        <v>23</v>
      </c>
      <c r="K926" s="19" t="s">
        <v>31</v>
      </c>
      <c r="L926" s="19" t="s">
        <v>23</v>
      </c>
      <c r="M926" s="8">
        <v>2</v>
      </c>
      <c r="N926" s="33">
        <f t="shared" si="112"/>
        <v>0</v>
      </c>
      <c r="O926" s="23">
        <f t="shared" si="113"/>
        <v>2.9937395022140784E-2</v>
      </c>
      <c r="P926" s="59">
        <f t="shared" si="114"/>
        <v>8.9393939393939387E-2</v>
      </c>
      <c r="Q926" s="30">
        <f t="shared" si="115"/>
        <v>0</v>
      </c>
      <c r="R926" s="30">
        <f t="shared" si="116"/>
        <v>-1</v>
      </c>
      <c r="S926" s="12">
        <f t="shared" si="117"/>
        <v>0</v>
      </c>
      <c r="T926" s="30">
        <f t="shared" si="118"/>
        <v>0</v>
      </c>
      <c r="U926" s="9" t="str">
        <f t="shared" si="119"/>
        <v>18-24</v>
      </c>
    </row>
    <row r="927" spans="1:21">
      <c r="A927" t="s">
        <v>959</v>
      </c>
      <c r="B927" s="8">
        <v>9176</v>
      </c>
      <c r="C927" s="23">
        <v>1.5520000000000001E-2</v>
      </c>
      <c r="D927" s="19" t="s">
        <v>15</v>
      </c>
      <c r="E927" s="21">
        <v>50.002000000000002</v>
      </c>
      <c r="F927" s="21">
        <v>9.6859999999999999</v>
      </c>
      <c r="G927" s="23">
        <v>0</v>
      </c>
      <c r="H927" s="26">
        <v>0</v>
      </c>
      <c r="I927" s="19" t="s">
        <v>34</v>
      </c>
      <c r="J927" s="8">
        <v>55</v>
      </c>
      <c r="K927" s="19" t="s">
        <v>37</v>
      </c>
      <c r="L927" s="19" t="s">
        <v>23</v>
      </c>
      <c r="M927" s="8">
        <v>3</v>
      </c>
      <c r="N927" s="33">
        <f t="shared" si="112"/>
        <v>0</v>
      </c>
      <c r="O927" s="23">
        <f t="shared" si="113"/>
        <v>1.6023126161470165E-3</v>
      </c>
      <c r="P927" s="59">
        <f t="shared" si="114"/>
        <v>0.19371225150993959</v>
      </c>
      <c r="Q927" s="30">
        <f t="shared" si="115"/>
        <v>0</v>
      </c>
      <c r="R927" s="30">
        <f t="shared" si="116"/>
        <v>-1</v>
      </c>
      <c r="S927" s="12">
        <f t="shared" si="117"/>
        <v>0</v>
      </c>
      <c r="T927" s="30">
        <f t="shared" si="118"/>
        <v>0</v>
      </c>
      <c r="U927" s="9" t="str">
        <f t="shared" si="119"/>
        <v>55+</v>
      </c>
    </row>
    <row r="928" spans="1:21">
      <c r="A928" t="s">
        <v>960</v>
      </c>
      <c r="B928" s="8">
        <v>7656</v>
      </c>
      <c r="C928" s="23">
        <v>5.203E-2</v>
      </c>
      <c r="D928" s="19" t="s">
        <v>25</v>
      </c>
      <c r="E928" s="21">
        <v>41.335999999999999</v>
      </c>
      <c r="F928" s="21">
        <v>0.73799999999999999</v>
      </c>
      <c r="G928" s="23">
        <v>0</v>
      </c>
      <c r="H928" s="26">
        <v>0</v>
      </c>
      <c r="I928" s="19" t="s">
        <v>26</v>
      </c>
      <c r="J928" s="8">
        <v>41</v>
      </c>
      <c r="K928" s="19" t="s">
        <v>22</v>
      </c>
      <c r="L928" s="19" t="s">
        <v>19</v>
      </c>
      <c r="M928" s="8">
        <v>4</v>
      </c>
      <c r="N928" s="33">
        <f t="shared" si="112"/>
        <v>0</v>
      </c>
      <c r="O928" s="23">
        <f t="shared" si="113"/>
        <v>7.0501355013550135E-2</v>
      </c>
      <c r="P928" s="59">
        <f t="shared" si="114"/>
        <v>1.7853686858912327E-2</v>
      </c>
      <c r="Q928" s="30">
        <f t="shared" si="115"/>
        <v>0</v>
      </c>
      <c r="R928" s="30">
        <f t="shared" si="116"/>
        <v>-1</v>
      </c>
      <c r="S928" s="12">
        <f t="shared" si="117"/>
        <v>0</v>
      </c>
      <c r="T928" s="30">
        <f t="shared" si="118"/>
        <v>0</v>
      </c>
      <c r="U928" s="9" t="str">
        <f t="shared" si="119"/>
        <v>35-44</v>
      </c>
    </row>
    <row r="929" spans="1:21">
      <c r="A929" t="s">
        <v>961</v>
      </c>
      <c r="B929" s="8">
        <v>6898</v>
      </c>
      <c r="C929" s="23">
        <v>7.2440000000000004E-2</v>
      </c>
      <c r="D929" s="19" t="s">
        <v>32</v>
      </c>
      <c r="E929" s="21">
        <v>44.844000000000001</v>
      </c>
      <c r="F929" s="21">
        <v>5.2169999999999996</v>
      </c>
      <c r="G929" s="23">
        <v>0</v>
      </c>
      <c r="H929" s="26">
        <v>0</v>
      </c>
      <c r="I929" s="19" t="s">
        <v>21</v>
      </c>
      <c r="J929" s="8">
        <v>20</v>
      </c>
      <c r="K929" s="19" t="s">
        <v>31</v>
      </c>
      <c r="L929" s="19" t="s">
        <v>45</v>
      </c>
      <c r="M929" s="8">
        <v>4</v>
      </c>
      <c r="N929" s="33">
        <f t="shared" si="112"/>
        <v>0</v>
      </c>
      <c r="O929" s="23">
        <f t="shared" si="113"/>
        <v>1.3885374736438569E-2</v>
      </c>
      <c r="P929" s="59">
        <f t="shared" si="114"/>
        <v>0.11633663366336633</v>
      </c>
      <c r="Q929" s="30">
        <f t="shared" si="115"/>
        <v>0</v>
      </c>
      <c r="R929" s="30">
        <f t="shared" si="116"/>
        <v>-1</v>
      </c>
      <c r="S929" s="12">
        <f t="shared" si="117"/>
        <v>0</v>
      </c>
      <c r="T929" s="30">
        <f t="shared" si="118"/>
        <v>0</v>
      </c>
      <c r="U929" s="9" t="str">
        <f t="shared" si="119"/>
        <v>18-24</v>
      </c>
    </row>
    <row r="930" spans="1:21">
      <c r="A930" t="s">
        <v>962</v>
      </c>
      <c r="B930" s="8">
        <v>3827</v>
      </c>
      <c r="C930" s="23">
        <v>8.8679999999999995E-2</v>
      </c>
      <c r="D930" s="19" t="s">
        <v>32</v>
      </c>
      <c r="E930" s="21">
        <v>54.935000000000002</v>
      </c>
      <c r="F930" s="21">
        <v>6.39</v>
      </c>
      <c r="G930" s="23">
        <v>0</v>
      </c>
      <c r="H930" s="26">
        <v>0</v>
      </c>
      <c r="I930" s="19" t="s">
        <v>1067</v>
      </c>
      <c r="J930" s="8">
        <v>20</v>
      </c>
      <c r="K930" s="19" t="s">
        <v>37</v>
      </c>
      <c r="L930" s="19" t="s">
        <v>23</v>
      </c>
      <c r="M930" s="8">
        <v>3</v>
      </c>
      <c r="N930" s="33">
        <f t="shared" si="112"/>
        <v>0</v>
      </c>
      <c r="O930" s="23">
        <f t="shared" si="113"/>
        <v>1.387793427230047E-2</v>
      </c>
      <c r="P930" s="59">
        <f t="shared" si="114"/>
        <v>0.11631928642941657</v>
      </c>
      <c r="Q930" s="30">
        <f t="shared" si="115"/>
        <v>0</v>
      </c>
      <c r="R930" s="30">
        <f t="shared" si="116"/>
        <v>-1</v>
      </c>
      <c r="S930" s="12">
        <f t="shared" si="117"/>
        <v>0</v>
      </c>
      <c r="T930" s="30">
        <f t="shared" si="118"/>
        <v>0</v>
      </c>
      <c r="U930" s="9" t="str">
        <f t="shared" si="119"/>
        <v>18-24</v>
      </c>
    </row>
    <row r="931" spans="1:21">
      <c r="A931" t="s">
        <v>963</v>
      </c>
      <c r="B931" s="8">
        <v>4384</v>
      </c>
      <c r="C931" s="23">
        <v>7.9960000000000003E-2</v>
      </c>
      <c r="D931" s="19" t="s">
        <v>28</v>
      </c>
      <c r="E931" s="21">
        <v>81.775000000000006</v>
      </c>
      <c r="F931" s="21">
        <v>4.2089999999999996</v>
      </c>
      <c r="G931" s="23">
        <v>0</v>
      </c>
      <c r="H931" s="26">
        <v>0</v>
      </c>
      <c r="I931" s="19" t="s">
        <v>29</v>
      </c>
      <c r="J931" s="8">
        <v>41</v>
      </c>
      <c r="K931" s="19" t="s">
        <v>37</v>
      </c>
      <c r="L931" s="19" t="s">
        <v>45</v>
      </c>
      <c r="M931" s="8">
        <v>3</v>
      </c>
      <c r="N931" s="33">
        <f t="shared" si="112"/>
        <v>0</v>
      </c>
      <c r="O931" s="23">
        <f t="shared" si="113"/>
        <v>1.8997386552625329E-2</v>
      </c>
      <c r="P931" s="59">
        <f t="shared" si="114"/>
        <v>5.1470498318557011E-2</v>
      </c>
      <c r="Q931" s="30">
        <f t="shared" si="115"/>
        <v>0</v>
      </c>
      <c r="R931" s="30">
        <f t="shared" si="116"/>
        <v>-1</v>
      </c>
      <c r="S931" s="12">
        <f t="shared" si="117"/>
        <v>0</v>
      </c>
      <c r="T931" s="30">
        <f t="shared" si="118"/>
        <v>0</v>
      </c>
      <c r="U931" s="9" t="str">
        <f t="shared" si="119"/>
        <v>35-44</v>
      </c>
    </row>
    <row r="932" spans="1:21">
      <c r="A932" t="s">
        <v>964</v>
      </c>
      <c r="B932" s="8">
        <v>9797</v>
      </c>
      <c r="C932" s="23">
        <v>0</v>
      </c>
      <c r="D932" s="19" t="s">
        <v>40</v>
      </c>
      <c r="E932" s="21">
        <v>57.643999999999998</v>
      </c>
      <c r="F932" s="21">
        <v>3.931</v>
      </c>
      <c r="G932" s="23">
        <v>0.35594999999999999</v>
      </c>
      <c r="H932" s="26">
        <v>1</v>
      </c>
      <c r="I932" s="19" t="s">
        <v>17</v>
      </c>
      <c r="J932" s="8">
        <v>41</v>
      </c>
      <c r="K932" s="19" t="s">
        <v>18</v>
      </c>
      <c r="L932" s="19" t="s">
        <v>23</v>
      </c>
      <c r="M932" s="8">
        <v>1</v>
      </c>
      <c r="N932" s="33">
        <f t="shared" si="112"/>
        <v>0.25438819638768762</v>
      </c>
      <c r="O932" s="23">
        <f t="shared" si="113"/>
        <v>0</v>
      </c>
      <c r="P932" s="59">
        <f t="shared" si="114"/>
        <v>6.819443480674485E-2</v>
      </c>
      <c r="Q932" s="30">
        <f t="shared" si="115"/>
        <v>0</v>
      </c>
      <c r="R932" s="30">
        <f t="shared" si="116"/>
        <v>0</v>
      </c>
      <c r="S932" s="12" t="e">
        <f t="shared" si="117"/>
        <v>#DIV/0!</v>
      </c>
      <c r="T932" s="30">
        <f t="shared" si="118"/>
        <v>9.0549478504197395E-2</v>
      </c>
      <c r="U932" s="9" t="str">
        <f t="shared" si="119"/>
        <v>35-44</v>
      </c>
    </row>
    <row r="933" spans="1:21">
      <c r="A933" t="s">
        <v>965</v>
      </c>
      <c r="B933" s="8">
        <v>1347</v>
      </c>
      <c r="C933" s="23">
        <v>2.4379999999999999E-2</v>
      </c>
      <c r="D933" s="19" t="s">
        <v>25</v>
      </c>
      <c r="E933" s="21">
        <v>93.463999999999999</v>
      </c>
      <c r="F933" s="21">
        <v>0.88900000000000001</v>
      </c>
      <c r="G933" s="23">
        <v>0</v>
      </c>
      <c r="H933" s="26">
        <v>0</v>
      </c>
      <c r="I933" s="19" t="s">
        <v>26</v>
      </c>
      <c r="J933" s="8">
        <v>52</v>
      </c>
      <c r="K933" s="19" t="s">
        <v>18</v>
      </c>
      <c r="L933" s="19" t="s">
        <v>45</v>
      </c>
      <c r="M933" s="8">
        <v>3</v>
      </c>
      <c r="N933" s="33">
        <f t="shared" si="112"/>
        <v>0</v>
      </c>
      <c r="O933" s="23">
        <f t="shared" si="113"/>
        <v>2.7424071991001123E-2</v>
      </c>
      <c r="P933" s="59">
        <f t="shared" si="114"/>
        <v>9.5116836428999398E-3</v>
      </c>
      <c r="Q933" s="30">
        <f t="shared" si="115"/>
        <v>0</v>
      </c>
      <c r="R933" s="30">
        <f t="shared" si="116"/>
        <v>-1</v>
      </c>
      <c r="S933" s="12">
        <f t="shared" si="117"/>
        <v>0</v>
      </c>
      <c r="T933" s="30">
        <f t="shared" si="118"/>
        <v>0</v>
      </c>
      <c r="U933" s="9" t="str">
        <f t="shared" si="119"/>
        <v>45-54</v>
      </c>
    </row>
    <row r="934" spans="1:21">
      <c r="A934" t="s">
        <v>966</v>
      </c>
      <c r="B934" s="8">
        <v>7269</v>
      </c>
      <c r="C934" s="23">
        <v>0</v>
      </c>
      <c r="D934" s="19" t="s">
        <v>32</v>
      </c>
      <c r="E934" s="21">
        <v>33.789000000000001</v>
      </c>
      <c r="F934" s="21">
        <v>2.4020000000000001</v>
      </c>
      <c r="G934" s="23">
        <v>0</v>
      </c>
      <c r="H934" s="26">
        <v>1</v>
      </c>
      <c r="I934" s="19" t="s">
        <v>1067</v>
      </c>
      <c r="J934" s="8">
        <v>46</v>
      </c>
      <c r="K934" s="19" t="s">
        <v>31</v>
      </c>
      <c r="L934" s="19" t="s">
        <v>19</v>
      </c>
      <c r="M934" s="8">
        <v>2</v>
      </c>
      <c r="N934" s="33">
        <f t="shared" si="112"/>
        <v>0.4163197335553705</v>
      </c>
      <c r="O934" s="23">
        <f t="shared" si="113"/>
        <v>0</v>
      </c>
      <c r="P934" s="59">
        <f t="shared" si="114"/>
        <v>7.1088223978217763E-2</v>
      </c>
      <c r="Q934" s="30">
        <f t="shared" si="115"/>
        <v>0</v>
      </c>
      <c r="R934" s="30">
        <f t="shared" si="116"/>
        <v>0</v>
      </c>
      <c r="S934" s="12">
        <f t="shared" si="117"/>
        <v>0</v>
      </c>
      <c r="T934" s="30">
        <f t="shared" si="118"/>
        <v>0</v>
      </c>
      <c r="U934" s="9" t="str">
        <f t="shared" si="119"/>
        <v>45-54</v>
      </c>
    </row>
    <row r="935" spans="1:21">
      <c r="A935" t="s">
        <v>967</v>
      </c>
      <c r="B935" s="8">
        <v>8307</v>
      </c>
      <c r="C935" s="23">
        <v>5.3769999999999998E-2</v>
      </c>
      <c r="D935" s="19" t="s">
        <v>45</v>
      </c>
      <c r="E935" s="21">
        <v>9.1679999999999993</v>
      </c>
      <c r="F935" s="21">
        <v>8.9149999999999991</v>
      </c>
      <c r="G935" s="23">
        <v>0</v>
      </c>
      <c r="H935" s="26">
        <v>0</v>
      </c>
      <c r="I935" s="19" t="s">
        <v>29</v>
      </c>
      <c r="J935" s="8">
        <v>47</v>
      </c>
      <c r="K935" s="19" t="s">
        <v>37</v>
      </c>
      <c r="L935" s="19" t="s">
        <v>32</v>
      </c>
      <c r="M935" s="8">
        <v>3</v>
      </c>
      <c r="N935" s="33">
        <f t="shared" si="112"/>
        <v>0</v>
      </c>
      <c r="O935" s="23">
        <f t="shared" si="113"/>
        <v>6.0314077397644423E-3</v>
      </c>
      <c r="P935" s="59">
        <f t="shared" si="114"/>
        <v>0.97240401396160558</v>
      </c>
      <c r="Q935" s="30">
        <f t="shared" si="115"/>
        <v>0</v>
      </c>
      <c r="R935" s="30">
        <f t="shared" si="116"/>
        <v>-1</v>
      </c>
      <c r="S935" s="12">
        <f t="shared" si="117"/>
        <v>0</v>
      </c>
      <c r="T935" s="30">
        <f t="shared" si="118"/>
        <v>0</v>
      </c>
      <c r="U935" s="9" t="str">
        <f t="shared" si="119"/>
        <v>45-54</v>
      </c>
    </row>
    <row r="936" spans="1:21">
      <c r="A936" t="s">
        <v>968</v>
      </c>
      <c r="B936" s="8">
        <v>7615</v>
      </c>
      <c r="C936" s="23">
        <v>0.14998</v>
      </c>
      <c r="D936" s="19" t="s">
        <v>25</v>
      </c>
      <c r="E936" s="21">
        <v>94.903000000000006</v>
      </c>
      <c r="F936" s="21">
        <v>4.6669999999999998</v>
      </c>
      <c r="G936" s="23">
        <v>0.46398</v>
      </c>
      <c r="H936" s="26">
        <v>1</v>
      </c>
      <c r="I936" s="19" t="s">
        <v>26</v>
      </c>
      <c r="J936" s="8">
        <v>62</v>
      </c>
      <c r="K936" s="19" t="s">
        <v>22</v>
      </c>
      <c r="L936" s="19" t="s">
        <v>23</v>
      </c>
      <c r="M936" s="8">
        <v>2</v>
      </c>
      <c r="N936" s="33">
        <f t="shared" si="112"/>
        <v>0.21427040925648169</v>
      </c>
      <c r="O936" s="23">
        <f t="shared" si="113"/>
        <v>3.2136275980287121E-2</v>
      </c>
      <c r="P936" s="59">
        <f t="shared" si="114"/>
        <v>4.9176527612404236E-2</v>
      </c>
      <c r="Q936" s="30">
        <f t="shared" si="115"/>
        <v>0.14998</v>
      </c>
      <c r="R936" s="30">
        <f t="shared" si="116"/>
        <v>2.0936124816642221</v>
      </c>
      <c r="S936" s="12">
        <f t="shared" si="117"/>
        <v>3.0936124816642221</v>
      </c>
      <c r="T936" s="30">
        <f t="shared" si="118"/>
        <v>9.941718448682238E-2</v>
      </c>
      <c r="U936" s="9" t="str">
        <f t="shared" si="119"/>
        <v>55+</v>
      </c>
    </row>
    <row r="937" spans="1:21">
      <c r="A937" t="s">
        <v>969</v>
      </c>
      <c r="B937" s="8">
        <v>9183</v>
      </c>
      <c r="C937" s="23">
        <v>0</v>
      </c>
      <c r="D937" s="19" t="s">
        <v>32</v>
      </c>
      <c r="E937" s="21">
        <v>12.555999999999999</v>
      </c>
      <c r="F937" s="21">
        <v>5.2409999999999997</v>
      </c>
      <c r="G937" s="23">
        <v>0.17727000000000001</v>
      </c>
      <c r="H937" s="26">
        <v>1</v>
      </c>
      <c r="I937" s="19" t="s">
        <v>21</v>
      </c>
      <c r="J937" s="8">
        <v>33</v>
      </c>
      <c r="K937" s="19" t="s">
        <v>18</v>
      </c>
      <c r="L937" s="19" t="s">
        <v>32</v>
      </c>
      <c r="M937" s="8">
        <v>3</v>
      </c>
      <c r="N937" s="33">
        <f t="shared" si="112"/>
        <v>0.19080328181644726</v>
      </c>
      <c r="O937" s="23">
        <f t="shared" si="113"/>
        <v>0</v>
      </c>
      <c r="P937" s="59">
        <f t="shared" si="114"/>
        <v>0.41741000318572796</v>
      </c>
      <c r="Q937" s="30">
        <f t="shared" si="115"/>
        <v>0</v>
      </c>
      <c r="R937" s="30">
        <f t="shared" si="116"/>
        <v>0</v>
      </c>
      <c r="S937" s="12" t="e">
        <f t="shared" si="117"/>
        <v>#DIV/0!</v>
      </c>
      <c r="T937" s="30">
        <f t="shared" si="118"/>
        <v>3.3823697767601607E-2</v>
      </c>
      <c r="U937" s="9" t="str">
        <f t="shared" si="119"/>
        <v>25-34</v>
      </c>
    </row>
    <row r="938" spans="1:21">
      <c r="A938" t="s">
        <v>970</v>
      </c>
      <c r="B938" s="8">
        <v>6365</v>
      </c>
      <c r="C938" s="23">
        <v>5.3100000000000001E-2</v>
      </c>
      <c r="D938" s="19" t="s">
        <v>40</v>
      </c>
      <c r="E938" s="21">
        <v>34.115000000000002</v>
      </c>
      <c r="F938" s="21">
        <v>0.40200000000000002</v>
      </c>
      <c r="G938" s="23">
        <v>0</v>
      </c>
      <c r="H938" s="26">
        <v>0</v>
      </c>
      <c r="I938" s="19" t="s">
        <v>34</v>
      </c>
      <c r="J938" s="8">
        <v>35</v>
      </c>
      <c r="K938" s="19" t="s">
        <v>18</v>
      </c>
      <c r="L938" s="19" t="s">
        <v>23</v>
      </c>
      <c r="M938" s="8">
        <v>5</v>
      </c>
      <c r="N938" s="33">
        <f t="shared" si="112"/>
        <v>0</v>
      </c>
      <c r="O938" s="23">
        <f t="shared" si="113"/>
        <v>0.13208955223880597</v>
      </c>
      <c r="P938" s="59">
        <f t="shared" si="114"/>
        <v>1.1783672871171038E-2</v>
      </c>
      <c r="Q938" s="30">
        <f t="shared" si="115"/>
        <v>0</v>
      </c>
      <c r="R938" s="30">
        <f t="shared" si="116"/>
        <v>-1</v>
      </c>
      <c r="S938" s="12">
        <f t="shared" si="117"/>
        <v>0</v>
      </c>
      <c r="T938" s="30">
        <f t="shared" si="118"/>
        <v>0</v>
      </c>
      <c r="U938" s="9" t="str">
        <f t="shared" si="119"/>
        <v>35-44</v>
      </c>
    </row>
    <row r="939" spans="1:21">
      <c r="A939" t="s">
        <v>971</v>
      </c>
      <c r="B939" s="8">
        <v>3044</v>
      </c>
      <c r="C939" s="23">
        <v>0</v>
      </c>
      <c r="D939" s="19" t="s">
        <v>15</v>
      </c>
      <c r="E939" s="21">
        <v>43.271999999999998</v>
      </c>
      <c r="F939" s="21">
        <v>5.0490000000000004</v>
      </c>
      <c r="G939" s="23">
        <v>0</v>
      </c>
      <c r="H939" s="26">
        <v>0</v>
      </c>
      <c r="I939" s="19" t="s">
        <v>21</v>
      </c>
      <c r="J939" s="8">
        <v>27</v>
      </c>
      <c r="K939" s="19" t="s">
        <v>31</v>
      </c>
      <c r="L939" s="19" t="s">
        <v>19</v>
      </c>
      <c r="M939" s="8">
        <v>4</v>
      </c>
      <c r="N939" s="33">
        <f t="shared" si="112"/>
        <v>0</v>
      </c>
      <c r="O939" s="23">
        <f t="shared" si="113"/>
        <v>0</v>
      </c>
      <c r="P939" s="59">
        <f t="shared" si="114"/>
        <v>0.11668053244592347</v>
      </c>
      <c r="Q939" s="30">
        <f t="shared" si="115"/>
        <v>0</v>
      </c>
      <c r="R939" s="30">
        <f t="shared" si="116"/>
        <v>0</v>
      </c>
      <c r="S939" s="12">
        <f t="shared" si="117"/>
        <v>0</v>
      </c>
      <c r="T939" s="30">
        <f t="shared" si="118"/>
        <v>0</v>
      </c>
      <c r="U939" s="9" t="str">
        <f t="shared" si="119"/>
        <v>25-34</v>
      </c>
    </row>
    <row r="940" spans="1:21">
      <c r="A940" t="s">
        <v>972</v>
      </c>
      <c r="B940" s="8">
        <v>1783</v>
      </c>
      <c r="C940" s="23">
        <v>1.84E-2</v>
      </c>
      <c r="D940" s="19" t="s">
        <v>40</v>
      </c>
      <c r="E940" s="21">
        <v>92.328000000000003</v>
      </c>
      <c r="F940" s="21">
        <v>3.673</v>
      </c>
      <c r="G940" s="23">
        <v>0</v>
      </c>
      <c r="H940" s="26">
        <v>0</v>
      </c>
      <c r="I940" s="19" t="s">
        <v>17</v>
      </c>
      <c r="J940" s="8">
        <v>19</v>
      </c>
      <c r="K940" s="19" t="s">
        <v>22</v>
      </c>
      <c r="L940" s="19" t="s">
        <v>23</v>
      </c>
      <c r="M940" s="8">
        <v>1</v>
      </c>
      <c r="N940" s="33">
        <f t="shared" si="112"/>
        <v>0</v>
      </c>
      <c r="O940" s="23">
        <f t="shared" si="113"/>
        <v>5.0095289953716307E-3</v>
      </c>
      <c r="P940" s="59">
        <f t="shared" si="114"/>
        <v>3.9782081275452734E-2</v>
      </c>
      <c r="Q940" s="30">
        <f t="shared" si="115"/>
        <v>0</v>
      </c>
      <c r="R940" s="30">
        <f t="shared" si="116"/>
        <v>-1</v>
      </c>
      <c r="S940" s="12">
        <f t="shared" si="117"/>
        <v>0</v>
      </c>
      <c r="T940" s="30">
        <f t="shared" si="118"/>
        <v>0</v>
      </c>
      <c r="U940" s="9" t="str">
        <f t="shared" si="119"/>
        <v>18-24</v>
      </c>
    </row>
    <row r="941" spans="1:21">
      <c r="A941" t="s">
        <v>973</v>
      </c>
      <c r="B941" s="8">
        <v>8460</v>
      </c>
      <c r="C941" s="23">
        <v>0</v>
      </c>
      <c r="D941" s="19" t="s">
        <v>32</v>
      </c>
      <c r="E941" s="21">
        <v>32.566000000000003</v>
      </c>
      <c r="F941" s="21">
        <v>5.3879999999999999</v>
      </c>
      <c r="G941" s="23">
        <v>0</v>
      </c>
      <c r="H941" s="26">
        <v>0</v>
      </c>
      <c r="I941" s="19" t="s">
        <v>29</v>
      </c>
      <c r="J941" s="8">
        <v>59</v>
      </c>
      <c r="K941" s="19" t="s">
        <v>31</v>
      </c>
      <c r="L941" s="19" t="s">
        <v>38</v>
      </c>
      <c r="M941" s="8">
        <v>4</v>
      </c>
      <c r="N941" s="33">
        <f t="shared" si="112"/>
        <v>0</v>
      </c>
      <c r="O941" s="23">
        <f t="shared" si="113"/>
        <v>0</v>
      </c>
      <c r="P941" s="59">
        <f t="shared" si="114"/>
        <v>0.16544862740281274</v>
      </c>
      <c r="Q941" s="30">
        <f t="shared" si="115"/>
        <v>0</v>
      </c>
      <c r="R941" s="30">
        <f t="shared" si="116"/>
        <v>0</v>
      </c>
      <c r="S941" s="12">
        <f t="shared" si="117"/>
        <v>0</v>
      </c>
      <c r="T941" s="30">
        <f t="shared" si="118"/>
        <v>0</v>
      </c>
      <c r="U941" s="9" t="str">
        <f t="shared" si="119"/>
        <v>55+</v>
      </c>
    </row>
    <row r="942" spans="1:21">
      <c r="A942" t="s">
        <v>974</v>
      </c>
      <c r="B942" s="8">
        <v>8148</v>
      </c>
      <c r="C942" s="23">
        <v>2.0119999999999999E-2</v>
      </c>
      <c r="D942" s="19" t="s">
        <v>45</v>
      </c>
      <c r="E942" s="21">
        <v>64.929000000000002</v>
      </c>
      <c r="F942" s="21">
        <v>5.1619999999999999</v>
      </c>
      <c r="G942" s="23">
        <v>0</v>
      </c>
      <c r="H942" s="26">
        <v>0</v>
      </c>
      <c r="I942" s="19" t="s">
        <v>26</v>
      </c>
      <c r="J942" s="8">
        <v>50</v>
      </c>
      <c r="K942" s="19" t="s">
        <v>31</v>
      </c>
      <c r="L942" s="19" t="s">
        <v>38</v>
      </c>
      <c r="M942" s="8" t="s">
        <v>1065</v>
      </c>
      <c r="N942" s="33">
        <f t="shared" si="112"/>
        <v>0</v>
      </c>
      <c r="O942" s="23">
        <f t="shared" si="113"/>
        <v>3.8977140643161566E-3</v>
      </c>
      <c r="P942" s="59">
        <f t="shared" si="114"/>
        <v>7.9502225507862428E-2</v>
      </c>
      <c r="Q942" s="30">
        <f t="shared" si="115"/>
        <v>0</v>
      </c>
      <c r="R942" s="30">
        <f t="shared" si="116"/>
        <v>-1</v>
      </c>
      <c r="S942" s="12">
        <f t="shared" si="117"/>
        <v>0</v>
      </c>
      <c r="T942" s="30">
        <f t="shared" si="118"/>
        <v>0</v>
      </c>
      <c r="U942" s="9" t="str">
        <f t="shared" si="119"/>
        <v>45-54</v>
      </c>
    </row>
    <row r="943" spans="1:21">
      <c r="A943" t="s">
        <v>975</v>
      </c>
      <c r="B943" s="8">
        <v>5904</v>
      </c>
      <c r="C943" s="23">
        <v>6.2549999999999994E-2</v>
      </c>
      <c r="D943" s="19" t="s">
        <v>28</v>
      </c>
      <c r="E943" s="21">
        <v>12.375</v>
      </c>
      <c r="F943" s="21">
        <v>2.7959999999999998</v>
      </c>
      <c r="G943" s="23">
        <v>0.11719</v>
      </c>
      <c r="H943" s="26">
        <v>1</v>
      </c>
      <c r="I943" s="19" t="s">
        <v>26</v>
      </c>
      <c r="J943" s="8">
        <v>26</v>
      </c>
      <c r="K943" s="19" t="s">
        <v>18</v>
      </c>
      <c r="L943" s="19" t="s">
        <v>23</v>
      </c>
      <c r="M943" s="8">
        <v>2</v>
      </c>
      <c r="N943" s="33">
        <f t="shared" si="112"/>
        <v>0.35765379113018603</v>
      </c>
      <c r="O943" s="23">
        <f t="shared" si="113"/>
        <v>2.2371244635193133E-2</v>
      </c>
      <c r="P943" s="59">
        <f t="shared" si="114"/>
        <v>0.22593939393939391</v>
      </c>
      <c r="Q943" s="30">
        <f t="shared" si="115"/>
        <v>6.2549999999999994E-2</v>
      </c>
      <c r="R943" s="30">
        <f t="shared" si="116"/>
        <v>0.8735411670663471</v>
      </c>
      <c r="S943" s="12">
        <f t="shared" si="117"/>
        <v>1.8735411670663471</v>
      </c>
      <c r="T943" s="30">
        <f t="shared" si="118"/>
        <v>4.1913447782546499E-2</v>
      </c>
      <c r="U943" s="9" t="str">
        <f t="shared" si="119"/>
        <v>25-34</v>
      </c>
    </row>
    <row r="944" spans="1:21">
      <c r="A944" t="s">
        <v>976</v>
      </c>
      <c r="B944" s="8">
        <v>4438</v>
      </c>
      <c r="C944" s="23">
        <v>8.6959999999999996E-2</v>
      </c>
      <c r="D944" s="19" t="s">
        <v>15</v>
      </c>
      <c r="E944" s="21">
        <v>71.590999999999994</v>
      </c>
      <c r="F944" s="21">
        <v>2.38</v>
      </c>
      <c r="G944" s="23">
        <v>0</v>
      </c>
      <c r="H944" s="26">
        <v>1</v>
      </c>
      <c r="I944" s="19" t="s">
        <v>34</v>
      </c>
      <c r="J944" s="8">
        <v>46</v>
      </c>
      <c r="K944" s="19" t="s">
        <v>18</v>
      </c>
      <c r="L944" s="19" t="s">
        <v>19</v>
      </c>
      <c r="M944" s="8">
        <v>3</v>
      </c>
      <c r="N944" s="33">
        <f t="shared" si="112"/>
        <v>0.42016806722689076</v>
      </c>
      <c r="O944" s="23">
        <f t="shared" si="113"/>
        <v>3.6537815126050421E-2</v>
      </c>
      <c r="P944" s="59">
        <f t="shared" si="114"/>
        <v>3.3244402229330505E-2</v>
      </c>
      <c r="Q944" s="30">
        <f t="shared" si="115"/>
        <v>8.6959999999999996E-2</v>
      </c>
      <c r="R944" s="30">
        <f t="shared" si="116"/>
        <v>-1</v>
      </c>
      <c r="S944" s="12">
        <f t="shared" si="117"/>
        <v>0</v>
      </c>
      <c r="T944" s="30">
        <f t="shared" si="118"/>
        <v>0</v>
      </c>
      <c r="U944" s="9" t="str">
        <f t="shared" si="119"/>
        <v>45-54</v>
      </c>
    </row>
    <row r="945" spans="1:21">
      <c r="A945" t="s">
        <v>977</v>
      </c>
      <c r="B945" s="8">
        <v>8692</v>
      </c>
      <c r="C945" s="23">
        <v>0</v>
      </c>
      <c r="D945" s="19" t="s">
        <v>15</v>
      </c>
      <c r="E945" s="21">
        <v>24.463000000000001</v>
      </c>
      <c r="F945" s="21">
        <v>9.9710000000000001</v>
      </c>
      <c r="G945" s="23">
        <v>0</v>
      </c>
      <c r="H945" s="26">
        <v>0</v>
      </c>
      <c r="I945" s="19" t="s">
        <v>21</v>
      </c>
      <c r="J945" s="8">
        <v>60</v>
      </c>
      <c r="K945" s="19" t="s">
        <v>31</v>
      </c>
      <c r="L945" s="19" t="s">
        <v>19</v>
      </c>
      <c r="M945" s="8">
        <v>1</v>
      </c>
      <c r="N945" s="33">
        <f t="shared" si="112"/>
        <v>0</v>
      </c>
      <c r="O945" s="23">
        <f t="shared" si="113"/>
        <v>0</v>
      </c>
      <c r="P945" s="59">
        <f t="shared" si="114"/>
        <v>0.4075951436863835</v>
      </c>
      <c r="Q945" s="30">
        <f t="shared" si="115"/>
        <v>0</v>
      </c>
      <c r="R945" s="30">
        <f t="shared" si="116"/>
        <v>0</v>
      </c>
      <c r="S945" s="12">
        <f t="shared" si="117"/>
        <v>0</v>
      </c>
      <c r="T945" s="30">
        <f t="shared" si="118"/>
        <v>0</v>
      </c>
      <c r="U945" s="9" t="str">
        <f t="shared" si="119"/>
        <v>55+</v>
      </c>
    </row>
    <row r="946" spans="1:21">
      <c r="A946" t="s">
        <v>978</v>
      </c>
      <c r="B946" s="8">
        <v>2502</v>
      </c>
      <c r="C946" s="23">
        <v>8.2500000000000004E-3</v>
      </c>
      <c r="D946" s="19" t="s">
        <v>32</v>
      </c>
      <c r="E946" s="21">
        <v>31.501000000000001</v>
      </c>
      <c r="F946" s="21">
        <v>6.593</v>
      </c>
      <c r="G946" s="23">
        <v>0</v>
      </c>
      <c r="H946" s="26">
        <v>0</v>
      </c>
      <c r="I946" s="19" t="s">
        <v>34</v>
      </c>
      <c r="J946" s="8">
        <v>18</v>
      </c>
      <c r="K946" s="19" t="s">
        <v>31</v>
      </c>
      <c r="L946" s="19" t="s">
        <v>38</v>
      </c>
      <c r="M946" s="8">
        <v>1</v>
      </c>
      <c r="N946" s="33">
        <f t="shared" si="112"/>
        <v>0</v>
      </c>
      <c r="O946" s="23">
        <f t="shared" si="113"/>
        <v>1.2513271651751858E-3</v>
      </c>
      <c r="P946" s="59">
        <f t="shared" si="114"/>
        <v>0.20929494301768198</v>
      </c>
      <c r="Q946" s="30">
        <f t="shared" si="115"/>
        <v>0</v>
      </c>
      <c r="R946" s="30">
        <f t="shared" si="116"/>
        <v>-1</v>
      </c>
      <c r="S946" s="12">
        <f t="shared" si="117"/>
        <v>0</v>
      </c>
      <c r="T946" s="30">
        <f t="shared" si="118"/>
        <v>0</v>
      </c>
      <c r="U946" s="9" t="str">
        <f t="shared" si="119"/>
        <v>18-24</v>
      </c>
    </row>
    <row r="947" spans="1:21">
      <c r="A947" t="s">
        <v>979</v>
      </c>
      <c r="B947" s="8">
        <v>4617</v>
      </c>
      <c r="C947" s="23">
        <v>0.10199999999999999</v>
      </c>
      <c r="D947" s="19" t="s">
        <v>32</v>
      </c>
      <c r="E947" s="21">
        <v>32.786999999999999</v>
      </c>
      <c r="F947" s="21">
        <v>0.505</v>
      </c>
      <c r="G947" s="23">
        <v>0</v>
      </c>
      <c r="H947" s="26">
        <v>0</v>
      </c>
      <c r="I947" s="19" t="s">
        <v>34</v>
      </c>
      <c r="J947" s="8">
        <v>41</v>
      </c>
      <c r="K947" s="19" t="s">
        <v>22</v>
      </c>
      <c r="L947" s="19" t="s">
        <v>19</v>
      </c>
      <c r="M947" s="8">
        <v>4</v>
      </c>
      <c r="N947" s="33">
        <f t="shared" si="112"/>
        <v>0</v>
      </c>
      <c r="O947" s="23">
        <f t="shared" si="113"/>
        <v>0.20198019801980197</v>
      </c>
      <c r="P947" s="59">
        <f t="shared" si="114"/>
        <v>1.540244609143868E-2</v>
      </c>
      <c r="Q947" s="30">
        <f t="shared" si="115"/>
        <v>0</v>
      </c>
      <c r="R947" s="30">
        <f t="shared" si="116"/>
        <v>-1</v>
      </c>
      <c r="S947" s="12">
        <f t="shared" si="117"/>
        <v>0</v>
      </c>
      <c r="T947" s="30">
        <f t="shared" si="118"/>
        <v>0</v>
      </c>
      <c r="U947" s="9" t="str">
        <f t="shared" si="119"/>
        <v>35-44</v>
      </c>
    </row>
    <row r="948" spans="1:21">
      <c r="A948" t="s">
        <v>980</v>
      </c>
      <c r="B948" s="8">
        <v>9569</v>
      </c>
      <c r="C948" s="23">
        <v>0</v>
      </c>
      <c r="D948" s="19" t="s">
        <v>25</v>
      </c>
      <c r="E948" s="21">
        <v>36.451000000000001</v>
      </c>
      <c r="F948" s="21">
        <v>8.1829999999999998</v>
      </c>
      <c r="G948" s="23">
        <v>0</v>
      </c>
      <c r="H948" s="26">
        <v>1</v>
      </c>
      <c r="I948" s="19" t="s">
        <v>17</v>
      </c>
      <c r="J948" s="8">
        <v>61</v>
      </c>
      <c r="K948" s="19" t="s">
        <v>22</v>
      </c>
      <c r="L948" s="19" t="s">
        <v>19</v>
      </c>
      <c r="M948" s="8">
        <v>5</v>
      </c>
      <c r="N948" s="33">
        <f t="shared" si="112"/>
        <v>0.12220457045093487</v>
      </c>
      <c r="O948" s="23">
        <f t="shared" si="113"/>
        <v>0</v>
      </c>
      <c r="P948" s="59">
        <f t="shared" si="114"/>
        <v>0.22449315519464486</v>
      </c>
      <c r="Q948" s="30">
        <f t="shared" si="115"/>
        <v>0</v>
      </c>
      <c r="R948" s="30">
        <f t="shared" si="116"/>
        <v>0</v>
      </c>
      <c r="S948" s="12">
        <f t="shared" si="117"/>
        <v>0</v>
      </c>
      <c r="T948" s="30">
        <f t="shared" si="118"/>
        <v>0</v>
      </c>
      <c r="U948" s="9" t="str">
        <f t="shared" si="119"/>
        <v>55+</v>
      </c>
    </row>
    <row r="949" spans="1:21">
      <c r="A949" t="s">
        <v>981</v>
      </c>
      <c r="B949" s="8">
        <v>6930</v>
      </c>
      <c r="C949" s="23">
        <v>0.12295</v>
      </c>
      <c r="D949" s="19" t="s">
        <v>40</v>
      </c>
      <c r="E949" s="21">
        <v>95.480999999999995</v>
      </c>
      <c r="F949" s="21">
        <v>9.9060000000000006</v>
      </c>
      <c r="G949" s="23">
        <v>0.35017999999999999</v>
      </c>
      <c r="H949" s="26">
        <v>1</v>
      </c>
      <c r="I949" s="19" t="s">
        <v>17</v>
      </c>
      <c r="J949" s="8">
        <v>34</v>
      </c>
      <c r="K949" s="19" t="s">
        <v>31</v>
      </c>
      <c r="L949" s="19" t="s">
        <v>45</v>
      </c>
      <c r="M949" s="8">
        <v>2</v>
      </c>
      <c r="N949" s="33">
        <f t="shared" si="112"/>
        <v>0.10094891984655764</v>
      </c>
      <c r="O949" s="23">
        <f t="shared" si="113"/>
        <v>1.2411669695134261E-2</v>
      </c>
      <c r="P949" s="59">
        <f t="shared" si="114"/>
        <v>0.10374838973198858</v>
      </c>
      <c r="Q949" s="30">
        <f t="shared" si="115"/>
        <v>0.12295</v>
      </c>
      <c r="R949" s="30">
        <f t="shared" si="116"/>
        <v>1.8481496543310287</v>
      </c>
      <c r="S949" s="12">
        <f t="shared" si="117"/>
        <v>2.8481496543310287</v>
      </c>
      <c r="T949" s="30">
        <f t="shared" si="118"/>
        <v>3.5350292751867553E-2</v>
      </c>
      <c r="U949" s="9" t="str">
        <f t="shared" si="119"/>
        <v>25-34</v>
      </c>
    </row>
    <row r="950" spans="1:21">
      <c r="A950" t="s">
        <v>982</v>
      </c>
      <c r="B950" s="8">
        <v>4981</v>
      </c>
      <c r="C950" s="23">
        <v>2.9149999999999999E-2</v>
      </c>
      <c r="D950" s="19" t="s">
        <v>28</v>
      </c>
      <c r="E950" s="21">
        <v>72.363</v>
      </c>
      <c r="F950" s="21">
        <v>6.0359999999999996</v>
      </c>
      <c r="G950" s="23">
        <v>0.46560000000000001</v>
      </c>
      <c r="H950" s="26">
        <v>1</v>
      </c>
      <c r="I950" s="19" t="s">
        <v>21</v>
      </c>
      <c r="J950" s="8">
        <v>24</v>
      </c>
      <c r="K950" s="19" t="s">
        <v>18</v>
      </c>
      <c r="L950" s="19" t="s">
        <v>19</v>
      </c>
      <c r="M950" s="8" t="s">
        <v>1065</v>
      </c>
      <c r="N950" s="33">
        <f t="shared" si="112"/>
        <v>0.1656726308813784</v>
      </c>
      <c r="O950" s="23">
        <f t="shared" si="113"/>
        <v>4.82935719019218E-3</v>
      </c>
      <c r="P950" s="59">
        <f t="shared" si="114"/>
        <v>8.341279383110152E-2</v>
      </c>
      <c r="Q950" s="30">
        <f t="shared" si="115"/>
        <v>2.9149999999999999E-2</v>
      </c>
      <c r="R950" s="30">
        <f t="shared" si="116"/>
        <v>14.972555746140653</v>
      </c>
      <c r="S950" s="12">
        <f t="shared" si="117"/>
        <v>15.972555746140653</v>
      </c>
      <c r="T950" s="30">
        <f t="shared" si="118"/>
        <v>7.7137176938369786E-2</v>
      </c>
      <c r="U950" s="9" t="str">
        <f t="shared" si="119"/>
        <v>18-24</v>
      </c>
    </row>
    <row r="951" spans="1:21">
      <c r="A951" t="s">
        <v>983</v>
      </c>
      <c r="B951" s="8">
        <v>6141</v>
      </c>
      <c r="C951" s="23">
        <v>0</v>
      </c>
      <c r="D951" s="19" t="s">
        <v>28</v>
      </c>
      <c r="E951" s="21">
        <v>6.2510000000000003</v>
      </c>
      <c r="F951" s="21">
        <v>5.6139999999999999</v>
      </c>
      <c r="G951" s="23">
        <v>0</v>
      </c>
      <c r="H951" s="26">
        <v>0</v>
      </c>
      <c r="I951" s="19" t="s">
        <v>34</v>
      </c>
      <c r="J951" s="8">
        <v>26</v>
      </c>
      <c r="K951" s="19" t="s">
        <v>18</v>
      </c>
      <c r="L951" s="19" t="s">
        <v>38</v>
      </c>
      <c r="M951" s="8" t="s">
        <v>1065</v>
      </c>
      <c r="N951" s="33">
        <f t="shared" si="112"/>
        <v>0</v>
      </c>
      <c r="O951" s="23">
        <f t="shared" si="113"/>
        <v>0</v>
      </c>
      <c r="P951" s="59">
        <f t="shared" si="114"/>
        <v>0.89809630459126533</v>
      </c>
      <c r="Q951" s="30">
        <f t="shared" si="115"/>
        <v>0</v>
      </c>
      <c r="R951" s="30">
        <f t="shared" si="116"/>
        <v>0</v>
      </c>
      <c r="S951" s="12">
        <f t="shared" si="117"/>
        <v>0</v>
      </c>
      <c r="T951" s="30">
        <f t="shared" si="118"/>
        <v>0</v>
      </c>
      <c r="U951" s="9" t="str">
        <f t="shared" si="119"/>
        <v>25-34</v>
      </c>
    </row>
    <row r="952" spans="1:21">
      <c r="A952" t="s">
        <v>984</v>
      </c>
      <c r="B952" s="8">
        <v>3818</v>
      </c>
      <c r="C952" s="23">
        <v>0</v>
      </c>
      <c r="D952" s="19" t="s">
        <v>28</v>
      </c>
      <c r="E952" s="21">
        <v>48.463000000000001</v>
      </c>
      <c r="F952" s="21">
        <v>4.2229999999999999</v>
      </c>
      <c r="G952" s="23">
        <v>0</v>
      </c>
      <c r="H952" s="26">
        <v>0</v>
      </c>
      <c r="I952" s="19" t="s">
        <v>26</v>
      </c>
      <c r="J952" s="8">
        <v>56</v>
      </c>
      <c r="K952" s="19" t="s">
        <v>37</v>
      </c>
      <c r="L952" s="19" t="s">
        <v>38</v>
      </c>
      <c r="M952" s="8">
        <v>3</v>
      </c>
      <c r="N952" s="33">
        <f t="shared" si="112"/>
        <v>0</v>
      </c>
      <c r="O952" s="23">
        <f t="shared" si="113"/>
        <v>0</v>
      </c>
      <c r="P952" s="59">
        <f t="shared" si="114"/>
        <v>8.7138641850483867E-2</v>
      </c>
      <c r="Q952" s="30">
        <f t="shared" si="115"/>
        <v>0</v>
      </c>
      <c r="R952" s="30">
        <f t="shared" si="116"/>
        <v>0</v>
      </c>
      <c r="S952" s="12">
        <f t="shared" si="117"/>
        <v>0</v>
      </c>
      <c r="T952" s="30">
        <f t="shared" si="118"/>
        <v>0</v>
      </c>
      <c r="U952" s="9" t="str">
        <f t="shared" si="119"/>
        <v>55+</v>
      </c>
    </row>
    <row r="953" spans="1:21">
      <c r="A953" t="s">
        <v>985</v>
      </c>
      <c r="B953" s="8">
        <v>8330</v>
      </c>
      <c r="C953" s="23">
        <v>0.11913</v>
      </c>
      <c r="D953" s="19" t="s">
        <v>45</v>
      </c>
      <c r="E953" s="21">
        <v>67.316000000000003</v>
      </c>
      <c r="F953" s="21">
        <v>2.0310000000000001</v>
      </c>
      <c r="G953" s="23">
        <v>1.095E-2</v>
      </c>
      <c r="H953" s="26">
        <v>1</v>
      </c>
      <c r="I953" s="19" t="s">
        <v>29</v>
      </c>
      <c r="J953" s="8">
        <v>23</v>
      </c>
      <c r="K953" s="19" t="s">
        <v>31</v>
      </c>
      <c r="L953" s="19" t="s">
        <v>38</v>
      </c>
      <c r="M953" s="8" t="s">
        <v>1065</v>
      </c>
      <c r="N953" s="33">
        <f t="shared" si="112"/>
        <v>0.49236829148202854</v>
      </c>
      <c r="O953" s="23">
        <f t="shared" si="113"/>
        <v>5.8655834564254057E-2</v>
      </c>
      <c r="P953" s="59">
        <f t="shared" si="114"/>
        <v>3.0171133162992456E-2</v>
      </c>
      <c r="Q953" s="30">
        <f t="shared" si="115"/>
        <v>0.11913</v>
      </c>
      <c r="R953" s="30">
        <f t="shared" si="116"/>
        <v>-0.90808360614454797</v>
      </c>
      <c r="S953" s="12">
        <f t="shared" si="117"/>
        <v>9.1916393855452028E-2</v>
      </c>
      <c r="T953" s="30">
        <f t="shared" si="118"/>
        <v>5.3914327917282123E-3</v>
      </c>
      <c r="U953" s="9" t="str">
        <f t="shared" si="119"/>
        <v>18-24</v>
      </c>
    </row>
    <row r="954" spans="1:21">
      <c r="A954" t="s">
        <v>986</v>
      </c>
      <c r="B954" s="8">
        <v>8026</v>
      </c>
      <c r="C954" s="23">
        <v>0.12255000000000001</v>
      </c>
      <c r="D954" s="19" t="s">
        <v>28</v>
      </c>
      <c r="E954" s="21">
        <v>81.912999999999997</v>
      </c>
      <c r="F954" s="21">
        <v>3.1920000000000002</v>
      </c>
      <c r="G954" s="23">
        <v>0</v>
      </c>
      <c r="H954" s="26">
        <v>0</v>
      </c>
      <c r="I954" s="19" t="s">
        <v>34</v>
      </c>
      <c r="J954" s="8">
        <v>60</v>
      </c>
      <c r="K954" s="19" t="s">
        <v>37</v>
      </c>
      <c r="L954" s="19" t="s">
        <v>32</v>
      </c>
      <c r="M954" s="8">
        <v>4</v>
      </c>
      <c r="N954" s="33">
        <f t="shared" si="112"/>
        <v>0</v>
      </c>
      <c r="O954" s="23">
        <f t="shared" si="113"/>
        <v>3.8392857142857145E-2</v>
      </c>
      <c r="P954" s="59">
        <f t="shared" si="114"/>
        <v>3.8968173549985961E-2</v>
      </c>
      <c r="Q954" s="30">
        <f t="shared" si="115"/>
        <v>0</v>
      </c>
      <c r="R954" s="30">
        <f t="shared" si="116"/>
        <v>-1</v>
      </c>
      <c r="S954" s="12">
        <f t="shared" si="117"/>
        <v>0</v>
      </c>
      <c r="T954" s="30">
        <f t="shared" si="118"/>
        <v>0</v>
      </c>
      <c r="U954" s="9" t="str">
        <f t="shared" si="119"/>
        <v>55+</v>
      </c>
    </row>
    <row r="955" spans="1:21">
      <c r="A955" t="s">
        <v>987</v>
      </c>
      <c r="B955" s="8">
        <v>9524</v>
      </c>
      <c r="C955" s="23">
        <v>5.1490000000000001E-2</v>
      </c>
      <c r="D955" s="19" t="s">
        <v>40</v>
      </c>
      <c r="E955" s="21">
        <v>41.040999999999997</v>
      </c>
      <c r="F955" s="21">
        <v>0.42799999999999999</v>
      </c>
      <c r="G955" s="23">
        <v>0</v>
      </c>
      <c r="H955" s="26">
        <v>1</v>
      </c>
      <c r="I955" s="19" t="s">
        <v>34</v>
      </c>
      <c r="J955" s="8">
        <v>49</v>
      </c>
      <c r="K955" s="19" t="s">
        <v>31</v>
      </c>
      <c r="L955" s="19" t="s">
        <v>19</v>
      </c>
      <c r="M955" s="8" t="s">
        <v>1065</v>
      </c>
      <c r="N955" s="33">
        <f t="shared" si="112"/>
        <v>2.3364485981308412</v>
      </c>
      <c r="O955" s="23">
        <f t="shared" si="113"/>
        <v>0.12030373831775701</v>
      </c>
      <c r="P955" s="59">
        <f t="shared" si="114"/>
        <v>1.0428595794449453E-2</v>
      </c>
      <c r="Q955" s="30">
        <f t="shared" si="115"/>
        <v>5.1490000000000001E-2</v>
      </c>
      <c r="R955" s="30">
        <f t="shared" si="116"/>
        <v>-1</v>
      </c>
      <c r="S955" s="12">
        <f t="shared" si="117"/>
        <v>0</v>
      </c>
      <c r="T955" s="30">
        <f t="shared" si="118"/>
        <v>0</v>
      </c>
      <c r="U955" s="9" t="str">
        <f t="shared" si="119"/>
        <v>45-54</v>
      </c>
    </row>
    <row r="956" spans="1:21">
      <c r="A956" t="s">
        <v>988</v>
      </c>
      <c r="B956" s="8">
        <v>5726</v>
      </c>
      <c r="C956" s="23">
        <v>3.1649999999999998E-2</v>
      </c>
      <c r="D956" s="19" t="s">
        <v>40</v>
      </c>
      <c r="E956" s="21">
        <v>54.164000000000001</v>
      </c>
      <c r="F956" s="21">
        <v>1.629</v>
      </c>
      <c r="G956" s="23">
        <v>0</v>
      </c>
      <c r="H956" s="26">
        <v>0</v>
      </c>
      <c r="I956" s="19" t="s">
        <v>29</v>
      </c>
      <c r="J956" s="8">
        <v>41</v>
      </c>
      <c r="K956" s="19" t="s">
        <v>31</v>
      </c>
      <c r="L956" s="19" t="s">
        <v>19</v>
      </c>
      <c r="M956" s="8" t="s">
        <v>1065</v>
      </c>
      <c r="N956" s="33">
        <f t="shared" si="112"/>
        <v>0</v>
      </c>
      <c r="O956" s="23">
        <f t="shared" si="113"/>
        <v>1.9429097605893186E-2</v>
      </c>
      <c r="P956" s="59">
        <f t="shared" si="114"/>
        <v>3.007532678531866E-2</v>
      </c>
      <c r="Q956" s="30">
        <f t="shared" si="115"/>
        <v>0</v>
      </c>
      <c r="R956" s="30">
        <f t="shared" si="116"/>
        <v>-1</v>
      </c>
      <c r="S956" s="12">
        <f t="shared" si="117"/>
        <v>0</v>
      </c>
      <c r="T956" s="30">
        <f t="shared" si="118"/>
        <v>0</v>
      </c>
      <c r="U956" s="9" t="str">
        <f t="shared" si="119"/>
        <v>35-44</v>
      </c>
    </row>
    <row r="957" spans="1:21">
      <c r="A957" t="s">
        <v>989</v>
      </c>
      <c r="B957" s="8">
        <v>1641</v>
      </c>
      <c r="C957" s="23">
        <v>0.11879000000000001</v>
      </c>
      <c r="D957" s="19" t="s">
        <v>25</v>
      </c>
      <c r="E957" s="21">
        <v>22.823</v>
      </c>
      <c r="F957" s="21">
        <v>8.2010000000000005</v>
      </c>
      <c r="G957" s="23">
        <v>0</v>
      </c>
      <c r="H957" s="26">
        <v>0</v>
      </c>
      <c r="I957" s="19" t="s">
        <v>29</v>
      </c>
      <c r="J957" s="8">
        <v>64</v>
      </c>
      <c r="K957" s="19" t="s">
        <v>18</v>
      </c>
      <c r="L957" s="19" t="s">
        <v>38</v>
      </c>
      <c r="M957" s="8" t="s">
        <v>1065</v>
      </c>
      <c r="N957" s="33">
        <f t="shared" si="112"/>
        <v>0</v>
      </c>
      <c r="O957" s="23">
        <f t="shared" si="113"/>
        <v>1.44848189245214E-2</v>
      </c>
      <c r="P957" s="59">
        <f t="shared" si="114"/>
        <v>0.35933049993427685</v>
      </c>
      <c r="Q957" s="30">
        <f t="shared" si="115"/>
        <v>0</v>
      </c>
      <c r="R957" s="30">
        <f t="shared" si="116"/>
        <v>-1</v>
      </c>
      <c r="S957" s="12">
        <f t="shared" si="117"/>
        <v>0</v>
      </c>
      <c r="T957" s="30">
        <f t="shared" si="118"/>
        <v>0</v>
      </c>
      <c r="U957" s="9" t="str">
        <f t="shared" si="119"/>
        <v>55+</v>
      </c>
    </row>
    <row r="958" spans="1:21">
      <c r="A958" t="s">
        <v>990</v>
      </c>
      <c r="B958" s="8">
        <v>1503</v>
      </c>
      <c r="C958" s="23">
        <v>0</v>
      </c>
      <c r="D958" s="19" t="s">
        <v>15</v>
      </c>
      <c r="E958" s="21">
        <v>78.768000000000001</v>
      </c>
      <c r="F958" s="21">
        <v>8.2579999999999991</v>
      </c>
      <c r="G958" s="23">
        <v>0.27083000000000002</v>
      </c>
      <c r="H958" s="26">
        <v>1</v>
      </c>
      <c r="I958" s="19" t="s">
        <v>29</v>
      </c>
      <c r="J958" s="8">
        <v>32</v>
      </c>
      <c r="K958" s="19" t="s">
        <v>22</v>
      </c>
      <c r="L958" s="19" t="s">
        <v>38</v>
      </c>
      <c r="M958" s="8" t="s">
        <v>1065</v>
      </c>
      <c r="N958" s="33">
        <f t="shared" si="112"/>
        <v>0.12109469605231292</v>
      </c>
      <c r="O958" s="23">
        <f t="shared" si="113"/>
        <v>0</v>
      </c>
      <c r="P958" s="59">
        <f t="shared" si="114"/>
        <v>0.10483952874263659</v>
      </c>
      <c r="Q958" s="30">
        <f t="shared" si="115"/>
        <v>0</v>
      </c>
      <c r="R958" s="30">
        <f t="shared" si="116"/>
        <v>0</v>
      </c>
      <c r="S958" s="12" t="e">
        <f t="shared" si="117"/>
        <v>#DIV/0!</v>
      </c>
      <c r="T958" s="30">
        <f t="shared" si="118"/>
        <v>3.2796076531847913E-2</v>
      </c>
      <c r="U958" s="9" t="str">
        <f t="shared" si="119"/>
        <v>25-34</v>
      </c>
    </row>
    <row r="959" spans="1:21">
      <c r="A959" t="s">
        <v>991</v>
      </c>
      <c r="B959" s="8">
        <v>9289</v>
      </c>
      <c r="C959" s="23">
        <v>5.7200000000000001E-2</v>
      </c>
      <c r="D959" s="19" t="s">
        <v>15</v>
      </c>
      <c r="E959" s="21">
        <v>65.625</v>
      </c>
      <c r="F959" s="21">
        <v>4.2080000000000002</v>
      </c>
      <c r="G959" s="23">
        <v>0</v>
      </c>
      <c r="H959" s="26">
        <v>0</v>
      </c>
      <c r="I959" s="19" t="s">
        <v>26</v>
      </c>
      <c r="J959" s="8">
        <v>29</v>
      </c>
      <c r="K959" s="19" t="s">
        <v>37</v>
      </c>
      <c r="L959" s="19" t="s">
        <v>45</v>
      </c>
      <c r="M959" s="8" t="s">
        <v>1065</v>
      </c>
      <c r="N959" s="33">
        <f t="shared" si="112"/>
        <v>0</v>
      </c>
      <c r="O959" s="23">
        <f t="shared" si="113"/>
        <v>1.3593155893536121E-2</v>
      </c>
      <c r="P959" s="59">
        <f t="shared" si="114"/>
        <v>6.4121904761904769E-2</v>
      </c>
      <c r="Q959" s="30">
        <f t="shared" si="115"/>
        <v>0</v>
      </c>
      <c r="R959" s="30">
        <f t="shared" si="116"/>
        <v>-1</v>
      </c>
      <c r="S959" s="12">
        <f t="shared" si="117"/>
        <v>0</v>
      </c>
      <c r="T959" s="30">
        <f t="shared" si="118"/>
        <v>0</v>
      </c>
      <c r="U959" s="9" t="str">
        <f t="shared" si="119"/>
        <v>25-34</v>
      </c>
    </row>
    <row r="960" spans="1:21">
      <c r="A960" t="s">
        <v>992</v>
      </c>
      <c r="B960" s="8">
        <v>9921</v>
      </c>
      <c r="C960" s="23">
        <v>0.10628</v>
      </c>
      <c r="D960" s="19" t="s">
        <v>15</v>
      </c>
      <c r="E960" s="21">
        <v>66.954999999999998</v>
      </c>
      <c r="F960" s="21">
        <v>9.4429999999999996</v>
      </c>
      <c r="G960" s="23">
        <v>0</v>
      </c>
      <c r="H960" s="26">
        <v>0</v>
      </c>
      <c r="I960" s="19" t="s">
        <v>34</v>
      </c>
      <c r="J960" s="8">
        <v>61</v>
      </c>
      <c r="K960" s="19" t="s">
        <v>31</v>
      </c>
      <c r="L960" s="19" t="s">
        <v>23</v>
      </c>
      <c r="M960" s="8">
        <v>4</v>
      </c>
      <c r="N960" s="33">
        <f t="shared" si="112"/>
        <v>0</v>
      </c>
      <c r="O960" s="23">
        <f t="shared" si="113"/>
        <v>1.1254897807900031E-2</v>
      </c>
      <c r="P960" s="59">
        <f t="shared" si="114"/>
        <v>0.14103502352326189</v>
      </c>
      <c r="Q960" s="30">
        <f t="shared" si="115"/>
        <v>0</v>
      </c>
      <c r="R960" s="30">
        <f t="shared" si="116"/>
        <v>-1</v>
      </c>
      <c r="S960" s="12">
        <f t="shared" si="117"/>
        <v>0</v>
      </c>
      <c r="T960" s="30">
        <f t="shared" si="118"/>
        <v>0</v>
      </c>
      <c r="U960" s="9" t="str">
        <f t="shared" si="119"/>
        <v>55+</v>
      </c>
    </row>
    <row r="961" spans="1:21">
      <c r="A961" t="s">
        <v>993</v>
      </c>
      <c r="B961" s="8">
        <v>3200</v>
      </c>
      <c r="C961" s="23">
        <v>0.12381</v>
      </c>
      <c r="D961" s="19" t="s">
        <v>15</v>
      </c>
      <c r="E961" s="21">
        <v>26.66</v>
      </c>
      <c r="F961" s="21">
        <v>7.51</v>
      </c>
      <c r="G961" s="23">
        <v>0</v>
      </c>
      <c r="H961" s="26">
        <v>1</v>
      </c>
      <c r="I961" s="19" t="s">
        <v>21</v>
      </c>
      <c r="J961" s="8">
        <v>50</v>
      </c>
      <c r="K961" s="19" t="s">
        <v>18</v>
      </c>
      <c r="L961" s="19" t="s">
        <v>38</v>
      </c>
      <c r="M961" s="8">
        <v>5</v>
      </c>
      <c r="N961" s="33">
        <f t="shared" si="112"/>
        <v>0.13315579227696406</v>
      </c>
      <c r="O961" s="23">
        <f t="shared" si="113"/>
        <v>1.6486018641810919E-2</v>
      </c>
      <c r="P961" s="59">
        <f t="shared" si="114"/>
        <v>0.28169542385596397</v>
      </c>
      <c r="Q961" s="30">
        <f t="shared" si="115"/>
        <v>0.12381</v>
      </c>
      <c r="R961" s="30">
        <f t="shared" si="116"/>
        <v>-1</v>
      </c>
      <c r="S961" s="12">
        <f t="shared" si="117"/>
        <v>0</v>
      </c>
      <c r="T961" s="30">
        <f t="shared" si="118"/>
        <v>0</v>
      </c>
      <c r="U961" s="9" t="str">
        <f t="shared" si="119"/>
        <v>45-54</v>
      </c>
    </row>
    <row r="962" spans="1:21">
      <c r="A962" t="s">
        <v>994</v>
      </c>
      <c r="B962" s="8">
        <v>8504</v>
      </c>
      <c r="C962" s="23">
        <v>0.17476</v>
      </c>
      <c r="D962" s="19" t="s">
        <v>40</v>
      </c>
      <c r="E962" s="21">
        <v>1.736</v>
      </c>
      <c r="F962" s="21">
        <v>4.9569999999999999</v>
      </c>
      <c r="G962" s="23">
        <v>1.702E-2</v>
      </c>
      <c r="H962" s="26">
        <v>1</v>
      </c>
      <c r="I962" s="19" t="s">
        <v>29</v>
      </c>
      <c r="J962" s="8">
        <v>52</v>
      </c>
      <c r="K962" s="19" t="s">
        <v>37</v>
      </c>
      <c r="L962" s="19" t="s">
        <v>45</v>
      </c>
      <c r="M962" s="8">
        <v>2</v>
      </c>
      <c r="N962" s="33">
        <f t="shared" ref="N962:N1001" si="120">IF(F962=0,0,H962/F962)</f>
        <v>0.2017349203147065</v>
      </c>
      <c r="O962" s="23">
        <f t="shared" ref="O962:O1001" si="121">IF(F962=0,0,C962/F962)</f>
        <v>3.5255194674198104E-2</v>
      </c>
      <c r="P962" s="59">
        <f t="shared" ref="P962:P1001" si="122">IF(E962=0,0,F962/E962)</f>
        <v>2.8554147465437789</v>
      </c>
      <c r="Q962" s="30">
        <f t="shared" ref="Q962:Q1001" si="123">IF(H962=0,0,C962/H962)</f>
        <v>0.17476</v>
      </c>
      <c r="R962" s="30">
        <f t="shared" ref="R962:R1001" si="124">IF(C962=0,0,(G962-C962)/C962)</f>
        <v>-0.90260929274433499</v>
      </c>
      <c r="S962" s="12">
        <f t="shared" ref="S962:S1001" si="125">IF(G962=0,0,G962/C962)</f>
        <v>9.7390707255664913E-2</v>
      </c>
      <c r="T962" s="30">
        <f t="shared" ref="T962:T1001" si="126">IF(F962=0,0,G962/F962)</f>
        <v>3.4335283437563046E-3</v>
      </c>
      <c r="U962" s="9" t="str">
        <f t="shared" si="119"/>
        <v>45-54</v>
      </c>
    </row>
    <row r="963" spans="1:21">
      <c r="A963" t="s">
        <v>995</v>
      </c>
      <c r="B963" s="8">
        <v>6837</v>
      </c>
      <c r="C963" s="23">
        <v>0.17513000000000001</v>
      </c>
      <c r="D963" s="19" t="s">
        <v>40</v>
      </c>
      <c r="E963" s="21">
        <v>85.623999999999995</v>
      </c>
      <c r="F963" s="21">
        <v>4.37</v>
      </c>
      <c r="G963" s="23">
        <v>0</v>
      </c>
      <c r="H963" s="26">
        <v>0</v>
      </c>
      <c r="I963" s="19" t="s">
        <v>29</v>
      </c>
      <c r="J963" s="8">
        <v>26</v>
      </c>
      <c r="K963" s="19" t="s">
        <v>22</v>
      </c>
      <c r="L963" s="19" t="s">
        <v>45</v>
      </c>
      <c r="M963" s="8" t="s">
        <v>1065</v>
      </c>
      <c r="N963" s="33">
        <f t="shared" si="120"/>
        <v>0</v>
      </c>
      <c r="O963" s="23">
        <f t="shared" si="121"/>
        <v>4.0075514874141877E-2</v>
      </c>
      <c r="P963" s="59">
        <f t="shared" si="122"/>
        <v>5.1037092403998882E-2</v>
      </c>
      <c r="Q963" s="30">
        <f t="shared" si="123"/>
        <v>0</v>
      </c>
      <c r="R963" s="30">
        <f t="shared" si="124"/>
        <v>-1</v>
      </c>
      <c r="S963" s="12">
        <f t="shared" si="125"/>
        <v>0</v>
      </c>
      <c r="T963" s="30">
        <f t="shared" si="126"/>
        <v>0</v>
      </c>
      <c r="U963" s="9" t="str">
        <f t="shared" ref="U963:U1001" si="127">IF(J963&lt;25,"18-24",IF(J963&lt;35,"25-34",IF(J963&lt;45,"35-44",IF(J963&lt;55,"45-54","55+"))))</f>
        <v>25-34</v>
      </c>
    </row>
    <row r="964" spans="1:21">
      <c r="A964" t="s">
        <v>996</v>
      </c>
      <c r="B964" s="8">
        <v>7656</v>
      </c>
      <c r="C964" s="23">
        <v>0.19670000000000001</v>
      </c>
      <c r="D964" s="19" t="s">
        <v>28</v>
      </c>
      <c r="E964" s="21">
        <v>93.069000000000003</v>
      </c>
      <c r="F964" s="21">
        <v>4.1630000000000003</v>
      </c>
      <c r="G964" s="23">
        <v>0</v>
      </c>
      <c r="H964" s="26">
        <v>0</v>
      </c>
      <c r="I964" s="19" t="s">
        <v>17</v>
      </c>
      <c r="J964" s="8">
        <v>41</v>
      </c>
      <c r="K964" s="19" t="s">
        <v>37</v>
      </c>
      <c r="L964" s="19" t="s">
        <v>23</v>
      </c>
      <c r="M964" s="8">
        <v>2</v>
      </c>
      <c r="N964" s="33">
        <f t="shared" si="120"/>
        <v>0</v>
      </c>
      <c r="O964" s="23">
        <f t="shared" si="121"/>
        <v>4.7249579630074465E-2</v>
      </c>
      <c r="P964" s="59">
        <f t="shared" si="122"/>
        <v>4.4730253897645837E-2</v>
      </c>
      <c r="Q964" s="30">
        <f t="shared" si="123"/>
        <v>0</v>
      </c>
      <c r="R964" s="30">
        <f t="shared" si="124"/>
        <v>-1</v>
      </c>
      <c r="S964" s="12">
        <f t="shared" si="125"/>
        <v>0</v>
      </c>
      <c r="T964" s="30">
        <f t="shared" si="126"/>
        <v>0</v>
      </c>
      <c r="U964" s="9" t="str">
        <f t="shared" si="127"/>
        <v>35-44</v>
      </c>
    </row>
    <row r="965" spans="1:21">
      <c r="A965" t="s">
        <v>997</v>
      </c>
      <c r="B965" s="8">
        <v>5403</v>
      </c>
      <c r="C965" s="23">
        <v>0.13650999999999999</v>
      </c>
      <c r="D965" s="19" t="s">
        <v>25</v>
      </c>
      <c r="E965" s="21">
        <v>30.039000000000001</v>
      </c>
      <c r="F965" s="21">
        <v>0.13800000000000001</v>
      </c>
      <c r="G965" s="23">
        <v>0</v>
      </c>
      <c r="H965" s="26">
        <v>0</v>
      </c>
      <c r="I965" s="19" t="s">
        <v>1067</v>
      </c>
      <c r="J965" s="8">
        <v>56</v>
      </c>
      <c r="K965" s="19" t="s">
        <v>22</v>
      </c>
      <c r="L965" s="19" t="s">
        <v>38</v>
      </c>
      <c r="M965" s="8">
        <v>2</v>
      </c>
      <c r="N965" s="33">
        <f t="shared" si="120"/>
        <v>0</v>
      </c>
      <c r="O965" s="23">
        <f t="shared" si="121"/>
        <v>0.98920289855072452</v>
      </c>
      <c r="P965" s="59">
        <f t="shared" si="122"/>
        <v>4.5940277639069209E-3</v>
      </c>
      <c r="Q965" s="30">
        <f t="shared" si="123"/>
        <v>0</v>
      </c>
      <c r="R965" s="30">
        <f t="shared" si="124"/>
        <v>-1</v>
      </c>
      <c r="S965" s="12">
        <f t="shared" si="125"/>
        <v>0</v>
      </c>
      <c r="T965" s="30">
        <f t="shared" si="126"/>
        <v>0</v>
      </c>
      <c r="U965" s="9" t="str">
        <f t="shared" si="127"/>
        <v>55+</v>
      </c>
    </row>
    <row r="966" spans="1:21">
      <c r="A966" t="s">
        <v>998</v>
      </c>
      <c r="B966" s="8">
        <v>7789</v>
      </c>
      <c r="C966" s="23">
        <v>8.8900000000000003E-3</v>
      </c>
      <c r="D966" s="19" t="s">
        <v>40</v>
      </c>
      <c r="E966" s="21">
        <v>60.527999999999999</v>
      </c>
      <c r="F966" s="21">
        <v>4.1449999999999996</v>
      </c>
      <c r="G966" s="23">
        <v>0</v>
      </c>
      <c r="H966" s="26">
        <v>0</v>
      </c>
      <c r="I966" s="19" t="s">
        <v>34</v>
      </c>
      <c r="J966" s="8">
        <v>32</v>
      </c>
      <c r="K966" s="19" t="s">
        <v>37</v>
      </c>
      <c r="L966" s="19" t="s">
        <v>38</v>
      </c>
      <c r="M966" s="8" t="s">
        <v>1065</v>
      </c>
      <c r="N966" s="33">
        <f t="shared" si="120"/>
        <v>0</v>
      </c>
      <c r="O966" s="23">
        <f t="shared" si="121"/>
        <v>2.1447527141133897E-3</v>
      </c>
      <c r="P966" s="59">
        <f t="shared" si="122"/>
        <v>6.8480703145651592E-2</v>
      </c>
      <c r="Q966" s="30">
        <f t="shared" si="123"/>
        <v>0</v>
      </c>
      <c r="R966" s="30">
        <f t="shared" si="124"/>
        <v>-1</v>
      </c>
      <c r="S966" s="12">
        <f t="shared" si="125"/>
        <v>0</v>
      </c>
      <c r="T966" s="30">
        <f t="shared" si="126"/>
        <v>0</v>
      </c>
      <c r="U966" s="9" t="str">
        <f t="shared" si="127"/>
        <v>25-34</v>
      </c>
    </row>
    <row r="967" spans="1:21">
      <c r="A967" t="s">
        <v>999</v>
      </c>
      <c r="B967" s="8">
        <v>6835</v>
      </c>
      <c r="C967" s="23">
        <v>0.14452000000000001</v>
      </c>
      <c r="D967" s="19" t="s">
        <v>32</v>
      </c>
      <c r="E967" s="21">
        <v>38.79</v>
      </c>
      <c r="F967" s="21">
        <v>2.35</v>
      </c>
      <c r="G967" s="23">
        <v>0</v>
      </c>
      <c r="H967" s="26">
        <v>0</v>
      </c>
      <c r="I967" s="19" t="s">
        <v>21</v>
      </c>
      <c r="J967" s="8">
        <v>19</v>
      </c>
      <c r="K967" s="19" t="s">
        <v>37</v>
      </c>
      <c r="L967" s="19" t="s">
        <v>19</v>
      </c>
      <c r="M967" s="8">
        <v>1</v>
      </c>
      <c r="N967" s="33">
        <f t="shared" si="120"/>
        <v>0</v>
      </c>
      <c r="O967" s="23">
        <f t="shared" si="121"/>
        <v>6.1497872340425537E-2</v>
      </c>
      <c r="P967" s="59">
        <f t="shared" si="122"/>
        <v>6.0582624387728802E-2</v>
      </c>
      <c r="Q967" s="30">
        <f t="shared" si="123"/>
        <v>0</v>
      </c>
      <c r="R967" s="30">
        <f t="shared" si="124"/>
        <v>-1</v>
      </c>
      <c r="S967" s="12">
        <f t="shared" si="125"/>
        <v>0</v>
      </c>
      <c r="T967" s="30">
        <f t="shared" si="126"/>
        <v>0</v>
      </c>
      <c r="U967" s="9" t="str">
        <f t="shared" si="127"/>
        <v>18-24</v>
      </c>
    </row>
    <row r="968" spans="1:21">
      <c r="A968" t="s">
        <v>1000</v>
      </c>
      <c r="B968" s="8">
        <v>4457</v>
      </c>
      <c r="C968" s="23">
        <v>0.19905999999999999</v>
      </c>
      <c r="D968" s="19" t="s">
        <v>32</v>
      </c>
      <c r="E968" s="21">
        <v>35.430999999999997</v>
      </c>
      <c r="F968" s="21">
        <v>6.8120000000000003</v>
      </c>
      <c r="G968" s="23">
        <v>0</v>
      </c>
      <c r="H968" s="26">
        <v>0</v>
      </c>
      <c r="I968" s="19" t="s">
        <v>34</v>
      </c>
      <c r="J968" s="8">
        <v>46</v>
      </c>
      <c r="K968" s="19" t="s">
        <v>18</v>
      </c>
      <c r="L968" s="19" t="s">
        <v>23</v>
      </c>
      <c r="M968" s="8">
        <v>4</v>
      </c>
      <c r="N968" s="33">
        <f t="shared" si="120"/>
        <v>0</v>
      </c>
      <c r="O968" s="23">
        <f t="shared" si="121"/>
        <v>2.9221961244862007E-2</v>
      </c>
      <c r="P968" s="59">
        <f t="shared" si="122"/>
        <v>0.19226101436595075</v>
      </c>
      <c r="Q968" s="30">
        <f t="shared" si="123"/>
        <v>0</v>
      </c>
      <c r="R968" s="30">
        <f t="shared" si="124"/>
        <v>-1</v>
      </c>
      <c r="S968" s="12">
        <f t="shared" si="125"/>
        <v>0</v>
      </c>
      <c r="T968" s="30">
        <f t="shared" si="126"/>
        <v>0</v>
      </c>
      <c r="U968" s="9" t="str">
        <f t="shared" si="127"/>
        <v>45-54</v>
      </c>
    </row>
    <row r="969" spans="1:21">
      <c r="A969" t="s">
        <v>1001</v>
      </c>
      <c r="B969" s="8">
        <v>8013</v>
      </c>
      <c r="C969" s="23">
        <v>0.10899</v>
      </c>
      <c r="D969" s="19" t="s">
        <v>28</v>
      </c>
      <c r="E969" s="21">
        <v>10.050000000000001</v>
      </c>
      <c r="F969" s="21">
        <v>8.5920000000000005</v>
      </c>
      <c r="G969" s="23">
        <v>0</v>
      </c>
      <c r="H969" s="26">
        <v>0</v>
      </c>
      <c r="I969" s="19" t="s">
        <v>29</v>
      </c>
      <c r="J969" s="8">
        <v>41</v>
      </c>
      <c r="K969" s="19" t="s">
        <v>18</v>
      </c>
      <c r="L969" s="19" t="s">
        <v>38</v>
      </c>
      <c r="M969" s="8">
        <v>3</v>
      </c>
      <c r="N969" s="33">
        <f t="shared" si="120"/>
        <v>0</v>
      </c>
      <c r="O969" s="23">
        <f t="shared" si="121"/>
        <v>1.2685055865921788E-2</v>
      </c>
      <c r="P969" s="59">
        <f t="shared" si="122"/>
        <v>0.85492537313432837</v>
      </c>
      <c r="Q969" s="30">
        <f t="shared" si="123"/>
        <v>0</v>
      </c>
      <c r="R969" s="30">
        <f t="shared" si="124"/>
        <v>-1</v>
      </c>
      <c r="S969" s="12">
        <f t="shared" si="125"/>
        <v>0</v>
      </c>
      <c r="T969" s="30">
        <f t="shared" si="126"/>
        <v>0</v>
      </c>
      <c r="U969" s="9" t="str">
        <f t="shared" si="127"/>
        <v>35-44</v>
      </c>
    </row>
    <row r="970" spans="1:21">
      <c r="A970" t="s">
        <v>1002</v>
      </c>
      <c r="B970" s="8">
        <v>8595</v>
      </c>
      <c r="C970" s="23">
        <v>2.4140000000000002E-2</v>
      </c>
      <c r="D970" s="19" t="s">
        <v>40</v>
      </c>
      <c r="E970" s="21">
        <v>92.159000000000006</v>
      </c>
      <c r="F970" s="21">
        <v>2.7440000000000002</v>
      </c>
      <c r="G970" s="23">
        <v>0</v>
      </c>
      <c r="H970" s="26">
        <v>1</v>
      </c>
      <c r="I970" s="19" t="s">
        <v>34</v>
      </c>
      <c r="J970" s="8">
        <v>19</v>
      </c>
      <c r="K970" s="19" t="s">
        <v>37</v>
      </c>
      <c r="L970" s="19" t="s">
        <v>38</v>
      </c>
      <c r="M970" s="8">
        <v>3</v>
      </c>
      <c r="N970" s="33">
        <f t="shared" si="120"/>
        <v>0.36443148688046645</v>
      </c>
      <c r="O970" s="23">
        <f t="shared" si="121"/>
        <v>8.7973760932944598E-3</v>
      </c>
      <c r="P970" s="59">
        <f t="shared" si="122"/>
        <v>2.9774628630953027E-2</v>
      </c>
      <c r="Q970" s="30">
        <f t="shared" si="123"/>
        <v>2.4140000000000002E-2</v>
      </c>
      <c r="R970" s="30">
        <f t="shared" si="124"/>
        <v>-1</v>
      </c>
      <c r="S970" s="12">
        <f t="shared" si="125"/>
        <v>0</v>
      </c>
      <c r="T970" s="30">
        <f t="shared" si="126"/>
        <v>0</v>
      </c>
      <c r="U970" s="9" t="str">
        <f t="shared" si="127"/>
        <v>18-24</v>
      </c>
    </row>
    <row r="971" spans="1:21">
      <c r="A971" t="s">
        <v>1003</v>
      </c>
      <c r="B971" s="8">
        <v>5681</v>
      </c>
      <c r="C971" s="23">
        <v>0.14437</v>
      </c>
      <c r="D971" s="19" t="s">
        <v>28</v>
      </c>
      <c r="E971" s="21">
        <v>3.8570000000000002</v>
      </c>
      <c r="F971" s="21">
        <v>7.12</v>
      </c>
      <c r="G971" s="23">
        <v>0</v>
      </c>
      <c r="H971" s="26">
        <v>0</v>
      </c>
      <c r="I971" s="19" t="s">
        <v>29</v>
      </c>
      <c r="J971" s="8">
        <v>58</v>
      </c>
      <c r="K971" s="19" t="s">
        <v>31</v>
      </c>
      <c r="L971" s="19" t="s">
        <v>38</v>
      </c>
      <c r="M971" s="8">
        <v>3</v>
      </c>
      <c r="N971" s="33">
        <f t="shared" si="120"/>
        <v>0</v>
      </c>
      <c r="O971" s="23">
        <f t="shared" si="121"/>
        <v>2.0276685393258425E-2</v>
      </c>
      <c r="P971" s="59">
        <f t="shared" si="122"/>
        <v>1.8459942960850402</v>
      </c>
      <c r="Q971" s="30">
        <f t="shared" si="123"/>
        <v>0</v>
      </c>
      <c r="R971" s="30">
        <f t="shared" si="124"/>
        <v>-1</v>
      </c>
      <c r="S971" s="12">
        <f t="shared" si="125"/>
        <v>0</v>
      </c>
      <c r="T971" s="30">
        <f t="shared" si="126"/>
        <v>0</v>
      </c>
      <c r="U971" s="9" t="str">
        <f t="shared" si="127"/>
        <v>55+</v>
      </c>
    </row>
    <row r="972" spans="1:21">
      <c r="A972" t="s">
        <v>1004</v>
      </c>
      <c r="B972" s="8">
        <v>9670</v>
      </c>
      <c r="C972" s="23">
        <v>0.15987000000000001</v>
      </c>
      <c r="D972" s="19" t="s">
        <v>15</v>
      </c>
      <c r="E972" s="21">
        <v>25.869</v>
      </c>
      <c r="F972" s="21">
        <v>1.3340000000000001</v>
      </c>
      <c r="G972" s="23">
        <v>0</v>
      </c>
      <c r="H972" s="26">
        <v>0</v>
      </c>
      <c r="I972" s="19" t="s">
        <v>29</v>
      </c>
      <c r="J972" s="8">
        <v>24</v>
      </c>
      <c r="K972" s="19" t="s">
        <v>22</v>
      </c>
      <c r="L972" s="19" t="s">
        <v>23</v>
      </c>
      <c r="M972" s="8">
        <v>3</v>
      </c>
      <c r="N972" s="33">
        <f t="shared" si="120"/>
        <v>0</v>
      </c>
      <c r="O972" s="23">
        <f t="shared" si="121"/>
        <v>0.11984257871064467</v>
      </c>
      <c r="P972" s="59">
        <f t="shared" si="122"/>
        <v>5.1567513239785076E-2</v>
      </c>
      <c r="Q972" s="30">
        <f t="shared" si="123"/>
        <v>0</v>
      </c>
      <c r="R972" s="30">
        <f t="shared" si="124"/>
        <v>-1</v>
      </c>
      <c r="S972" s="12">
        <f t="shared" si="125"/>
        <v>0</v>
      </c>
      <c r="T972" s="30">
        <f t="shared" si="126"/>
        <v>0</v>
      </c>
      <c r="U972" s="9" t="str">
        <f t="shared" si="127"/>
        <v>18-24</v>
      </c>
    </row>
    <row r="973" spans="1:21">
      <c r="A973" t="s">
        <v>1005</v>
      </c>
      <c r="B973" s="8">
        <v>8684</v>
      </c>
      <c r="C973" s="23">
        <v>6.1260000000000002E-2</v>
      </c>
      <c r="D973" s="19" t="s">
        <v>15</v>
      </c>
      <c r="E973" s="21">
        <v>86.731999999999999</v>
      </c>
      <c r="F973" s="21">
        <v>7.5960000000000001</v>
      </c>
      <c r="G973" s="23">
        <v>0</v>
      </c>
      <c r="H973" s="26">
        <v>0</v>
      </c>
      <c r="I973" s="19" t="s">
        <v>29</v>
      </c>
      <c r="J973" s="8">
        <v>56</v>
      </c>
      <c r="K973" s="19" t="s">
        <v>22</v>
      </c>
      <c r="L973" s="19" t="s">
        <v>45</v>
      </c>
      <c r="M973" s="8">
        <v>2</v>
      </c>
      <c r="N973" s="33">
        <f t="shared" si="120"/>
        <v>0</v>
      </c>
      <c r="O973" s="23">
        <f t="shared" si="121"/>
        <v>8.0647709320695107E-3</v>
      </c>
      <c r="P973" s="59">
        <f t="shared" si="122"/>
        <v>8.7580131900567265E-2</v>
      </c>
      <c r="Q973" s="30">
        <f t="shared" si="123"/>
        <v>0</v>
      </c>
      <c r="R973" s="30">
        <f t="shared" si="124"/>
        <v>-1</v>
      </c>
      <c r="S973" s="12">
        <f t="shared" si="125"/>
        <v>0</v>
      </c>
      <c r="T973" s="30">
        <f t="shared" si="126"/>
        <v>0</v>
      </c>
      <c r="U973" s="9" t="str">
        <f t="shared" si="127"/>
        <v>55+</v>
      </c>
    </row>
    <row r="974" spans="1:21">
      <c r="A974" t="s">
        <v>1006</v>
      </c>
      <c r="B974" s="8">
        <v>7657</v>
      </c>
      <c r="C974" s="23">
        <v>3.04E-2</v>
      </c>
      <c r="D974" s="19" t="s">
        <v>15</v>
      </c>
      <c r="E974" s="21">
        <v>78.346000000000004</v>
      </c>
      <c r="F974" s="21">
        <v>1.401</v>
      </c>
      <c r="G974" s="23">
        <v>0</v>
      </c>
      <c r="H974" s="26">
        <v>0</v>
      </c>
      <c r="I974" s="19" t="s">
        <v>26</v>
      </c>
      <c r="J974" s="8">
        <v>37</v>
      </c>
      <c r="K974" s="19" t="s">
        <v>31</v>
      </c>
      <c r="L974" s="19" t="s">
        <v>32</v>
      </c>
      <c r="M974" s="8">
        <v>3</v>
      </c>
      <c r="N974" s="33">
        <f t="shared" si="120"/>
        <v>0</v>
      </c>
      <c r="O974" s="23">
        <f t="shared" si="121"/>
        <v>2.1698786581013561E-2</v>
      </c>
      <c r="P974" s="59">
        <f t="shared" si="122"/>
        <v>1.7882214790799784E-2</v>
      </c>
      <c r="Q974" s="30">
        <f t="shared" si="123"/>
        <v>0</v>
      </c>
      <c r="R974" s="30">
        <f t="shared" si="124"/>
        <v>-1</v>
      </c>
      <c r="S974" s="12">
        <f t="shared" si="125"/>
        <v>0</v>
      </c>
      <c r="T974" s="30">
        <f t="shared" si="126"/>
        <v>0</v>
      </c>
      <c r="U974" s="9" t="str">
        <f t="shared" si="127"/>
        <v>35-44</v>
      </c>
    </row>
    <row r="975" spans="1:21">
      <c r="A975" t="s">
        <v>1007</v>
      </c>
      <c r="B975" s="8">
        <v>6495</v>
      </c>
      <c r="C975" s="23">
        <v>3.6339999999999997E-2</v>
      </c>
      <c r="D975" s="19" t="s">
        <v>28</v>
      </c>
      <c r="E975" s="21">
        <v>47.345999999999997</v>
      </c>
      <c r="F975" s="21">
        <v>1.5029999999999999</v>
      </c>
      <c r="G975" s="23">
        <v>0</v>
      </c>
      <c r="H975" s="26">
        <v>0</v>
      </c>
      <c r="I975" s="19" t="s">
        <v>17</v>
      </c>
      <c r="J975" s="8">
        <v>18</v>
      </c>
      <c r="K975" s="19" t="s">
        <v>18</v>
      </c>
      <c r="L975" s="19" t="s">
        <v>23</v>
      </c>
      <c r="M975" s="8">
        <v>1</v>
      </c>
      <c r="N975" s="33">
        <f t="shared" si="120"/>
        <v>0</v>
      </c>
      <c r="O975" s="23">
        <f t="shared" si="121"/>
        <v>2.4178310046573521E-2</v>
      </c>
      <c r="P975" s="59">
        <f t="shared" si="122"/>
        <v>3.1745025978963379E-2</v>
      </c>
      <c r="Q975" s="30">
        <f t="shared" si="123"/>
        <v>0</v>
      </c>
      <c r="R975" s="30">
        <f t="shared" si="124"/>
        <v>-1</v>
      </c>
      <c r="S975" s="12">
        <f t="shared" si="125"/>
        <v>0</v>
      </c>
      <c r="T975" s="30">
        <f t="shared" si="126"/>
        <v>0</v>
      </c>
      <c r="U975" s="9" t="str">
        <f t="shared" si="127"/>
        <v>18-24</v>
      </c>
    </row>
    <row r="976" spans="1:21">
      <c r="A976" t="s">
        <v>1008</v>
      </c>
      <c r="B976" s="8">
        <v>1900</v>
      </c>
      <c r="C976" s="23">
        <v>6.6460000000000005E-2</v>
      </c>
      <c r="D976" s="19" t="s">
        <v>28</v>
      </c>
      <c r="E976" s="21">
        <v>62.408999999999999</v>
      </c>
      <c r="F976" s="21">
        <v>3.5289999999999999</v>
      </c>
      <c r="G976" s="23">
        <v>0</v>
      </c>
      <c r="H976" s="26">
        <v>0</v>
      </c>
      <c r="I976" s="19" t="s">
        <v>34</v>
      </c>
      <c r="J976" s="8">
        <v>31</v>
      </c>
      <c r="K976" s="19" t="s">
        <v>31</v>
      </c>
      <c r="L976" s="19" t="s">
        <v>38</v>
      </c>
      <c r="M976" s="8">
        <v>1</v>
      </c>
      <c r="N976" s="33">
        <f t="shared" si="120"/>
        <v>0</v>
      </c>
      <c r="O976" s="23">
        <f t="shared" si="121"/>
        <v>1.8832530461887223E-2</v>
      </c>
      <c r="P976" s="59">
        <f t="shared" si="122"/>
        <v>5.654633145860373E-2</v>
      </c>
      <c r="Q976" s="30">
        <f t="shared" si="123"/>
        <v>0</v>
      </c>
      <c r="R976" s="30">
        <f t="shared" si="124"/>
        <v>-1</v>
      </c>
      <c r="S976" s="12">
        <f t="shared" si="125"/>
        <v>0</v>
      </c>
      <c r="T976" s="30">
        <f t="shared" si="126"/>
        <v>0</v>
      </c>
      <c r="U976" s="9" t="str">
        <f t="shared" si="127"/>
        <v>25-34</v>
      </c>
    </row>
    <row r="977" spans="1:21">
      <c r="A977" t="s">
        <v>1009</v>
      </c>
      <c r="B977" s="8">
        <v>6623</v>
      </c>
      <c r="C977" s="23">
        <v>7.492E-2</v>
      </c>
      <c r="D977" s="19" t="s">
        <v>15</v>
      </c>
      <c r="E977" s="21">
        <v>54.704999999999998</v>
      </c>
      <c r="F977" s="21">
        <v>9.3109999999999999</v>
      </c>
      <c r="G977" s="23">
        <v>0</v>
      </c>
      <c r="H977" s="26">
        <v>0</v>
      </c>
      <c r="I977" s="19" t="s">
        <v>29</v>
      </c>
      <c r="J977" s="8">
        <v>50</v>
      </c>
      <c r="K977" s="19" t="s">
        <v>22</v>
      </c>
      <c r="L977" s="19" t="s">
        <v>45</v>
      </c>
      <c r="M977" s="8">
        <v>5</v>
      </c>
      <c r="N977" s="33">
        <f t="shared" si="120"/>
        <v>0</v>
      </c>
      <c r="O977" s="23">
        <f t="shared" si="121"/>
        <v>8.0463967350445711E-3</v>
      </c>
      <c r="P977" s="59">
        <f t="shared" si="122"/>
        <v>0.17020382049172836</v>
      </c>
      <c r="Q977" s="30">
        <f t="shared" si="123"/>
        <v>0</v>
      </c>
      <c r="R977" s="30">
        <f t="shared" si="124"/>
        <v>-1</v>
      </c>
      <c r="S977" s="12">
        <f t="shared" si="125"/>
        <v>0</v>
      </c>
      <c r="T977" s="30">
        <f t="shared" si="126"/>
        <v>0</v>
      </c>
      <c r="U977" s="9" t="str">
        <f t="shared" si="127"/>
        <v>45-54</v>
      </c>
    </row>
    <row r="978" spans="1:21">
      <c r="A978" t="s">
        <v>1010</v>
      </c>
      <c r="B978" s="8">
        <v>6137</v>
      </c>
      <c r="C978" s="23">
        <v>0</v>
      </c>
      <c r="D978" s="19" t="s">
        <v>28</v>
      </c>
      <c r="E978" s="21">
        <v>18.434999999999999</v>
      </c>
      <c r="F978" s="21">
        <v>1.0649999999999999</v>
      </c>
      <c r="G978" s="23">
        <v>0</v>
      </c>
      <c r="H978" s="26">
        <v>0</v>
      </c>
      <c r="I978" s="19" t="s">
        <v>17</v>
      </c>
      <c r="J978" s="8">
        <v>54</v>
      </c>
      <c r="K978" s="19" t="s">
        <v>31</v>
      </c>
      <c r="L978" s="19" t="s">
        <v>45</v>
      </c>
      <c r="M978" s="8">
        <v>4</v>
      </c>
      <c r="N978" s="33">
        <f t="shared" si="120"/>
        <v>0</v>
      </c>
      <c r="O978" s="23">
        <f t="shared" si="121"/>
        <v>0</v>
      </c>
      <c r="P978" s="59">
        <f t="shared" si="122"/>
        <v>5.777054515866558E-2</v>
      </c>
      <c r="Q978" s="30">
        <f t="shared" si="123"/>
        <v>0</v>
      </c>
      <c r="R978" s="30">
        <f t="shared" si="124"/>
        <v>0</v>
      </c>
      <c r="S978" s="12">
        <f t="shared" si="125"/>
        <v>0</v>
      </c>
      <c r="T978" s="30">
        <f t="shared" si="126"/>
        <v>0</v>
      </c>
      <c r="U978" s="9" t="str">
        <f t="shared" si="127"/>
        <v>45-54</v>
      </c>
    </row>
    <row r="979" spans="1:21">
      <c r="A979" t="s">
        <v>1011</v>
      </c>
      <c r="B979" s="8">
        <v>4519</v>
      </c>
      <c r="C979" s="23">
        <v>0.18984999999999999</v>
      </c>
      <c r="D979" s="19" t="s">
        <v>32</v>
      </c>
      <c r="E979" s="21">
        <v>85.507000000000005</v>
      </c>
      <c r="F979" s="21">
        <v>0.64500000000000002</v>
      </c>
      <c r="G979" s="23">
        <v>0</v>
      </c>
      <c r="H979" s="26">
        <v>0</v>
      </c>
      <c r="I979" s="19" t="s">
        <v>1067</v>
      </c>
      <c r="J979" s="8">
        <v>39</v>
      </c>
      <c r="K979" s="19" t="s">
        <v>22</v>
      </c>
      <c r="L979" s="19" t="s">
        <v>45</v>
      </c>
      <c r="M979" s="8">
        <v>4</v>
      </c>
      <c r="N979" s="33">
        <f t="shared" si="120"/>
        <v>0</v>
      </c>
      <c r="O979" s="23">
        <f t="shared" si="121"/>
        <v>0.2943410852713178</v>
      </c>
      <c r="P979" s="59">
        <f t="shared" si="122"/>
        <v>7.5432420737483481E-3</v>
      </c>
      <c r="Q979" s="30">
        <f t="shared" si="123"/>
        <v>0</v>
      </c>
      <c r="R979" s="30">
        <f t="shared" si="124"/>
        <v>-1</v>
      </c>
      <c r="S979" s="12">
        <f t="shared" si="125"/>
        <v>0</v>
      </c>
      <c r="T979" s="30">
        <f t="shared" si="126"/>
        <v>0</v>
      </c>
      <c r="U979" s="9" t="str">
        <f t="shared" si="127"/>
        <v>35-44</v>
      </c>
    </row>
    <row r="980" spans="1:21">
      <c r="A980" t="s">
        <v>1012</v>
      </c>
      <c r="B980" s="8">
        <v>4124</v>
      </c>
      <c r="C980" s="23">
        <v>0.13427</v>
      </c>
      <c r="D980" s="19" t="s">
        <v>15</v>
      </c>
      <c r="E980" s="21">
        <v>75.766000000000005</v>
      </c>
      <c r="F980" s="21">
        <v>7.4</v>
      </c>
      <c r="G980" s="23">
        <v>0</v>
      </c>
      <c r="H980" s="26">
        <v>0</v>
      </c>
      <c r="I980" s="19" t="s">
        <v>26</v>
      </c>
      <c r="J980" s="8">
        <v>56</v>
      </c>
      <c r="K980" s="19" t="s">
        <v>22</v>
      </c>
      <c r="L980" s="19" t="s">
        <v>38</v>
      </c>
      <c r="M980" s="8" t="s">
        <v>1065</v>
      </c>
      <c r="N980" s="33">
        <f t="shared" si="120"/>
        <v>0</v>
      </c>
      <c r="O980" s="23">
        <f t="shared" si="121"/>
        <v>1.8144594594594592E-2</v>
      </c>
      <c r="P980" s="59">
        <f t="shared" si="122"/>
        <v>9.7669139191721877E-2</v>
      </c>
      <c r="Q980" s="30">
        <f t="shared" si="123"/>
        <v>0</v>
      </c>
      <c r="R980" s="30">
        <f t="shared" si="124"/>
        <v>-1</v>
      </c>
      <c r="S980" s="12">
        <f t="shared" si="125"/>
        <v>0</v>
      </c>
      <c r="T980" s="30">
        <f t="shared" si="126"/>
        <v>0</v>
      </c>
      <c r="U980" s="9" t="str">
        <f t="shared" si="127"/>
        <v>55+</v>
      </c>
    </row>
    <row r="981" spans="1:21">
      <c r="A981" t="s">
        <v>1013</v>
      </c>
      <c r="B981" s="8">
        <v>1175</v>
      </c>
      <c r="C981" s="23">
        <v>6.182E-2</v>
      </c>
      <c r="D981" s="19" t="s">
        <v>25</v>
      </c>
      <c r="E981" s="21">
        <v>40.718000000000004</v>
      </c>
      <c r="F981" s="21">
        <v>2.8919999999999999</v>
      </c>
      <c r="G981" s="23">
        <v>0</v>
      </c>
      <c r="H981" s="26">
        <v>0</v>
      </c>
      <c r="I981" s="19" t="s">
        <v>17</v>
      </c>
      <c r="J981" s="8">
        <v>26</v>
      </c>
      <c r="K981" s="19" t="s">
        <v>31</v>
      </c>
      <c r="L981" s="19" t="s">
        <v>45</v>
      </c>
      <c r="M981" s="8">
        <v>2</v>
      </c>
      <c r="N981" s="33">
        <f t="shared" si="120"/>
        <v>0</v>
      </c>
      <c r="O981" s="23">
        <f t="shared" si="121"/>
        <v>2.1376210235131397E-2</v>
      </c>
      <c r="P981" s="59">
        <f t="shared" si="122"/>
        <v>7.1025099464610233E-2</v>
      </c>
      <c r="Q981" s="30">
        <f t="shared" si="123"/>
        <v>0</v>
      </c>
      <c r="R981" s="30">
        <f t="shared" si="124"/>
        <v>-1</v>
      </c>
      <c r="S981" s="12">
        <f t="shared" si="125"/>
        <v>0</v>
      </c>
      <c r="T981" s="30">
        <f t="shared" si="126"/>
        <v>0</v>
      </c>
      <c r="U981" s="9" t="str">
        <f t="shared" si="127"/>
        <v>25-34</v>
      </c>
    </row>
    <row r="982" spans="1:21">
      <c r="A982" t="s">
        <v>1014</v>
      </c>
      <c r="B982" s="8">
        <v>3890</v>
      </c>
      <c r="C982" s="23">
        <v>0.10942</v>
      </c>
      <c r="D982" s="19" t="s">
        <v>28</v>
      </c>
      <c r="E982" s="21">
        <v>35.765999999999998</v>
      </c>
      <c r="F982" s="21">
        <v>2.8340000000000001</v>
      </c>
      <c r="G982" s="23">
        <v>0</v>
      </c>
      <c r="H982" s="26">
        <v>0</v>
      </c>
      <c r="I982" s="19" t="s">
        <v>21</v>
      </c>
      <c r="J982" s="8">
        <v>25</v>
      </c>
      <c r="K982" s="19" t="s">
        <v>18</v>
      </c>
      <c r="L982" s="19" t="s">
        <v>38</v>
      </c>
      <c r="M982" s="8">
        <v>1</v>
      </c>
      <c r="N982" s="33">
        <f t="shared" si="120"/>
        <v>0</v>
      </c>
      <c r="O982" s="23">
        <f t="shared" si="121"/>
        <v>3.8609738884968242E-2</v>
      </c>
      <c r="P982" s="59">
        <f t="shared" si="122"/>
        <v>7.9237264441089306E-2</v>
      </c>
      <c r="Q982" s="30">
        <f t="shared" si="123"/>
        <v>0</v>
      </c>
      <c r="R982" s="30">
        <f t="shared" si="124"/>
        <v>-1</v>
      </c>
      <c r="S982" s="12">
        <f t="shared" si="125"/>
        <v>0</v>
      </c>
      <c r="T982" s="30">
        <f t="shared" si="126"/>
        <v>0</v>
      </c>
      <c r="U982" s="9" t="str">
        <f t="shared" si="127"/>
        <v>25-34</v>
      </c>
    </row>
    <row r="983" spans="1:21">
      <c r="A983" t="s">
        <v>1015</v>
      </c>
      <c r="B983" s="8">
        <v>4581</v>
      </c>
      <c r="C983" s="23">
        <v>0.17385</v>
      </c>
      <c r="D983" s="19" t="s">
        <v>40</v>
      </c>
      <c r="E983" s="21">
        <v>34.878</v>
      </c>
      <c r="F983" s="21">
        <v>9.8409999999999993</v>
      </c>
      <c r="G983" s="23">
        <v>0</v>
      </c>
      <c r="H983" s="26">
        <v>0</v>
      </c>
      <c r="I983" s="19" t="s">
        <v>17</v>
      </c>
      <c r="J983" s="8">
        <v>34</v>
      </c>
      <c r="K983" s="19" t="s">
        <v>18</v>
      </c>
      <c r="L983" s="19" t="s">
        <v>45</v>
      </c>
      <c r="M983" s="8">
        <v>1</v>
      </c>
      <c r="N983" s="33">
        <f t="shared" si="120"/>
        <v>0</v>
      </c>
      <c r="O983" s="23">
        <f t="shared" si="121"/>
        <v>1.7665887613047455E-2</v>
      </c>
      <c r="P983" s="59">
        <f t="shared" si="122"/>
        <v>0.28215494007683922</v>
      </c>
      <c r="Q983" s="30">
        <f t="shared" si="123"/>
        <v>0</v>
      </c>
      <c r="R983" s="30">
        <f t="shared" si="124"/>
        <v>-1</v>
      </c>
      <c r="S983" s="12">
        <f t="shared" si="125"/>
        <v>0</v>
      </c>
      <c r="T983" s="30">
        <f t="shared" si="126"/>
        <v>0</v>
      </c>
      <c r="U983" s="9" t="str">
        <f t="shared" si="127"/>
        <v>25-34</v>
      </c>
    </row>
    <row r="984" spans="1:21">
      <c r="A984" t="s">
        <v>1016</v>
      </c>
      <c r="B984" s="8">
        <v>8728</v>
      </c>
      <c r="C984" s="23">
        <v>7.8640000000000002E-2</v>
      </c>
      <c r="D984" s="19" t="s">
        <v>40</v>
      </c>
      <c r="E984" s="21">
        <v>70.539000000000001</v>
      </c>
      <c r="F984" s="21">
        <v>5.3620000000000001</v>
      </c>
      <c r="G984" s="23">
        <v>0</v>
      </c>
      <c r="H984" s="26">
        <v>0</v>
      </c>
      <c r="I984" s="19" t="s">
        <v>17</v>
      </c>
      <c r="J984" s="8">
        <v>41</v>
      </c>
      <c r="K984" s="19" t="s">
        <v>37</v>
      </c>
      <c r="L984" s="19" t="s">
        <v>45</v>
      </c>
      <c r="M984" s="8">
        <v>5</v>
      </c>
      <c r="N984" s="33">
        <f t="shared" si="120"/>
        <v>0</v>
      </c>
      <c r="O984" s="23">
        <f t="shared" si="121"/>
        <v>1.4666169339798583E-2</v>
      </c>
      <c r="P984" s="59">
        <f t="shared" si="122"/>
        <v>7.6014686910786944E-2</v>
      </c>
      <c r="Q984" s="30">
        <f t="shared" si="123"/>
        <v>0</v>
      </c>
      <c r="R984" s="30">
        <f t="shared" si="124"/>
        <v>-1</v>
      </c>
      <c r="S984" s="12">
        <f t="shared" si="125"/>
        <v>0</v>
      </c>
      <c r="T984" s="30">
        <f t="shared" si="126"/>
        <v>0</v>
      </c>
      <c r="U984" s="9" t="str">
        <f t="shared" si="127"/>
        <v>35-44</v>
      </c>
    </row>
    <row r="985" spans="1:21">
      <c r="A985" t="s">
        <v>1017</v>
      </c>
      <c r="B985" s="8">
        <v>3493</v>
      </c>
      <c r="C985" s="23">
        <v>0</v>
      </c>
      <c r="D985" s="19" t="s">
        <v>15</v>
      </c>
      <c r="E985" s="21">
        <v>39.246000000000002</v>
      </c>
      <c r="F985" s="21">
        <v>2.5760000000000001</v>
      </c>
      <c r="G985" s="23">
        <v>0</v>
      </c>
      <c r="H985" s="26">
        <v>0</v>
      </c>
      <c r="I985" s="19" t="s">
        <v>26</v>
      </c>
      <c r="J985" s="8">
        <v>50</v>
      </c>
      <c r="K985" s="19" t="s">
        <v>31</v>
      </c>
      <c r="L985" s="19" t="s">
        <v>32</v>
      </c>
      <c r="M985" s="8">
        <v>2</v>
      </c>
      <c r="N985" s="33">
        <f t="shared" si="120"/>
        <v>0</v>
      </c>
      <c r="O985" s="23">
        <f t="shared" si="121"/>
        <v>0</v>
      </c>
      <c r="P985" s="59">
        <f t="shared" si="122"/>
        <v>6.5637262396167767E-2</v>
      </c>
      <c r="Q985" s="30">
        <f t="shared" si="123"/>
        <v>0</v>
      </c>
      <c r="R985" s="30">
        <f t="shared" si="124"/>
        <v>0</v>
      </c>
      <c r="S985" s="12">
        <f t="shared" si="125"/>
        <v>0</v>
      </c>
      <c r="T985" s="30">
        <f t="shared" si="126"/>
        <v>0</v>
      </c>
      <c r="U985" s="9" t="str">
        <f t="shared" si="127"/>
        <v>45-54</v>
      </c>
    </row>
    <row r="986" spans="1:21">
      <c r="A986" t="s">
        <v>1018</v>
      </c>
      <c r="B986" s="8">
        <v>7530</v>
      </c>
      <c r="C986" s="23">
        <v>0.13650000000000001</v>
      </c>
      <c r="D986" s="19" t="s">
        <v>45</v>
      </c>
      <c r="E986" s="21">
        <v>84.025999999999996</v>
      </c>
      <c r="F986" s="21">
        <v>0.66500000000000004</v>
      </c>
      <c r="G986" s="23">
        <v>0</v>
      </c>
      <c r="H986" s="26">
        <v>0</v>
      </c>
      <c r="I986" s="19" t="s">
        <v>21</v>
      </c>
      <c r="J986" s="8">
        <v>39</v>
      </c>
      <c r="K986" s="19" t="s">
        <v>37</v>
      </c>
      <c r="L986" s="19" t="s">
        <v>45</v>
      </c>
      <c r="M986" s="8">
        <v>5</v>
      </c>
      <c r="N986" s="33">
        <f t="shared" si="120"/>
        <v>0</v>
      </c>
      <c r="O986" s="23">
        <f t="shared" si="121"/>
        <v>0.20526315789473684</v>
      </c>
      <c r="P986" s="59">
        <f t="shared" si="122"/>
        <v>7.9142170280627425E-3</v>
      </c>
      <c r="Q986" s="30">
        <f t="shared" si="123"/>
        <v>0</v>
      </c>
      <c r="R986" s="30">
        <f t="shared" si="124"/>
        <v>-1</v>
      </c>
      <c r="S986" s="12">
        <f t="shared" si="125"/>
        <v>0</v>
      </c>
      <c r="T986" s="30">
        <f t="shared" si="126"/>
        <v>0</v>
      </c>
      <c r="U986" s="9" t="str">
        <f t="shared" si="127"/>
        <v>35-44</v>
      </c>
    </row>
    <row r="987" spans="1:21">
      <c r="A987" t="s">
        <v>1019</v>
      </c>
      <c r="B987" s="8">
        <v>8375</v>
      </c>
      <c r="C987" s="23">
        <v>0.13109000000000001</v>
      </c>
      <c r="D987" s="19" t="s">
        <v>28</v>
      </c>
      <c r="E987" s="21">
        <v>86.866</v>
      </c>
      <c r="F987" s="21">
        <v>4.524</v>
      </c>
      <c r="G987" s="23">
        <v>0</v>
      </c>
      <c r="H987" s="26">
        <v>1</v>
      </c>
      <c r="I987" s="19" t="s">
        <v>29</v>
      </c>
      <c r="J987" s="8">
        <v>31</v>
      </c>
      <c r="K987" s="19" t="s">
        <v>37</v>
      </c>
      <c r="L987" s="19" t="s">
        <v>45</v>
      </c>
      <c r="M987" s="8">
        <v>1</v>
      </c>
      <c r="N987" s="33">
        <f t="shared" si="120"/>
        <v>0.22104332449160036</v>
      </c>
      <c r="O987" s="23">
        <f t="shared" si="121"/>
        <v>2.8976569407603892E-2</v>
      </c>
      <c r="P987" s="59">
        <f t="shared" si="122"/>
        <v>5.208021550434002E-2</v>
      </c>
      <c r="Q987" s="30">
        <f t="shared" si="123"/>
        <v>0.13109000000000001</v>
      </c>
      <c r="R987" s="30">
        <f t="shared" si="124"/>
        <v>-1</v>
      </c>
      <c r="S987" s="12">
        <f t="shared" si="125"/>
        <v>0</v>
      </c>
      <c r="T987" s="30">
        <f t="shared" si="126"/>
        <v>0</v>
      </c>
      <c r="U987" s="9" t="str">
        <f t="shared" si="127"/>
        <v>25-34</v>
      </c>
    </row>
    <row r="988" spans="1:21">
      <c r="A988" t="s">
        <v>1020</v>
      </c>
      <c r="B988" s="8">
        <v>5661</v>
      </c>
      <c r="C988" s="23">
        <v>1.223E-2</v>
      </c>
      <c r="D988" s="19" t="s">
        <v>15</v>
      </c>
      <c r="E988" s="21">
        <v>6.58</v>
      </c>
      <c r="F988" s="21">
        <v>2.4020000000000001</v>
      </c>
      <c r="G988" s="23">
        <v>0</v>
      </c>
      <c r="H988" s="26">
        <v>1</v>
      </c>
      <c r="I988" s="19" t="s">
        <v>26</v>
      </c>
      <c r="J988" s="8">
        <v>49</v>
      </c>
      <c r="K988" s="19" t="s">
        <v>31</v>
      </c>
      <c r="L988" s="19" t="s">
        <v>32</v>
      </c>
      <c r="M988" s="8">
        <v>2</v>
      </c>
      <c r="N988" s="33">
        <f t="shared" si="120"/>
        <v>0.4163197335553705</v>
      </c>
      <c r="O988" s="23">
        <f t="shared" si="121"/>
        <v>5.0915903413821812E-3</v>
      </c>
      <c r="P988" s="59">
        <f t="shared" si="122"/>
        <v>0.36504559270516718</v>
      </c>
      <c r="Q988" s="30">
        <f t="shared" si="123"/>
        <v>1.223E-2</v>
      </c>
      <c r="R988" s="30">
        <f t="shared" si="124"/>
        <v>-1</v>
      </c>
      <c r="S988" s="12">
        <f t="shared" si="125"/>
        <v>0</v>
      </c>
      <c r="T988" s="30">
        <f t="shared" si="126"/>
        <v>0</v>
      </c>
      <c r="U988" s="9" t="str">
        <f t="shared" si="127"/>
        <v>45-54</v>
      </c>
    </row>
    <row r="989" spans="1:21">
      <c r="A989" t="s">
        <v>1021</v>
      </c>
      <c r="B989" s="8">
        <v>9620</v>
      </c>
      <c r="C989" s="23">
        <v>0.12669</v>
      </c>
      <c r="D989" s="19" t="s">
        <v>45</v>
      </c>
      <c r="E989" s="21">
        <v>56.533999999999999</v>
      </c>
      <c r="F989" s="21">
        <v>3.7349999999999999</v>
      </c>
      <c r="G989" s="23">
        <v>0</v>
      </c>
      <c r="H989" s="26">
        <v>0</v>
      </c>
      <c r="I989" s="19" t="s">
        <v>17</v>
      </c>
      <c r="J989" s="8">
        <v>40</v>
      </c>
      <c r="K989" s="19" t="s">
        <v>22</v>
      </c>
      <c r="L989" s="19" t="s">
        <v>45</v>
      </c>
      <c r="M989" s="8">
        <v>3</v>
      </c>
      <c r="N989" s="33">
        <f t="shared" si="120"/>
        <v>0</v>
      </c>
      <c r="O989" s="23">
        <f t="shared" si="121"/>
        <v>3.3919678714859437E-2</v>
      </c>
      <c r="P989" s="59">
        <f t="shared" si="122"/>
        <v>6.6066437895779526E-2</v>
      </c>
      <c r="Q989" s="30">
        <f t="shared" si="123"/>
        <v>0</v>
      </c>
      <c r="R989" s="30">
        <f t="shared" si="124"/>
        <v>-1</v>
      </c>
      <c r="S989" s="12">
        <f t="shared" si="125"/>
        <v>0</v>
      </c>
      <c r="T989" s="30">
        <f t="shared" si="126"/>
        <v>0</v>
      </c>
      <c r="U989" s="9" t="str">
        <f t="shared" si="127"/>
        <v>35-44</v>
      </c>
    </row>
    <row r="990" spans="1:21">
      <c r="A990" t="s">
        <v>1022</v>
      </c>
      <c r="B990" s="8">
        <v>5895</v>
      </c>
      <c r="C990" s="23">
        <v>0</v>
      </c>
      <c r="D990" s="19" t="s">
        <v>32</v>
      </c>
      <c r="E990" s="21">
        <v>5.3129999999999997</v>
      </c>
      <c r="F990" s="21">
        <v>4.0229999999999997</v>
      </c>
      <c r="G990" s="23">
        <v>0</v>
      </c>
      <c r="H990" s="26">
        <v>0</v>
      </c>
      <c r="I990" s="19" t="s">
        <v>34</v>
      </c>
      <c r="J990" s="8">
        <v>48</v>
      </c>
      <c r="K990" s="19" t="s">
        <v>22</v>
      </c>
      <c r="L990" s="19" t="s">
        <v>32</v>
      </c>
      <c r="M990" s="8">
        <v>2</v>
      </c>
      <c r="N990" s="33">
        <f t="shared" si="120"/>
        <v>0</v>
      </c>
      <c r="O990" s="23">
        <f t="shared" si="121"/>
        <v>0</v>
      </c>
      <c r="P990" s="59">
        <f t="shared" si="122"/>
        <v>0.75719932241671373</v>
      </c>
      <c r="Q990" s="30">
        <f t="shared" si="123"/>
        <v>0</v>
      </c>
      <c r="R990" s="30">
        <f t="shared" si="124"/>
        <v>0</v>
      </c>
      <c r="S990" s="12">
        <f t="shared" si="125"/>
        <v>0</v>
      </c>
      <c r="T990" s="30">
        <f t="shared" si="126"/>
        <v>0</v>
      </c>
      <c r="U990" s="9" t="str">
        <f t="shared" si="127"/>
        <v>45-54</v>
      </c>
    </row>
    <row r="991" spans="1:21">
      <c r="A991" t="s">
        <v>1023</v>
      </c>
      <c r="B991" s="8">
        <v>2533</v>
      </c>
      <c r="C991" s="23">
        <v>0.12883</v>
      </c>
      <c r="D991" s="19" t="s">
        <v>15</v>
      </c>
      <c r="E991" s="21">
        <v>40.283999999999999</v>
      </c>
      <c r="F991" s="21">
        <v>3.0720000000000001</v>
      </c>
      <c r="G991" s="23">
        <v>0</v>
      </c>
      <c r="H991" s="26">
        <v>0</v>
      </c>
      <c r="I991" s="19" t="s">
        <v>1067</v>
      </c>
      <c r="J991" s="8">
        <v>47</v>
      </c>
      <c r="K991" s="19" t="s">
        <v>31</v>
      </c>
      <c r="L991" s="19" t="s">
        <v>19</v>
      </c>
      <c r="M991" s="8">
        <v>3</v>
      </c>
      <c r="N991" s="33">
        <f t="shared" si="120"/>
        <v>0</v>
      </c>
      <c r="O991" s="23">
        <f t="shared" si="121"/>
        <v>4.1936848958333335E-2</v>
      </c>
      <c r="P991" s="59">
        <f t="shared" si="122"/>
        <v>7.6258564194221029E-2</v>
      </c>
      <c r="Q991" s="30">
        <f t="shared" si="123"/>
        <v>0</v>
      </c>
      <c r="R991" s="30">
        <f t="shared" si="124"/>
        <v>-1</v>
      </c>
      <c r="S991" s="12">
        <f t="shared" si="125"/>
        <v>0</v>
      </c>
      <c r="T991" s="30">
        <f t="shared" si="126"/>
        <v>0</v>
      </c>
      <c r="U991" s="9" t="str">
        <f t="shared" si="127"/>
        <v>45-54</v>
      </c>
    </row>
    <row r="992" spans="1:21">
      <c r="A992" t="s">
        <v>1024</v>
      </c>
      <c r="B992" s="8">
        <v>1587</v>
      </c>
      <c r="C992" s="23">
        <v>0.17135</v>
      </c>
      <c r="D992" s="19" t="s">
        <v>40</v>
      </c>
      <c r="E992" s="21">
        <v>68.986999999999995</v>
      </c>
      <c r="F992" s="21">
        <v>4.9450000000000003</v>
      </c>
      <c r="G992" s="23">
        <v>0.38075999999999999</v>
      </c>
      <c r="H992" s="26">
        <v>1</v>
      </c>
      <c r="I992" s="19" t="s">
        <v>29</v>
      </c>
      <c r="J992" s="8">
        <v>51</v>
      </c>
      <c r="K992" s="19" t="s">
        <v>31</v>
      </c>
      <c r="L992" s="19" t="s">
        <v>38</v>
      </c>
      <c r="M992" s="8" t="s">
        <v>1065</v>
      </c>
      <c r="N992" s="33">
        <f t="shared" si="120"/>
        <v>0.20222446916076844</v>
      </c>
      <c r="O992" s="23">
        <f t="shared" si="121"/>
        <v>3.4651162790697673E-2</v>
      </c>
      <c r="P992" s="59">
        <f t="shared" si="122"/>
        <v>7.1680171626538336E-2</v>
      </c>
      <c r="Q992" s="30">
        <f t="shared" si="123"/>
        <v>0.17135</v>
      </c>
      <c r="R992" s="30">
        <f t="shared" si="124"/>
        <v>1.2221184709658592</v>
      </c>
      <c r="S992" s="12">
        <f t="shared" si="125"/>
        <v>2.2221184709658592</v>
      </c>
      <c r="T992" s="30">
        <f t="shared" si="126"/>
        <v>7.699898887765419E-2</v>
      </c>
      <c r="U992" s="9" t="str">
        <f t="shared" si="127"/>
        <v>45-54</v>
      </c>
    </row>
    <row r="993" spans="1:21">
      <c r="A993" t="s">
        <v>1025</v>
      </c>
      <c r="B993" s="8">
        <v>8725</v>
      </c>
      <c r="C993" s="23">
        <v>0.19076000000000001</v>
      </c>
      <c r="D993" s="19" t="s">
        <v>28</v>
      </c>
      <c r="E993" s="21">
        <v>67.501000000000005</v>
      </c>
      <c r="F993" s="21">
        <v>9.33</v>
      </c>
      <c r="G993" s="23">
        <v>0</v>
      </c>
      <c r="H993" s="26">
        <v>0</v>
      </c>
      <c r="I993" s="19" t="s">
        <v>17</v>
      </c>
      <c r="J993" s="8">
        <v>31</v>
      </c>
      <c r="K993" s="19" t="s">
        <v>37</v>
      </c>
      <c r="L993" s="19" t="s">
        <v>19</v>
      </c>
      <c r="M993" s="8">
        <v>5</v>
      </c>
      <c r="N993" s="33">
        <f t="shared" si="120"/>
        <v>0</v>
      </c>
      <c r="O993" s="23">
        <f t="shared" si="121"/>
        <v>2.044587352625938E-2</v>
      </c>
      <c r="P993" s="59">
        <f t="shared" si="122"/>
        <v>0.13822017451593308</v>
      </c>
      <c r="Q993" s="30">
        <f t="shared" si="123"/>
        <v>0</v>
      </c>
      <c r="R993" s="30">
        <f t="shared" si="124"/>
        <v>-1</v>
      </c>
      <c r="S993" s="12">
        <f t="shared" si="125"/>
        <v>0</v>
      </c>
      <c r="T993" s="30">
        <f t="shared" si="126"/>
        <v>0</v>
      </c>
      <c r="U993" s="9" t="str">
        <f t="shared" si="127"/>
        <v>25-34</v>
      </c>
    </row>
    <row r="994" spans="1:21">
      <c r="A994" t="s">
        <v>1026</v>
      </c>
      <c r="B994" s="8">
        <v>7923</v>
      </c>
      <c r="C994" s="23">
        <v>0</v>
      </c>
      <c r="D994" s="19" t="s">
        <v>32</v>
      </c>
      <c r="E994" s="21">
        <v>5.0110000000000001</v>
      </c>
      <c r="F994" s="21">
        <v>8.0150000000000006</v>
      </c>
      <c r="G994" s="23">
        <v>0</v>
      </c>
      <c r="H994" s="26">
        <v>0</v>
      </c>
      <c r="I994" s="19" t="s">
        <v>26</v>
      </c>
      <c r="J994" s="8">
        <v>61</v>
      </c>
      <c r="K994" s="19" t="s">
        <v>18</v>
      </c>
      <c r="L994" s="19" t="s">
        <v>19</v>
      </c>
      <c r="M994" s="8">
        <v>1</v>
      </c>
      <c r="N994" s="33">
        <f t="shared" si="120"/>
        <v>0</v>
      </c>
      <c r="O994" s="23">
        <f t="shared" si="121"/>
        <v>0</v>
      </c>
      <c r="P994" s="59">
        <f t="shared" si="122"/>
        <v>1.5994811414887249</v>
      </c>
      <c r="Q994" s="30">
        <f t="shared" si="123"/>
        <v>0</v>
      </c>
      <c r="R994" s="30">
        <f t="shared" si="124"/>
        <v>0</v>
      </c>
      <c r="S994" s="12">
        <f t="shared" si="125"/>
        <v>0</v>
      </c>
      <c r="T994" s="30">
        <f t="shared" si="126"/>
        <v>0</v>
      </c>
      <c r="U994" s="9" t="str">
        <f t="shared" si="127"/>
        <v>55+</v>
      </c>
    </row>
    <row r="995" spans="1:21">
      <c r="A995" t="s">
        <v>1027</v>
      </c>
      <c r="B995" s="8">
        <v>8365</v>
      </c>
      <c r="C995" s="23">
        <v>0.11221</v>
      </c>
      <c r="D995" s="19" t="s">
        <v>32</v>
      </c>
      <c r="E995" s="21">
        <v>83.634</v>
      </c>
      <c r="F995" s="21">
        <v>5.4509999999999996</v>
      </c>
      <c r="G995" s="23">
        <v>0</v>
      </c>
      <c r="H995" s="26">
        <v>0</v>
      </c>
      <c r="I995" s="19" t="s">
        <v>17</v>
      </c>
      <c r="J995" s="8">
        <v>43</v>
      </c>
      <c r="K995" s="19" t="s">
        <v>31</v>
      </c>
      <c r="L995" s="19" t="s">
        <v>23</v>
      </c>
      <c r="M995" s="8">
        <v>1</v>
      </c>
      <c r="N995" s="33">
        <f t="shared" si="120"/>
        <v>0</v>
      </c>
      <c r="O995" s="23">
        <f t="shared" si="121"/>
        <v>2.0585213722252801E-2</v>
      </c>
      <c r="P995" s="59">
        <f t="shared" si="122"/>
        <v>6.5176841954229139E-2</v>
      </c>
      <c r="Q995" s="30">
        <f t="shared" si="123"/>
        <v>0</v>
      </c>
      <c r="R995" s="30">
        <f t="shared" si="124"/>
        <v>-1</v>
      </c>
      <c r="S995" s="12">
        <f t="shared" si="125"/>
        <v>0</v>
      </c>
      <c r="T995" s="30">
        <f t="shared" si="126"/>
        <v>0</v>
      </c>
      <c r="U995" s="9" t="str">
        <f t="shared" si="127"/>
        <v>35-44</v>
      </c>
    </row>
    <row r="996" spans="1:21">
      <c r="A996" t="s">
        <v>1028</v>
      </c>
      <c r="B996" s="8">
        <v>4167</v>
      </c>
      <c r="C996" s="23">
        <v>0.16846</v>
      </c>
      <c r="D996" s="19" t="s">
        <v>28</v>
      </c>
      <c r="E996" s="21">
        <v>22.452000000000002</v>
      </c>
      <c r="F996" s="21">
        <v>8.4909999999999997</v>
      </c>
      <c r="G996" s="23">
        <v>0</v>
      </c>
      <c r="H996" s="26">
        <v>0</v>
      </c>
      <c r="I996" s="19" t="s">
        <v>26</v>
      </c>
      <c r="J996" s="8">
        <v>33</v>
      </c>
      <c r="K996" s="19" t="s">
        <v>37</v>
      </c>
      <c r="L996" s="19" t="s">
        <v>19</v>
      </c>
      <c r="M996" s="8">
        <v>5</v>
      </c>
      <c r="N996" s="33">
        <f t="shared" si="120"/>
        <v>0</v>
      </c>
      <c r="O996" s="23">
        <f t="shared" si="121"/>
        <v>1.9839830408668001E-2</v>
      </c>
      <c r="P996" s="59">
        <f t="shared" si="122"/>
        <v>0.37818457153037588</v>
      </c>
      <c r="Q996" s="30">
        <f t="shared" si="123"/>
        <v>0</v>
      </c>
      <c r="R996" s="30">
        <f t="shared" si="124"/>
        <v>-1</v>
      </c>
      <c r="S996" s="12">
        <f t="shared" si="125"/>
        <v>0</v>
      </c>
      <c r="T996" s="30">
        <f t="shared" si="126"/>
        <v>0</v>
      </c>
      <c r="U996" s="9" t="str">
        <f t="shared" si="127"/>
        <v>25-34</v>
      </c>
    </row>
    <row r="997" spans="1:21">
      <c r="A997" t="s">
        <v>1029</v>
      </c>
      <c r="B997" s="8">
        <v>4460</v>
      </c>
      <c r="C997" s="23">
        <v>0</v>
      </c>
      <c r="D997" s="19" t="s">
        <v>45</v>
      </c>
      <c r="E997" s="21">
        <v>52.524000000000001</v>
      </c>
      <c r="F997" s="21">
        <v>5.2030000000000003</v>
      </c>
      <c r="G997" s="23">
        <v>0</v>
      </c>
      <c r="H997" s="26">
        <v>0</v>
      </c>
      <c r="I997" s="19" t="s">
        <v>29</v>
      </c>
      <c r="J997" s="8">
        <v>44</v>
      </c>
      <c r="K997" s="19" t="s">
        <v>31</v>
      </c>
      <c r="L997" s="19" t="s">
        <v>45</v>
      </c>
      <c r="M997" s="8">
        <v>2</v>
      </c>
      <c r="N997" s="33">
        <f t="shared" si="120"/>
        <v>0</v>
      </c>
      <c r="O997" s="23">
        <f t="shared" si="121"/>
        <v>0</v>
      </c>
      <c r="P997" s="59">
        <f t="shared" si="122"/>
        <v>9.9059477572157495E-2</v>
      </c>
      <c r="Q997" s="30">
        <f t="shared" si="123"/>
        <v>0</v>
      </c>
      <c r="R997" s="30">
        <f t="shared" si="124"/>
        <v>0</v>
      </c>
      <c r="S997" s="12">
        <f t="shared" si="125"/>
        <v>0</v>
      </c>
      <c r="T997" s="30">
        <f t="shared" si="126"/>
        <v>0</v>
      </c>
      <c r="U997" s="9" t="str">
        <f t="shared" si="127"/>
        <v>35-44</v>
      </c>
    </row>
    <row r="998" spans="1:21">
      <c r="A998" t="s">
        <v>1030</v>
      </c>
      <c r="B998" s="8">
        <v>7771</v>
      </c>
      <c r="C998" s="23">
        <v>1.7610000000000001E-2</v>
      </c>
      <c r="D998" s="19" t="s">
        <v>25</v>
      </c>
      <c r="E998" s="21">
        <v>48.524000000000001</v>
      </c>
      <c r="F998" s="21">
        <v>8.8680000000000003</v>
      </c>
      <c r="G998" s="23">
        <v>0</v>
      </c>
      <c r="H998" s="26">
        <v>0</v>
      </c>
      <c r="I998" s="19" t="s">
        <v>34</v>
      </c>
      <c r="J998" s="8">
        <v>46</v>
      </c>
      <c r="K998" s="19" t="s">
        <v>37</v>
      </c>
      <c r="L998" s="19" t="s">
        <v>19</v>
      </c>
      <c r="M998" s="8">
        <v>3</v>
      </c>
      <c r="N998" s="33">
        <f t="shared" si="120"/>
        <v>0</v>
      </c>
      <c r="O998" s="23">
        <f t="shared" si="121"/>
        <v>1.9857916102841676E-3</v>
      </c>
      <c r="P998" s="59">
        <f t="shared" si="122"/>
        <v>0.18275492539774132</v>
      </c>
      <c r="Q998" s="30">
        <f t="shared" si="123"/>
        <v>0</v>
      </c>
      <c r="R998" s="30">
        <f t="shared" si="124"/>
        <v>-1</v>
      </c>
      <c r="S998" s="12">
        <f t="shared" si="125"/>
        <v>0</v>
      </c>
      <c r="T998" s="30">
        <f t="shared" si="126"/>
        <v>0</v>
      </c>
      <c r="U998" s="9" t="str">
        <f t="shared" si="127"/>
        <v>45-54</v>
      </c>
    </row>
    <row r="999" spans="1:21">
      <c r="A999" t="s">
        <v>1031</v>
      </c>
      <c r="B999" s="8">
        <v>9714</v>
      </c>
      <c r="C999" s="23">
        <v>0</v>
      </c>
      <c r="D999" s="19" t="s">
        <v>28</v>
      </c>
      <c r="E999" s="21">
        <v>80.733999999999995</v>
      </c>
      <c r="F999" s="21">
        <v>5.0970000000000004</v>
      </c>
      <c r="G999" s="23">
        <v>0</v>
      </c>
      <c r="H999" s="26">
        <v>0</v>
      </c>
      <c r="I999" s="19" t="s">
        <v>1067</v>
      </c>
      <c r="J999" s="8">
        <v>59</v>
      </c>
      <c r="K999" s="19" t="s">
        <v>37</v>
      </c>
      <c r="L999" s="19" t="s">
        <v>32</v>
      </c>
      <c r="M999" s="8">
        <v>1</v>
      </c>
      <c r="N999" s="33">
        <f t="shared" si="120"/>
        <v>0</v>
      </c>
      <c r="O999" s="23">
        <f t="shared" si="121"/>
        <v>0</v>
      </c>
      <c r="P999" s="59">
        <f t="shared" si="122"/>
        <v>6.3133252409146093E-2</v>
      </c>
      <c r="Q999" s="30">
        <f t="shared" si="123"/>
        <v>0</v>
      </c>
      <c r="R999" s="30">
        <f t="shared" si="124"/>
        <v>0</v>
      </c>
      <c r="S999" s="12">
        <f t="shared" si="125"/>
        <v>0</v>
      </c>
      <c r="T999" s="30">
        <f t="shared" si="126"/>
        <v>0</v>
      </c>
      <c r="U999" s="9" t="str">
        <f t="shared" si="127"/>
        <v>55+</v>
      </c>
    </row>
    <row r="1000" spans="1:21">
      <c r="A1000" t="s">
        <v>1032</v>
      </c>
      <c r="B1000" s="8">
        <v>4699</v>
      </c>
      <c r="C1000" s="23">
        <v>7.8950000000000006E-2</v>
      </c>
      <c r="D1000" s="19" t="s">
        <v>32</v>
      </c>
      <c r="E1000" s="21">
        <v>20.132999999999999</v>
      </c>
      <c r="F1000" s="21">
        <v>6.218</v>
      </c>
      <c r="G1000" s="23">
        <v>0</v>
      </c>
      <c r="H1000" s="26">
        <v>0</v>
      </c>
      <c r="I1000" s="19" t="s">
        <v>17</v>
      </c>
      <c r="J1000" s="8">
        <v>33</v>
      </c>
      <c r="K1000" s="19" t="s">
        <v>18</v>
      </c>
      <c r="L1000" s="19" t="s">
        <v>45</v>
      </c>
      <c r="M1000" s="8" t="s">
        <v>1065</v>
      </c>
      <c r="N1000" s="33">
        <f t="shared" si="120"/>
        <v>0</v>
      </c>
      <c r="O1000" s="23">
        <f t="shared" si="121"/>
        <v>1.2697008684464458E-2</v>
      </c>
      <c r="P1000" s="59">
        <f t="shared" si="122"/>
        <v>0.30884617294988331</v>
      </c>
      <c r="Q1000" s="30">
        <f t="shared" si="123"/>
        <v>0</v>
      </c>
      <c r="R1000" s="30">
        <f t="shared" si="124"/>
        <v>-1</v>
      </c>
      <c r="S1000" s="12">
        <f t="shared" si="125"/>
        <v>0</v>
      </c>
      <c r="T1000" s="30">
        <f t="shared" si="126"/>
        <v>0</v>
      </c>
      <c r="U1000" s="9" t="str">
        <f t="shared" si="127"/>
        <v>25-34</v>
      </c>
    </row>
    <row r="1001" spans="1:21">
      <c r="A1001" t="s">
        <v>1033</v>
      </c>
      <c r="B1001" s="8">
        <v>8888</v>
      </c>
      <c r="C1001" s="23">
        <v>0.14899000000000001</v>
      </c>
      <c r="D1001" s="19" t="s">
        <v>32</v>
      </c>
      <c r="E1001" s="21">
        <v>62.926000000000002</v>
      </c>
      <c r="F1001" s="21">
        <v>1.7569999999999999</v>
      </c>
      <c r="G1001" s="23">
        <v>0</v>
      </c>
      <c r="H1001" s="26">
        <v>1</v>
      </c>
      <c r="I1001" s="19" t="s">
        <v>21</v>
      </c>
      <c r="J1001" s="8">
        <v>24</v>
      </c>
      <c r="K1001" s="19" t="s">
        <v>31</v>
      </c>
      <c r="L1001" s="19" t="s">
        <v>32</v>
      </c>
      <c r="M1001" s="8">
        <v>5</v>
      </c>
      <c r="N1001" s="33">
        <f t="shared" si="120"/>
        <v>0.56915196357427433</v>
      </c>
      <c r="O1001" s="23">
        <f t="shared" si="121"/>
        <v>8.4797951052931142E-2</v>
      </c>
      <c r="P1001" s="59">
        <f t="shared" si="122"/>
        <v>2.7921685789657692E-2</v>
      </c>
      <c r="Q1001" s="30">
        <f t="shared" si="123"/>
        <v>0.14899000000000001</v>
      </c>
      <c r="R1001" s="30">
        <f t="shared" si="124"/>
        <v>-1</v>
      </c>
      <c r="S1001" s="12">
        <f t="shared" si="125"/>
        <v>0</v>
      </c>
      <c r="T1001" s="30">
        <f t="shared" si="126"/>
        <v>0</v>
      </c>
      <c r="U1001" s="9" t="str">
        <f t="shared" si="127"/>
        <v>18-24</v>
      </c>
    </row>
    <row r="1002" spans="1:21">
      <c r="A1002" s="16"/>
      <c r="B1002" s="10"/>
      <c r="C1002" s="57">
        <f>SUBTOTAL(109,Table1[MarketingSpend])</f>
        <v>84.04216000000001</v>
      </c>
      <c r="D1002" s="20"/>
      <c r="E1002" s="53" t="s">
        <v>1112</v>
      </c>
      <c r="F1002" s="52">
        <f>SUBTOTAL(109,Table1[Clicks])</f>
        <v>4831.7209999999977</v>
      </c>
      <c r="G1002" s="54">
        <f>SUBTOTAL(109,Table1[Revenue])</f>
        <v>59.067110000000049</v>
      </c>
      <c r="H1002" s="27">
        <f>SUBTOTAL(109,Table1[PaidCustomer])</f>
        <v>276</v>
      </c>
      <c r="I1002" s="29"/>
      <c r="J1002" s="10"/>
      <c r="K1002" s="20"/>
      <c r="L1002" s="20"/>
      <c r="M1002" s="10"/>
      <c r="N1002" s="50">
        <f>SUBTOTAL(101,Table1[ConvRate])</f>
        <v>0.13922419577795275</v>
      </c>
      <c r="O1002" s="49">
        <f>SUBTOTAL(109,Table1[CPC])</f>
        <v>41.263022926899076</v>
      </c>
      <c r="P1002" s="60">
        <f>SUBTOTAL(109,Table1[CTR])</f>
        <v>207.94693769475168</v>
      </c>
      <c r="Q1002" s="31">
        <f>SUBTOTAL(109,Table1[CPA])</f>
        <v>22.606340000000014</v>
      </c>
      <c r="R1002" s="58">
        <f>SUBTOTAL(109,Table1[ROI])</f>
        <v>49.544024526303424</v>
      </c>
      <c r="S1002" s="10"/>
      <c r="T1002" s="31">
        <f>SUBTOTAL(109,Table1[RPC])</f>
        <v>29.489340500516722</v>
      </c>
      <c r="U1002" s="10">
        <f>SUBTOTAL(109,Table1[AgeGroup])</f>
        <v>0</v>
      </c>
    </row>
    <row r="1003" spans="1:21">
      <c r="N1003" s="43"/>
    </row>
    <row r="1004" spans="1:21">
      <c r="N1004" s="43"/>
    </row>
    <row r="1005" spans="1:21">
      <c r="N1005" s="43"/>
    </row>
    <row r="1006" spans="1:21">
      <c r="N1006" s="43"/>
    </row>
    <row r="1007" spans="1:21">
      <c r="N1007" s="43"/>
    </row>
    <row r="1008" spans="1:21">
      <c r="N1008" s="43"/>
    </row>
    <row r="1009" spans="14:14">
      <c r="N1009" s="43"/>
    </row>
    <row r="1010" spans="14:14">
      <c r="N1010" s="43"/>
    </row>
    <row r="1011" spans="14:14">
      <c r="N1011" s="43"/>
    </row>
    <row r="1012" spans="14:14">
      <c r="N1012" s="43"/>
    </row>
    <row r="1013" spans="14:14">
      <c r="N1013" s="43"/>
    </row>
    <row r="1014" spans="14:14">
      <c r="N1014" s="43"/>
    </row>
    <row r="1015" spans="14:14">
      <c r="N1015" s="43"/>
    </row>
    <row r="1016" spans="14:14">
      <c r="N1016" s="43"/>
    </row>
    <row r="1017" spans="14:14">
      <c r="N1017" s="43"/>
    </row>
    <row r="1018" spans="14:14">
      <c r="N1018" s="43"/>
    </row>
    <row r="1019" spans="14:14">
      <c r="N1019" s="43"/>
    </row>
    <row r="1020" spans="14:14">
      <c r="N1020" s="43"/>
    </row>
    <row r="1021" spans="14:14">
      <c r="N1021" s="43"/>
    </row>
    <row r="1022" spans="14:14">
      <c r="N1022" s="43"/>
    </row>
    <row r="1023" spans="14:14">
      <c r="N1023" s="43"/>
    </row>
    <row r="1024" spans="14:14">
      <c r="N1024" s="43"/>
    </row>
    <row r="1025" spans="14:14">
      <c r="N1025" s="43"/>
    </row>
    <row r="1026" spans="14:14">
      <c r="N1026" s="43"/>
    </row>
    <row r="1027" spans="14:14">
      <c r="N1027" s="43"/>
    </row>
    <row r="1028" spans="14:14">
      <c r="N1028" s="43"/>
    </row>
    <row r="1029" spans="14:14">
      <c r="N1029" s="43"/>
    </row>
    <row r="1030" spans="14:14">
      <c r="N1030" s="43"/>
    </row>
    <row r="1031" spans="14:14">
      <c r="N1031" s="43"/>
    </row>
    <row r="1032" spans="14:14">
      <c r="N1032" s="43"/>
    </row>
    <row r="1033" spans="14:14">
      <c r="N1033" s="43"/>
    </row>
    <row r="1034" spans="14:14">
      <c r="N1034" s="43"/>
    </row>
    <row r="1035" spans="14:14">
      <c r="N1035" s="43"/>
    </row>
    <row r="1036" spans="14:14">
      <c r="N1036" s="43"/>
    </row>
    <row r="1037" spans="14:14">
      <c r="N1037" s="43"/>
    </row>
    <row r="1038" spans="14:14">
      <c r="N1038" s="43"/>
    </row>
    <row r="1039" spans="14:14">
      <c r="N1039" s="43"/>
    </row>
    <row r="1040" spans="14:14">
      <c r="N1040" s="43"/>
    </row>
    <row r="1041" spans="14:14">
      <c r="N1041" s="43"/>
    </row>
    <row r="1042" spans="14:14">
      <c r="N1042" s="43"/>
    </row>
    <row r="1043" spans="14:14">
      <c r="N1043" s="43"/>
    </row>
    <row r="1044" spans="14:14">
      <c r="N1044" s="43"/>
    </row>
    <row r="1045" spans="14:14">
      <c r="N1045" s="43"/>
    </row>
    <row r="1046" spans="14:14">
      <c r="N1046" s="43"/>
    </row>
    <row r="1047" spans="14:14">
      <c r="N1047" s="43"/>
    </row>
    <row r="1048" spans="14:14">
      <c r="N1048" s="43"/>
    </row>
    <row r="1049" spans="14:14">
      <c r="N1049" s="43"/>
    </row>
    <row r="1050" spans="14:14">
      <c r="N1050" s="43"/>
    </row>
    <row r="1051" spans="14:14">
      <c r="N1051" s="43"/>
    </row>
    <row r="1052" spans="14:14">
      <c r="N1052" s="43"/>
    </row>
    <row r="1053" spans="14:14">
      <c r="N1053" s="43"/>
    </row>
    <row r="1054" spans="14:14">
      <c r="N1054" s="43"/>
    </row>
    <row r="1055" spans="14:14">
      <c r="N1055" s="43"/>
    </row>
    <row r="1056" spans="14:14">
      <c r="N1056" s="43"/>
    </row>
    <row r="1057" spans="14:14">
      <c r="N1057" s="43"/>
    </row>
    <row r="1058" spans="14:14">
      <c r="N1058" s="43"/>
    </row>
    <row r="1059" spans="14:14">
      <c r="N1059" s="43"/>
    </row>
    <row r="1060" spans="14:14">
      <c r="N1060" s="43"/>
    </row>
    <row r="1061" spans="14:14">
      <c r="N1061" s="43"/>
    </row>
    <row r="1062" spans="14:14">
      <c r="N1062" s="43"/>
    </row>
    <row r="1063" spans="14:14">
      <c r="N1063" s="43"/>
    </row>
    <row r="1064" spans="14:14">
      <c r="N1064" s="43"/>
    </row>
    <row r="1065" spans="14:14">
      <c r="N1065" s="43"/>
    </row>
    <row r="1066" spans="14:14">
      <c r="N1066" s="43"/>
    </row>
    <row r="1067" spans="14:14">
      <c r="N1067" s="43"/>
    </row>
    <row r="1068" spans="14:14">
      <c r="N1068" s="43"/>
    </row>
    <row r="1069" spans="14:14">
      <c r="N1069" s="43"/>
    </row>
    <row r="1070" spans="14:14">
      <c r="N1070" s="43"/>
    </row>
    <row r="1071" spans="14:14">
      <c r="N1071" s="43"/>
    </row>
    <row r="1072" spans="14:14">
      <c r="N1072" s="43"/>
    </row>
    <row r="1073" spans="14:14">
      <c r="N1073" s="43"/>
    </row>
    <row r="1074" spans="14:14">
      <c r="N1074" s="43"/>
    </row>
    <row r="1075" spans="14:14">
      <c r="N1075" s="43"/>
    </row>
    <row r="1076" spans="14:14">
      <c r="N1076" s="43"/>
    </row>
    <row r="1077" spans="14:14">
      <c r="N1077" s="43"/>
    </row>
    <row r="1078" spans="14:14">
      <c r="N1078" s="43"/>
    </row>
    <row r="1079" spans="14:14">
      <c r="N1079" s="43"/>
    </row>
    <row r="1080" spans="14:14">
      <c r="N1080" s="43"/>
    </row>
    <row r="1081" spans="14:14">
      <c r="N1081" s="43"/>
    </row>
    <row r="1082" spans="14:14">
      <c r="N1082" s="43"/>
    </row>
    <row r="1083" spans="14:14">
      <c r="N1083" s="43"/>
    </row>
    <row r="1084" spans="14:14">
      <c r="N1084" s="43"/>
    </row>
    <row r="1085" spans="14:14">
      <c r="N1085" s="43"/>
    </row>
    <row r="1086" spans="14:14">
      <c r="N1086" s="43"/>
    </row>
    <row r="1087" spans="14:14">
      <c r="N1087" s="43"/>
    </row>
    <row r="1088" spans="14:14">
      <c r="N1088" s="43"/>
    </row>
    <row r="1089" spans="14:14">
      <c r="N1089" s="43"/>
    </row>
    <row r="1090" spans="14:14">
      <c r="N1090" s="43"/>
    </row>
    <row r="1091" spans="14:14">
      <c r="N1091" s="43"/>
    </row>
    <row r="1092" spans="14:14">
      <c r="N1092" s="43"/>
    </row>
    <row r="1093" spans="14:14">
      <c r="N1093" s="43"/>
    </row>
    <row r="1094" spans="14:14">
      <c r="N1094" s="43"/>
    </row>
    <row r="1095" spans="14:14">
      <c r="N1095" s="43"/>
    </row>
    <row r="1096" spans="14:14">
      <c r="N1096" s="43"/>
    </row>
    <row r="1097" spans="14:14">
      <c r="N1097" s="43"/>
    </row>
    <row r="1098" spans="14:14">
      <c r="N1098" s="43"/>
    </row>
    <row r="1099" spans="14:14">
      <c r="N1099" s="43"/>
    </row>
    <row r="1100" spans="14:14">
      <c r="N1100" s="43"/>
    </row>
    <row r="1101" spans="14:14">
      <c r="N1101" s="43"/>
    </row>
    <row r="1102" spans="14:14">
      <c r="N1102" s="43"/>
    </row>
    <row r="1103" spans="14:14">
      <c r="N1103" s="43"/>
    </row>
    <row r="1104" spans="14:14">
      <c r="N1104" s="43"/>
    </row>
    <row r="1105" spans="14:14">
      <c r="N1105" s="43"/>
    </row>
    <row r="1106" spans="14:14">
      <c r="N1106" s="43"/>
    </row>
    <row r="1107" spans="14:14">
      <c r="N1107" s="43"/>
    </row>
    <row r="1108" spans="14:14">
      <c r="N1108" s="43"/>
    </row>
    <row r="1109" spans="14:14">
      <c r="N1109" s="43"/>
    </row>
    <row r="1110" spans="14:14">
      <c r="N1110" s="43"/>
    </row>
    <row r="1111" spans="14:14">
      <c r="N1111" s="43"/>
    </row>
    <row r="1112" spans="14:14">
      <c r="N1112" s="43"/>
    </row>
    <row r="1113" spans="14:14">
      <c r="N1113" s="43"/>
    </row>
    <row r="1114" spans="14:14">
      <c r="N1114" s="43"/>
    </row>
    <row r="1115" spans="14:14">
      <c r="N1115" s="43"/>
    </row>
    <row r="1116" spans="14:14">
      <c r="N1116" s="43"/>
    </row>
    <row r="1117" spans="14:14">
      <c r="N1117" s="43"/>
    </row>
    <row r="1118" spans="14:14">
      <c r="N1118" s="43"/>
    </row>
    <row r="1119" spans="14:14">
      <c r="N1119" s="43"/>
    </row>
    <row r="1120" spans="14:14">
      <c r="N1120" s="43"/>
    </row>
    <row r="1121" spans="14:14">
      <c r="N1121" s="43"/>
    </row>
    <row r="1122" spans="14:14">
      <c r="N1122" s="43"/>
    </row>
    <row r="1123" spans="14:14">
      <c r="N1123" s="43"/>
    </row>
    <row r="1124" spans="14:14">
      <c r="N1124" s="43"/>
    </row>
    <row r="1125" spans="14:14">
      <c r="N1125" s="43"/>
    </row>
    <row r="1126" spans="14:14">
      <c r="N1126" s="43"/>
    </row>
    <row r="1127" spans="14:14">
      <c r="N1127" s="43"/>
    </row>
    <row r="1128" spans="14:14">
      <c r="N1128" s="43"/>
    </row>
    <row r="1129" spans="14:14">
      <c r="N1129" s="43"/>
    </row>
    <row r="1130" spans="14:14">
      <c r="N1130" s="43"/>
    </row>
    <row r="1131" spans="14:14">
      <c r="N1131" s="43"/>
    </row>
    <row r="1132" spans="14:14">
      <c r="N1132" s="43"/>
    </row>
    <row r="1133" spans="14:14">
      <c r="N1133" s="43"/>
    </row>
    <row r="1134" spans="14:14">
      <c r="N1134" s="43"/>
    </row>
    <row r="1135" spans="14:14">
      <c r="N1135" s="43"/>
    </row>
    <row r="1136" spans="14:14">
      <c r="N1136" s="43"/>
    </row>
    <row r="1137" spans="14:14">
      <c r="N1137" s="43"/>
    </row>
    <row r="1138" spans="14:14">
      <c r="N1138" s="43"/>
    </row>
    <row r="1139" spans="14:14">
      <c r="N1139" s="43"/>
    </row>
    <row r="1140" spans="14:14">
      <c r="N1140" s="43"/>
    </row>
    <row r="1141" spans="14:14">
      <c r="N1141" s="43"/>
    </row>
    <row r="1142" spans="14:14">
      <c r="N1142" s="43"/>
    </row>
    <row r="1143" spans="14:14">
      <c r="N1143" s="43"/>
    </row>
    <row r="1144" spans="14:14">
      <c r="N1144" s="43"/>
    </row>
    <row r="1145" spans="14:14">
      <c r="N1145" s="43"/>
    </row>
    <row r="1146" spans="14:14">
      <c r="N1146" s="43"/>
    </row>
    <row r="1147" spans="14:14">
      <c r="N1147" s="43"/>
    </row>
    <row r="1148" spans="14:14">
      <c r="N1148" s="43"/>
    </row>
    <row r="1149" spans="14:14">
      <c r="N1149" s="43"/>
    </row>
    <row r="1150" spans="14:14">
      <c r="N1150" s="43"/>
    </row>
    <row r="1151" spans="14:14">
      <c r="N1151" s="43"/>
    </row>
    <row r="1152" spans="14:14">
      <c r="N1152" s="43"/>
    </row>
    <row r="1153" spans="14:14">
      <c r="N1153" s="43"/>
    </row>
    <row r="1154" spans="14:14">
      <c r="N1154" s="43"/>
    </row>
    <row r="1155" spans="14:14">
      <c r="N1155" s="43"/>
    </row>
    <row r="1156" spans="14:14">
      <c r="N1156" s="43"/>
    </row>
    <row r="1157" spans="14:14">
      <c r="N1157" s="43"/>
    </row>
    <row r="1158" spans="14:14">
      <c r="N1158" s="43"/>
    </row>
    <row r="1159" spans="14:14">
      <c r="N1159" s="43"/>
    </row>
    <row r="1160" spans="14:14">
      <c r="N1160" s="43"/>
    </row>
    <row r="1161" spans="14:14">
      <c r="N1161" s="43"/>
    </row>
    <row r="1162" spans="14:14">
      <c r="N1162" s="43"/>
    </row>
    <row r="1163" spans="14:14">
      <c r="N1163" s="43"/>
    </row>
    <row r="1164" spans="14:14">
      <c r="N1164" s="43"/>
    </row>
    <row r="1165" spans="14:14">
      <c r="N1165" s="43"/>
    </row>
    <row r="1166" spans="14:14">
      <c r="N1166" s="43"/>
    </row>
    <row r="1167" spans="14:14">
      <c r="N1167" s="43"/>
    </row>
    <row r="1168" spans="14:14">
      <c r="N1168" s="43"/>
    </row>
    <row r="1169" spans="14:14">
      <c r="N1169" s="43"/>
    </row>
    <row r="1170" spans="14:14">
      <c r="N1170" s="43"/>
    </row>
    <row r="1171" spans="14:14">
      <c r="N1171" s="43"/>
    </row>
    <row r="1172" spans="14:14">
      <c r="N1172" s="43"/>
    </row>
    <row r="1173" spans="14:14">
      <c r="N1173" s="43"/>
    </row>
    <row r="1174" spans="14:14">
      <c r="N1174" s="43"/>
    </row>
    <row r="1175" spans="14:14">
      <c r="N1175" s="43"/>
    </row>
    <row r="1176" spans="14:14">
      <c r="N1176" s="43"/>
    </row>
    <row r="1177" spans="14:14">
      <c r="N1177" s="43"/>
    </row>
    <row r="1178" spans="14:14">
      <c r="N1178" s="43"/>
    </row>
    <row r="1179" spans="14:14">
      <c r="N1179" s="43"/>
    </row>
    <row r="1180" spans="14:14">
      <c r="N1180" s="43"/>
    </row>
    <row r="1181" spans="14:14">
      <c r="N1181" s="43"/>
    </row>
    <row r="1182" spans="14:14">
      <c r="N1182" s="43"/>
    </row>
    <row r="1183" spans="14:14">
      <c r="N1183" s="43"/>
    </row>
    <row r="1184" spans="14:14">
      <c r="N1184" s="43"/>
    </row>
    <row r="1185" spans="14:14">
      <c r="N1185" s="43"/>
    </row>
    <row r="1186" spans="14:14">
      <c r="N1186" s="43"/>
    </row>
    <row r="1187" spans="14:14">
      <c r="N1187" s="43"/>
    </row>
    <row r="1188" spans="14:14">
      <c r="N1188" s="43"/>
    </row>
    <row r="1189" spans="14:14">
      <c r="N1189" s="43"/>
    </row>
    <row r="1190" spans="14:14">
      <c r="N1190" s="43"/>
    </row>
    <row r="1191" spans="14:14">
      <c r="N1191" s="43"/>
    </row>
    <row r="1192" spans="14:14">
      <c r="N1192" s="43"/>
    </row>
    <row r="1193" spans="14:14">
      <c r="N1193" s="43"/>
    </row>
    <row r="1194" spans="14:14">
      <c r="N1194" s="43"/>
    </row>
    <row r="1195" spans="14:14">
      <c r="N1195" s="43"/>
    </row>
    <row r="1196" spans="14:14">
      <c r="N1196" s="43"/>
    </row>
    <row r="1197" spans="14:14">
      <c r="N1197" s="43"/>
    </row>
    <row r="1198" spans="14:14">
      <c r="N1198" s="43"/>
    </row>
    <row r="1199" spans="14:14">
      <c r="N1199" s="43"/>
    </row>
    <row r="1200" spans="14:14">
      <c r="N1200" s="43"/>
    </row>
    <row r="1201" spans="14:14">
      <c r="N1201" s="43"/>
    </row>
    <row r="1202" spans="14:14">
      <c r="N1202" s="43"/>
    </row>
    <row r="1203" spans="14:14">
      <c r="N1203" s="43"/>
    </row>
    <row r="1204" spans="14:14">
      <c r="N1204" s="43"/>
    </row>
    <row r="1205" spans="14:14">
      <c r="N1205" s="43"/>
    </row>
    <row r="1206" spans="14:14">
      <c r="N1206" s="43"/>
    </row>
    <row r="1207" spans="14:14">
      <c r="N1207" s="43"/>
    </row>
    <row r="1208" spans="14:14">
      <c r="N1208" s="43"/>
    </row>
    <row r="1209" spans="14:14">
      <c r="N1209" s="43"/>
    </row>
    <row r="1210" spans="14:14">
      <c r="N1210" s="43"/>
    </row>
    <row r="1211" spans="14:14">
      <c r="N1211" s="43"/>
    </row>
    <row r="1212" spans="14:14">
      <c r="N1212" s="43"/>
    </row>
    <row r="1213" spans="14:14">
      <c r="N1213" s="43"/>
    </row>
    <row r="1214" spans="14:14">
      <c r="N1214" s="43"/>
    </row>
    <row r="1215" spans="14:14">
      <c r="N1215" s="43"/>
    </row>
    <row r="1216" spans="14:14">
      <c r="N1216" s="43"/>
    </row>
    <row r="1217" spans="14:14">
      <c r="N1217" s="43"/>
    </row>
    <row r="1218" spans="14:14">
      <c r="N1218" s="43"/>
    </row>
    <row r="1219" spans="14:14">
      <c r="N1219" s="43"/>
    </row>
    <row r="1220" spans="14:14">
      <c r="N1220" s="43"/>
    </row>
    <row r="1221" spans="14:14">
      <c r="N1221" s="43"/>
    </row>
    <row r="1222" spans="14:14">
      <c r="N1222" s="43"/>
    </row>
    <row r="1223" spans="14:14">
      <c r="N1223" s="43"/>
    </row>
    <row r="1224" spans="14:14">
      <c r="N1224" s="43"/>
    </row>
    <row r="1225" spans="14:14">
      <c r="N1225" s="43"/>
    </row>
    <row r="1226" spans="14:14">
      <c r="N1226" s="43"/>
    </row>
    <row r="1227" spans="14:14">
      <c r="N1227" s="43"/>
    </row>
    <row r="1228" spans="14:14">
      <c r="N1228" s="43"/>
    </row>
    <row r="1229" spans="14:14">
      <c r="N1229" s="43"/>
    </row>
    <row r="1230" spans="14:14">
      <c r="N1230" s="43"/>
    </row>
    <row r="1231" spans="14:14">
      <c r="N1231" s="43"/>
    </row>
    <row r="1232" spans="14:14">
      <c r="N1232" s="43"/>
    </row>
    <row r="1233" spans="14:14">
      <c r="N1233" s="43"/>
    </row>
    <row r="1234" spans="14:14">
      <c r="N1234" s="43"/>
    </row>
    <row r="1235" spans="14:14">
      <c r="N1235" s="43"/>
    </row>
    <row r="1236" spans="14:14">
      <c r="N1236" s="43"/>
    </row>
    <row r="1237" spans="14:14">
      <c r="N1237" s="43"/>
    </row>
    <row r="1238" spans="14:14">
      <c r="N1238" s="43"/>
    </row>
    <row r="1239" spans="14:14">
      <c r="N1239" s="43"/>
    </row>
    <row r="1240" spans="14:14">
      <c r="N1240" s="43"/>
    </row>
    <row r="1241" spans="14:14">
      <c r="N1241" s="43"/>
    </row>
    <row r="1242" spans="14:14">
      <c r="N1242" s="43"/>
    </row>
    <row r="1243" spans="14:14">
      <c r="N1243" s="43"/>
    </row>
    <row r="1244" spans="14:14">
      <c r="N1244" s="43"/>
    </row>
    <row r="1245" spans="14:14">
      <c r="N1245" s="43"/>
    </row>
    <row r="1246" spans="14:14">
      <c r="N1246" s="43"/>
    </row>
    <row r="1247" spans="14:14">
      <c r="N1247" s="43"/>
    </row>
    <row r="1248" spans="14:14">
      <c r="N1248" s="43"/>
    </row>
    <row r="1249" spans="14:14">
      <c r="N1249" s="43"/>
    </row>
    <row r="1250" spans="14:14">
      <c r="N1250" s="43"/>
    </row>
    <row r="1251" spans="14:14">
      <c r="N1251" s="43"/>
    </row>
    <row r="1252" spans="14:14">
      <c r="N1252" s="43"/>
    </row>
    <row r="1253" spans="14:14">
      <c r="N1253" s="43"/>
    </row>
    <row r="1254" spans="14:14">
      <c r="N1254" s="43"/>
    </row>
    <row r="1255" spans="14:14">
      <c r="N1255" s="43"/>
    </row>
    <row r="1256" spans="14:14">
      <c r="N1256" s="43"/>
    </row>
    <row r="1257" spans="14:14">
      <c r="N1257" s="43"/>
    </row>
    <row r="1258" spans="14:14">
      <c r="N1258" s="43"/>
    </row>
    <row r="1259" spans="14:14">
      <c r="N1259" s="43"/>
    </row>
    <row r="1260" spans="14:14">
      <c r="N1260" s="43"/>
    </row>
    <row r="1261" spans="14:14">
      <c r="N1261" s="43"/>
    </row>
    <row r="1262" spans="14:14">
      <c r="N1262" s="43"/>
    </row>
    <row r="1263" spans="14:14">
      <c r="N1263" s="43"/>
    </row>
    <row r="1264" spans="14:14">
      <c r="N1264" s="43"/>
    </row>
    <row r="1265" spans="14:14">
      <c r="N1265" s="43"/>
    </row>
    <row r="1266" spans="14:14">
      <c r="N1266" s="43"/>
    </row>
    <row r="1267" spans="14:14">
      <c r="N1267" s="43"/>
    </row>
    <row r="1268" spans="14:14">
      <c r="N1268" s="43"/>
    </row>
    <row r="1269" spans="14:14">
      <c r="N1269" s="43"/>
    </row>
    <row r="1270" spans="14:14">
      <c r="N1270" s="43"/>
    </row>
    <row r="1271" spans="14:14">
      <c r="N1271" s="43"/>
    </row>
    <row r="1272" spans="14:14">
      <c r="N1272" s="43"/>
    </row>
    <row r="1273" spans="14:14">
      <c r="N1273" s="43"/>
    </row>
    <row r="1274" spans="14:14">
      <c r="N1274" s="43"/>
    </row>
    <row r="1275" spans="14:14">
      <c r="N1275" s="43"/>
    </row>
    <row r="1276" spans="14:14">
      <c r="N1276" s="43"/>
    </row>
    <row r="1277" spans="14:14">
      <c r="N1277" s="43"/>
    </row>
    <row r="1278" spans="14:14">
      <c r="N1278" s="43"/>
    </row>
    <row r="1279" spans="14:14">
      <c r="N1279" s="43"/>
    </row>
    <row r="1280" spans="14:14">
      <c r="N1280" s="43"/>
    </row>
    <row r="1281" spans="14:14">
      <c r="N1281" s="43"/>
    </row>
    <row r="1282" spans="14:14">
      <c r="N1282" s="43"/>
    </row>
    <row r="1283" spans="14:14">
      <c r="N1283" s="43"/>
    </row>
    <row r="1284" spans="14:14">
      <c r="N1284" s="43"/>
    </row>
    <row r="1285" spans="14:14">
      <c r="N1285" s="43"/>
    </row>
    <row r="1286" spans="14:14">
      <c r="N1286" s="43"/>
    </row>
    <row r="1287" spans="14:14">
      <c r="N1287" s="43"/>
    </row>
    <row r="1288" spans="14:14">
      <c r="N1288" s="43"/>
    </row>
    <row r="1289" spans="14:14">
      <c r="N1289" s="43"/>
    </row>
    <row r="1290" spans="14:14">
      <c r="N1290" s="43"/>
    </row>
    <row r="1291" spans="14:14">
      <c r="N1291" s="43"/>
    </row>
    <row r="1292" spans="14:14">
      <c r="N1292" s="43"/>
    </row>
    <row r="1293" spans="14:14">
      <c r="N1293" s="43"/>
    </row>
    <row r="1294" spans="14:14">
      <c r="N1294" s="43"/>
    </row>
    <row r="1295" spans="14:14">
      <c r="N1295" s="43"/>
    </row>
    <row r="1296" spans="14:14">
      <c r="N1296" s="43"/>
    </row>
    <row r="1297" spans="14:14">
      <c r="N1297" s="43"/>
    </row>
    <row r="1298" spans="14:14">
      <c r="N1298" s="43"/>
    </row>
    <row r="1299" spans="14:14">
      <c r="N1299" s="43"/>
    </row>
    <row r="1300" spans="14:14">
      <c r="N1300" s="43"/>
    </row>
    <row r="1301" spans="14:14">
      <c r="N1301" s="43"/>
    </row>
    <row r="1302" spans="14:14">
      <c r="N1302" s="43"/>
    </row>
    <row r="1303" spans="14:14">
      <c r="N1303" s="43"/>
    </row>
    <row r="1304" spans="14:14">
      <c r="N1304" s="43"/>
    </row>
    <row r="1305" spans="14:14">
      <c r="N1305" s="43"/>
    </row>
    <row r="1306" spans="14:14">
      <c r="N1306" s="43"/>
    </row>
    <row r="1307" spans="14:14">
      <c r="N1307" s="43"/>
    </row>
    <row r="1308" spans="14:14">
      <c r="N1308" s="43"/>
    </row>
    <row r="1309" spans="14:14">
      <c r="N1309" s="43"/>
    </row>
    <row r="1310" spans="14:14">
      <c r="N1310" s="43"/>
    </row>
    <row r="1311" spans="14:14">
      <c r="N1311" s="43"/>
    </row>
    <row r="1312" spans="14:14">
      <c r="N1312" s="43"/>
    </row>
    <row r="1313" spans="14:14">
      <c r="N1313" s="43"/>
    </row>
    <row r="1314" spans="14:14">
      <c r="N1314" s="43"/>
    </row>
    <row r="1315" spans="14:14">
      <c r="N1315" s="43"/>
    </row>
    <row r="1316" spans="14:14">
      <c r="N1316" s="43"/>
    </row>
    <row r="1317" spans="14:14">
      <c r="N1317" s="43"/>
    </row>
    <row r="1318" spans="14:14">
      <c r="N1318" s="43"/>
    </row>
    <row r="1319" spans="14:14">
      <c r="N1319" s="43"/>
    </row>
    <row r="1320" spans="14:14">
      <c r="N1320" s="43"/>
    </row>
    <row r="1321" spans="14:14">
      <c r="N1321" s="43"/>
    </row>
    <row r="1322" spans="14:14">
      <c r="N1322" s="43"/>
    </row>
    <row r="1323" spans="14:14">
      <c r="N1323" s="43"/>
    </row>
    <row r="1324" spans="14:14">
      <c r="N1324" s="43"/>
    </row>
    <row r="1325" spans="14:14">
      <c r="N1325" s="43"/>
    </row>
    <row r="1326" spans="14:14">
      <c r="N1326" s="43"/>
    </row>
    <row r="1327" spans="14:14">
      <c r="N1327" s="43"/>
    </row>
    <row r="1328" spans="14:14">
      <c r="N1328" s="43"/>
    </row>
    <row r="1329" spans="14:14">
      <c r="N1329" s="43"/>
    </row>
    <row r="1330" spans="14:14">
      <c r="N1330" s="43"/>
    </row>
    <row r="1331" spans="14:14">
      <c r="N1331" s="43"/>
    </row>
    <row r="1332" spans="14:14">
      <c r="N1332" s="43"/>
    </row>
    <row r="1333" spans="14:14">
      <c r="N1333" s="43"/>
    </row>
    <row r="1334" spans="14:14">
      <c r="N1334" s="43"/>
    </row>
    <row r="1335" spans="14:14">
      <c r="N1335" s="43"/>
    </row>
    <row r="1336" spans="14:14">
      <c r="N1336" s="43"/>
    </row>
    <row r="1337" spans="14:14">
      <c r="N1337" s="43"/>
    </row>
    <row r="1338" spans="14:14">
      <c r="N1338" s="43"/>
    </row>
    <row r="1339" spans="14:14">
      <c r="N1339" s="43"/>
    </row>
    <row r="1340" spans="14:14">
      <c r="N1340" s="43"/>
    </row>
    <row r="1341" spans="14:14">
      <c r="N1341" s="43"/>
    </row>
    <row r="1342" spans="14:14">
      <c r="N1342" s="43"/>
    </row>
    <row r="1343" spans="14:14">
      <c r="N1343" s="43"/>
    </row>
    <row r="1344" spans="14:14">
      <c r="N1344" s="43"/>
    </row>
    <row r="1345" spans="14:14">
      <c r="N1345" s="43"/>
    </row>
    <row r="1346" spans="14:14">
      <c r="N1346" s="43"/>
    </row>
    <row r="1347" spans="14:14">
      <c r="N1347" s="43"/>
    </row>
    <row r="1348" spans="14:14">
      <c r="N1348" s="43"/>
    </row>
    <row r="1349" spans="14:14">
      <c r="N1349" s="43"/>
    </row>
    <row r="1350" spans="14:14">
      <c r="N1350" s="43"/>
    </row>
    <row r="1351" spans="14:14">
      <c r="N1351" s="43"/>
    </row>
    <row r="1352" spans="14:14">
      <c r="N1352" s="43"/>
    </row>
    <row r="1353" spans="14:14">
      <c r="N1353" s="43"/>
    </row>
    <row r="1354" spans="14:14">
      <c r="N1354" s="43"/>
    </row>
    <row r="1355" spans="14:14">
      <c r="N1355" s="43"/>
    </row>
    <row r="1356" spans="14:14">
      <c r="N1356" s="43"/>
    </row>
    <row r="1357" spans="14:14">
      <c r="N1357" s="43"/>
    </row>
    <row r="1358" spans="14:14">
      <c r="N1358" s="43"/>
    </row>
    <row r="1359" spans="14:14">
      <c r="N1359" s="43"/>
    </row>
    <row r="1360" spans="14:14">
      <c r="N1360" s="43"/>
    </row>
    <row r="1361" spans="14:14">
      <c r="N1361" s="43"/>
    </row>
    <row r="1362" spans="14:14">
      <c r="N1362" s="43"/>
    </row>
    <row r="1363" spans="14:14">
      <c r="N1363" s="43"/>
    </row>
    <row r="1364" spans="14:14">
      <c r="N1364" s="43"/>
    </row>
    <row r="1365" spans="14:14">
      <c r="N1365" s="43"/>
    </row>
    <row r="1366" spans="14:14">
      <c r="N1366" s="43"/>
    </row>
    <row r="1367" spans="14:14">
      <c r="N1367" s="43"/>
    </row>
    <row r="1368" spans="14:14">
      <c r="N1368" s="43"/>
    </row>
    <row r="1369" spans="14:14">
      <c r="N1369" s="43"/>
    </row>
    <row r="1370" spans="14:14">
      <c r="N1370" s="43"/>
    </row>
    <row r="1371" spans="14:14">
      <c r="N1371" s="43"/>
    </row>
    <row r="1372" spans="14:14">
      <c r="N1372" s="43"/>
    </row>
    <row r="1373" spans="14:14">
      <c r="N1373" s="43"/>
    </row>
    <row r="1374" spans="14:14">
      <c r="N1374" s="43"/>
    </row>
    <row r="1375" spans="14:14">
      <c r="N1375" s="43"/>
    </row>
    <row r="1376" spans="14:14">
      <c r="N1376" s="43"/>
    </row>
    <row r="1377" spans="14:14">
      <c r="N1377" s="43"/>
    </row>
    <row r="1378" spans="14:14">
      <c r="N1378" s="43"/>
    </row>
    <row r="1379" spans="14:14">
      <c r="N1379" s="43"/>
    </row>
    <row r="1380" spans="14:14">
      <c r="N1380" s="43"/>
    </row>
    <row r="1381" spans="14:14">
      <c r="N1381" s="43"/>
    </row>
    <row r="1382" spans="14:14">
      <c r="N1382" s="43"/>
    </row>
    <row r="1383" spans="14:14">
      <c r="N1383" s="43"/>
    </row>
    <row r="1384" spans="14:14">
      <c r="N1384" s="43"/>
    </row>
    <row r="1385" spans="14:14">
      <c r="N1385" s="43"/>
    </row>
    <row r="1386" spans="14:14">
      <c r="N1386" s="43"/>
    </row>
    <row r="1387" spans="14:14">
      <c r="N1387" s="43"/>
    </row>
    <row r="1388" spans="14:14">
      <c r="N1388" s="43"/>
    </row>
    <row r="1389" spans="14:14">
      <c r="N1389" s="43"/>
    </row>
    <row r="1390" spans="14:14">
      <c r="N1390" s="43"/>
    </row>
    <row r="1391" spans="14:14">
      <c r="N1391" s="43"/>
    </row>
    <row r="1392" spans="14:14">
      <c r="N1392" s="43"/>
    </row>
    <row r="1393" spans="14:14">
      <c r="N1393" s="43"/>
    </row>
    <row r="1394" spans="14:14">
      <c r="N1394" s="43"/>
    </row>
    <row r="1395" spans="14:14">
      <c r="N1395" s="43"/>
    </row>
    <row r="1396" spans="14:14">
      <c r="N1396" s="43"/>
    </row>
    <row r="1397" spans="14:14">
      <c r="N1397" s="43"/>
    </row>
    <row r="1398" spans="14:14">
      <c r="N1398" s="43"/>
    </row>
    <row r="1399" spans="14:14">
      <c r="N1399" s="43"/>
    </row>
    <row r="1400" spans="14:14">
      <c r="N1400" s="43"/>
    </row>
    <row r="1401" spans="14:14">
      <c r="N1401" s="43"/>
    </row>
    <row r="1402" spans="14:14">
      <c r="N1402" s="43"/>
    </row>
    <row r="1403" spans="14:14">
      <c r="N1403" s="43"/>
    </row>
    <row r="1404" spans="14:14">
      <c r="N1404" s="43"/>
    </row>
    <row r="1405" spans="14:14">
      <c r="N1405" s="43"/>
    </row>
    <row r="1406" spans="14:14">
      <c r="N1406" s="43"/>
    </row>
    <row r="1407" spans="14:14">
      <c r="N1407" s="43"/>
    </row>
    <row r="1408" spans="14:14">
      <c r="N1408" s="43"/>
    </row>
    <row r="1409" spans="14:14">
      <c r="N1409" s="43"/>
    </row>
    <row r="1410" spans="14:14">
      <c r="N1410" s="43"/>
    </row>
    <row r="1411" spans="14:14">
      <c r="N1411" s="43"/>
    </row>
    <row r="1412" spans="14:14">
      <c r="N1412" s="43"/>
    </row>
    <row r="1413" spans="14:14">
      <c r="N1413" s="43"/>
    </row>
    <row r="1414" spans="14:14">
      <c r="N1414" s="43"/>
    </row>
    <row r="1415" spans="14:14">
      <c r="N1415" s="43"/>
    </row>
    <row r="1416" spans="14:14">
      <c r="N1416" s="43"/>
    </row>
    <row r="1417" spans="14:14">
      <c r="N1417" s="43"/>
    </row>
    <row r="1418" spans="14:14">
      <c r="N1418" s="43"/>
    </row>
    <row r="1419" spans="14:14">
      <c r="N1419" s="43"/>
    </row>
    <row r="1420" spans="14:14">
      <c r="N1420" s="43"/>
    </row>
    <row r="1421" spans="14:14">
      <c r="N1421" s="43"/>
    </row>
    <row r="1422" spans="14:14">
      <c r="N1422" s="43"/>
    </row>
    <row r="1423" spans="14:14">
      <c r="N1423" s="43"/>
    </row>
    <row r="1424" spans="14:14">
      <c r="N1424" s="43"/>
    </row>
    <row r="1425" spans="14:14">
      <c r="N1425" s="43"/>
    </row>
    <row r="1426" spans="14:14">
      <c r="N1426" s="43"/>
    </row>
    <row r="1427" spans="14:14">
      <c r="N1427" s="43"/>
    </row>
    <row r="1428" spans="14:14">
      <c r="N1428" s="43"/>
    </row>
    <row r="1429" spans="14:14">
      <c r="N1429" s="43"/>
    </row>
    <row r="1430" spans="14:14">
      <c r="N1430" s="43"/>
    </row>
    <row r="1431" spans="14:14">
      <c r="N1431" s="43"/>
    </row>
    <row r="1432" spans="14:14">
      <c r="N1432" s="43"/>
    </row>
    <row r="1433" spans="14:14">
      <c r="N1433" s="43"/>
    </row>
    <row r="1434" spans="14:14">
      <c r="N1434" s="43"/>
    </row>
    <row r="1435" spans="14:14">
      <c r="N1435" s="43"/>
    </row>
    <row r="1436" spans="14:14">
      <c r="N1436" s="43"/>
    </row>
    <row r="1437" spans="14:14">
      <c r="N1437" s="43"/>
    </row>
    <row r="1438" spans="14:14">
      <c r="N1438" s="43"/>
    </row>
    <row r="1439" spans="14:14">
      <c r="N1439" s="43"/>
    </row>
    <row r="1440" spans="14:14">
      <c r="N1440" s="43"/>
    </row>
    <row r="1441" spans="14:14">
      <c r="N1441" s="43"/>
    </row>
    <row r="1442" spans="14:14">
      <c r="N1442" s="43"/>
    </row>
    <row r="1443" spans="14:14">
      <c r="N1443" s="43"/>
    </row>
    <row r="1444" spans="14:14">
      <c r="N1444" s="43"/>
    </row>
    <row r="1445" spans="14:14">
      <c r="N1445" s="43"/>
    </row>
    <row r="1446" spans="14:14">
      <c r="N1446" s="43"/>
    </row>
    <row r="1447" spans="14:14">
      <c r="N1447" s="43"/>
    </row>
    <row r="1448" spans="14:14">
      <c r="N1448" s="43"/>
    </row>
    <row r="1449" spans="14:14">
      <c r="N1449" s="43"/>
    </row>
    <row r="1450" spans="14:14">
      <c r="N1450" s="43"/>
    </row>
    <row r="1451" spans="14:14">
      <c r="N1451" s="43"/>
    </row>
    <row r="1452" spans="14:14">
      <c r="N1452" s="43"/>
    </row>
    <row r="1453" spans="14:14">
      <c r="N1453" s="43"/>
    </row>
    <row r="1454" spans="14:14">
      <c r="N1454" s="43"/>
    </row>
    <row r="1455" spans="14:14">
      <c r="N1455" s="43"/>
    </row>
    <row r="1456" spans="14:14">
      <c r="N1456" s="43"/>
    </row>
    <row r="1457" spans="14:14">
      <c r="N1457" s="43"/>
    </row>
    <row r="1458" spans="14:14">
      <c r="N1458" s="43"/>
    </row>
    <row r="1459" spans="14:14">
      <c r="N1459" s="43"/>
    </row>
    <row r="1460" spans="14:14">
      <c r="N1460" s="43"/>
    </row>
    <row r="1461" spans="14:14">
      <c r="N1461" s="43"/>
    </row>
    <row r="1462" spans="14:14">
      <c r="N1462" s="43"/>
    </row>
    <row r="1463" spans="14:14">
      <c r="N1463" s="43"/>
    </row>
    <row r="1464" spans="14:14">
      <c r="N1464" s="43"/>
    </row>
    <row r="1465" spans="14:14">
      <c r="N1465" s="43"/>
    </row>
    <row r="1466" spans="14:14">
      <c r="N1466" s="43"/>
    </row>
    <row r="1467" spans="14:14">
      <c r="N1467" s="43"/>
    </row>
    <row r="1468" spans="14:14">
      <c r="N1468" s="43"/>
    </row>
    <row r="1469" spans="14:14">
      <c r="N1469" s="43"/>
    </row>
    <row r="1470" spans="14:14">
      <c r="N1470" s="43"/>
    </row>
    <row r="1471" spans="14:14">
      <c r="N1471" s="43"/>
    </row>
    <row r="1472" spans="14:14">
      <c r="N1472" s="43"/>
    </row>
    <row r="1473" spans="14:14">
      <c r="N1473" s="43"/>
    </row>
    <row r="1474" spans="14:14">
      <c r="N1474" s="43"/>
    </row>
    <row r="1475" spans="14:14">
      <c r="N1475" s="43"/>
    </row>
    <row r="1476" spans="14:14">
      <c r="N1476" s="43"/>
    </row>
    <row r="1477" spans="14:14">
      <c r="N1477" s="43"/>
    </row>
    <row r="1478" spans="14:14">
      <c r="N1478" s="43"/>
    </row>
    <row r="1479" spans="14:14">
      <c r="N1479" s="43"/>
    </row>
    <row r="1480" spans="14:14">
      <c r="N1480" s="43"/>
    </row>
    <row r="1481" spans="14:14">
      <c r="N1481" s="43"/>
    </row>
    <row r="1482" spans="14:14">
      <c r="N1482" s="43"/>
    </row>
    <row r="1483" spans="14:14">
      <c r="N1483" s="43"/>
    </row>
    <row r="1484" spans="14:14">
      <c r="N1484" s="43"/>
    </row>
    <row r="1485" spans="14:14">
      <c r="N1485" s="43"/>
    </row>
    <row r="1486" spans="14:14">
      <c r="N1486" s="43"/>
    </row>
    <row r="1487" spans="14:14">
      <c r="N1487" s="43"/>
    </row>
    <row r="1488" spans="14:14">
      <c r="N1488" s="43"/>
    </row>
    <row r="1489" spans="14:14">
      <c r="N1489" s="43"/>
    </row>
    <row r="1490" spans="14:14">
      <c r="N1490" s="43"/>
    </row>
    <row r="1491" spans="14:14">
      <c r="N1491" s="43"/>
    </row>
    <row r="1492" spans="14:14">
      <c r="N1492" s="43"/>
    </row>
    <row r="1493" spans="14:14">
      <c r="N1493" s="43"/>
    </row>
    <row r="1494" spans="14:14">
      <c r="N1494" s="43"/>
    </row>
    <row r="1495" spans="14:14">
      <c r="N1495" s="43"/>
    </row>
    <row r="1496" spans="14:14">
      <c r="N1496" s="43"/>
    </row>
    <row r="1497" spans="14:14">
      <c r="N1497" s="43"/>
    </row>
    <row r="1498" spans="14:14">
      <c r="N1498" s="43"/>
    </row>
    <row r="1499" spans="14:14">
      <c r="N1499" s="43"/>
    </row>
    <row r="1500" spans="14:14">
      <c r="N1500" s="43"/>
    </row>
    <row r="1501" spans="14:14">
      <c r="N1501" s="43"/>
    </row>
    <row r="1502" spans="14:14">
      <c r="N1502" s="43"/>
    </row>
    <row r="1503" spans="14:14">
      <c r="N1503" s="43"/>
    </row>
    <row r="1504" spans="14:14">
      <c r="N1504" s="43"/>
    </row>
    <row r="1505" spans="14:14">
      <c r="N1505" s="43"/>
    </row>
    <row r="1506" spans="14:14">
      <c r="N1506" s="43"/>
    </row>
    <row r="1507" spans="14:14">
      <c r="N1507" s="43"/>
    </row>
    <row r="1508" spans="14:14">
      <c r="N1508" s="43"/>
    </row>
    <row r="1509" spans="14:14">
      <c r="N1509" s="43"/>
    </row>
    <row r="1510" spans="14:14">
      <c r="N1510" s="43"/>
    </row>
    <row r="1511" spans="14:14">
      <c r="N1511" s="43"/>
    </row>
    <row r="1512" spans="14:14">
      <c r="N1512" s="43"/>
    </row>
    <row r="1513" spans="14:14">
      <c r="N1513" s="43"/>
    </row>
    <row r="1514" spans="14:14">
      <c r="N1514" s="43"/>
    </row>
    <row r="1515" spans="14:14">
      <c r="N1515" s="43"/>
    </row>
    <row r="1516" spans="14:14">
      <c r="N1516" s="43"/>
    </row>
    <row r="1517" spans="14:14">
      <c r="N1517" s="43"/>
    </row>
    <row r="1518" spans="14:14">
      <c r="N1518" s="43"/>
    </row>
    <row r="1519" spans="14:14">
      <c r="N1519" s="43"/>
    </row>
    <row r="1520" spans="14:14">
      <c r="N1520" s="43"/>
    </row>
    <row r="1521" spans="14:14">
      <c r="N1521" s="43"/>
    </row>
    <row r="1522" spans="14:14">
      <c r="N1522" s="43"/>
    </row>
    <row r="1523" spans="14:14">
      <c r="N1523" s="43"/>
    </row>
    <row r="1524" spans="14:14">
      <c r="N1524" s="43"/>
    </row>
    <row r="1525" spans="14:14">
      <c r="N1525" s="43"/>
    </row>
    <row r="1526" spans="14:14">
      <c r="N1526" s="43"/>
    </row>
    <row r="1527" spans="14:14">
      <c r="N1527" s="43"/>
    </row>
    <row r="1528" spans="14:14">
      <c r="N1528" s="43"/>
    </row>
    <row r="1529" spans="14:14">
      <c r="N1529" s="43"/>
    </row>
    <row r="1530" spans="14:14">
      <c r="N1530" s="43"/>
    </row>
    <row r="1531" spans="14:14">
      <c r="N1531" s="43"/>
    </row>
    <row r="1532" spans="14:14">
      <c r="N1532" s="43"/>
    </row>
    <row r="1533" spans="14:14">
      <c r="N1533" s="43"/>
    </row>
    <row r="1534" spans="14:14">
      <c r="N1534" s="43"/>
    </row>
    <row r="1535" spans="14:14">
      <c r="N1535" s="43"/>
    </row>
    <row r="1536" spans="14:14">
      <c r="N1536" s="43"/>
    </row>
    <row r="1537" spans="14:14">
      <c r="N1537" s="43"/>
    </row>
    <row r="1538" spans="14:14">
      <c r="N1538" s="43"/>
    </row>
    <row r="1539" spans="14:14">
      <c r="N1539" s="43"/>
    </row>
    <row r="1540" spans="14:14">
      <c r="N1540" s="43"/>
    </row>
    <row r="1541" spans="14:14">
      <c r="N1541" s="43"/>
    </row>
    <row r="1542" spans="14:14">
      <c r="N1542" s="43"/>
    </row>
    <row r="1543" spans="14:14">
      <c r="N1543" s="43"/>
    </row>
    <row r="1544" spans="14:14">
      <c r="N1544" s="43"/>
    </row>
    <row r="1545" spans="14:14">
      <c r="N1545" s="43"/>
    </row>
    <row r="1546" spans="14:14">
      <c r="N1546" s="43"/>
    </row>
    <row r="1547" spans="14:14">
      <c r="N1547" s="43"/>
    </row>
    <row r="1548" spans="14:14">
      <c r="N1548" s="43"/>
    </row>
    <row r="1549" spans="14:14">
      <c r="N1549" s="43"/>
    </row>
    <row r="1550" spans="14:14">
      <c r="N1550" s="43"/>
    </row>
    <row r="1551" spans="14:14">
      <c r="N1551" s="43"/>
    </row>
    <row r="1552" spans="14:14">
      <c r="N1552" s="43"/>
    </row>
    <row r="1553" spans="14:14">
      <c r="N1553" s="43"/>
    </row>
    <row r="1554" spans="14:14">
      <c r="N1554" s="43"/>
    </row>
    <row r="1555" spans="14:14">
      <c r="N1555" s="43"/>
    </row>
    <row r="1556" spans="14:14">
      <c r="N1556" s="43"/>
    </row>
    <row r="1557" spans="14:14">
      <c r="N1557" s="43"/>
    </row>
    <row r="1558" spans="14:14">
      <c r="N1558" s="43"/>
    </row>
    <row r="1559" spans="14:14">
      <c r="N1559" s="43"/>
    </row>
    <row r="1560" spans="14:14">
      <c r="N1560" s="43"/>
    </row>
    <row r="1561" spans="14:14">
      <c r="N1561" s="43"/>
    </row>
    <row r="1562" spans="14:14">
      <c r="N1562" s="43"/>
    </row>
    <row r="1563" spans="14:14">
      <c r="N1563" s="43"/>
    </row>
    <row r="1564" spans="14:14">
      <c r="N1564" s="43"/>
    </row>
    <row r="1565" spans="14:14">
      <c r="N1565" s="43"/>
    </row>
    <row r="1566" spans="14:14">
      <c r="N1566" s="43"/>
    </row>
    <row r="1567" spans="14:14">
      <c r="N1567" s="43"/>
    </row>
    <row r="1568" spans="14:14">
      <c r="N1568" s="43"/>
    </row>
    <row r="1569" spans="14:14">
      <c r="N1569" s="43"/>
    </row>
    <row r="1570" spans="14:14">
      <c r="N1570" s="43"/>
    </row>
    <row r="1571" spans="14:14">
      <c r="N1571" s="43"/>
    </row>
    <row r="1572" spans="14:14">
      <c r="N1572" s="43"/>
    </row>
    <row r="1573" spans="14:14">
      <c r="N1573" s="43"/>
    </row>
    <row r="1574" spans="14:14">
      <c r="N1574" s="43"/>
    </row>
    <row r="1575" spans="14:14">
      <c r="N1575" s="43"/>
    </row>
    <row r="1576" spans="14:14">
      <c r="N1576" s="43"/>
    </row>
    <row r="1577" spans="14:14">
      <c r="N1577" s="43"/>
    </row>
    <row r="1578" spans="14:14">
      <c r="N1578" s="43"/>
    </row>
    <row r="1579" spans="14:14">
      <c r="N1579" s="43"/>
    </row>
    <row r="1580" spans="14:14">
      <c r="N1580" s="43"/>
    </row>
    <row r="1581" spans="14:14">
      <c r="N1581" s="43"/>
    </row>
    <row r="1582" spans="14:14">
      <c r="N1582" s="43"/>
    </row>
    <row r="1583" spans="14:14">
      <c r="N1583" s="43"/>
    </row>
    <row r="1584" spans="14:14">
      <c r="N1584" s="43"/>
    </row>
    <row r="1585" spans="14:14">
      <c r="N1585" s="43"/>
    </row>
    <row r="1586" spans="14:14">
      <c r="N1586" s="43"/>
    </row>
    <row r="1587" spans="14:14">
      <c r="N1587" s="43"/>
    </row>
    <row r="1588" spans="14:14">
      <c r="N1588" s="43"/>
    </row>
    <row r="1589" spans="14:14">
      <c r="N1589" s="43"/>
    </row>
    <row r="1590" spans="14:14">
      <c r="N1590" s="43"/>
    </row>
    <row r="1591" spans="14:14">
      <c r="N1591" s="43"/>
    </row>
    <row r="1592" spans="14:14">
      <c r="N1592" s="43"/>
    </row>
    <row r="1593" spans="14:14">
      <c r="N1593" s="43"/>
    </row>
    <row r="1594" spans="14:14">
      <c r="N1594" s="43"/>
    </row>
    <row r="1595" spans="14:14">
      <c r="N1595" s="43"/>
    </row>
    <row r="1596" spans="14:14">
      <c r="N1596" s="43"/>
    </row>
    <row r="1597" spans="14:14">
      <c r="N1597" s="43"/>
    </row>
    <row r="1598" spans="14:14">
      <c r="N1598" s="43"/>
    </row>
    <row r="1599" spans="14:14">
      <c r="N1599" s="43"/>
    </row>
    <row r="1600" spans="14:14">
      <c r="N1600" s="43"/>
    </row>
    <row r="1601" spans="14:14">
      <c r="N1601" s="43"/>
    </row>
    <row r="1602" spans="14:14">
      <c r="N1602" s="43"/>
    </row>
    <row r="1603" spans="14:14">
      <c r="N1603" s="43"/>
    </row>
    <row r="1604" spans="14:14">
      <c r="N1604" s="43"/>
    </row>
    <row r="1605" spans="14:14">
      <c r="N1605" s="43"/>
    </row>
    <row r="1606" spans="14:14">
      <c r="N1606" s="43"/>
    </row>
    <row r="1607" spans="14:14">
      <c r="N1607" s="43"/>
    </row>
    <row r="1608" spans="14:14">
      <c r="N1608" s="43"/>
    </row>
    <row r="1609" spans="14:14">
      <c r="N1609" s="43"/>
    </row>
    <row r="1610" spans="14:14">
      <c r="N1610" s="43"/>
    </row>
    <row r="1611" spans="14:14">
      <c r="N1611" s="43"/>
    </row>
    <row r="1612" spans="14:14">
      <c r="N1612" s="43"/>
    </row>
    <row r="1613" spans="14:14">
      <c r="N1613" s="43"/>
    </row>
    <row r="1614" spans="14:14">
      <c r="N1614" s="43"/>
    </row>
    <row r="1615" spans="14:14">
      <c r="N1615" s="43"/>
    </row>
    <row r="1616" spans="14:14">
      <c r="N1616" s="43"/>
    </row>
    <row r="1617" spans="14:14">
      <c r="N1617" s="43"/>
    </row>
    <row r="1618" spans="14:14">
      <c r="N1618" s="43"/>
    </row>
    <row r="1619" spans="14:14">
      <c r="N1619" s="43"/>
    </row>
    <row r="1620" spans="14:14">
      <c r="N1620" s="43"/>
    </row>
    <row r="1621" spans="14:14">
      <c r="N1621" s="43"/>
    </row>
    <row r="1622" spans="14:14">
      <c r="N1622" s="43"/>
    </row>
    <row r="1623" spans="14:14">
      <c r="N1623" s="43"/>
    </row>
    <row r="1624" spans="14:14">
      <c r="N1624" s="43"/>
    </row>
    <row r="1625" spans="14:14">
      <c r="N1625" s="43"/>
    </row>
    <row r="1626" spans="14:14">
      <c r="N1626" s="43"/>
    </row>
    <row r="1627" spans="14:14">
      <c r="N1627" s="43"/>
    </row>
    <row r="1628" spans="14:14">
      <c r="N1628" s="43"/>
    </row>
    <row r="1629" spans="14:14">
      <c r="N1629" s="43"/>
    </row>
    <row r="1630" spans="14:14">
      <c r="N1630" s="43"/>
    </row>
    <row r="1631" spans="14:14">
      <c r="N1631" s="43"/>
    </row>
    <row r="1632" spans="14:14">
      <c r="N1632" s="43"/>
    </row>
    <row r="1633" spans="14:14">
      <c r="N1633" s="43"/>
    </row>
    <row r="1634" spans="14:14">
      <c r="N1634" s="43"/>
    </row>
    <row r="1635" spans="14:14">
      <c r="N1635" s="43"/>
    </row>
    <row r="1636" spans="14:14">
      <c r="N1636" s="43"/>
    </row>
    <row r="1637" spans="14:14">
      <c r="N1637" s="43"/>
    </row>
    <row r="1638" spans="14:14">
      <c r="N1638" s="43"/>
    </row>
    <row r="1639" spans="14:14">
      <c r="N1639" s="43"/>
    </row>
    <row r="1640" spans="14:14">
      <c r="N1640" s="43"/>
    </row>
    <row r="1641" spans="14:14">
      <c r="N1641" s="43"/>
    </row>
    <row r="1642" spans="14:14">
      <c r="N1642" s="43"/>
    </row>
    <row r="1643" spans="14:14">
      <c r="N1643" s="43"/>
    </row>
    <row r="1644" spans="14:14">
      <c r="N1644" s="43"/>
    </row>
    <row r="1645" spans="14:14">
      <c r="N1645" s="43"/>
    </row>
    <row r="1646" spans="14:14">
      <c r="N1646" s="43"/>
    </row>
    <row r="1647" spans="14:14">
      <c r="N1647" s="43"/>
    </row>
    <row r="1648" spans="14:14">
      <c r="N1648" s="43"/>
    </row>
    <row r="1649" spans="14:14">
      <c r="N1649" s="43"/>
    </row>
    <row r="1650" spans="14:14">
      <c r="N1650" s="43"/>
    </row>
    <row r="1651" spans="14:14">
      <c r="N1651" s="43"/>
    </row>
    <row r="1652" spans="14:14">
      <c r="N1652" s="43"/>
    </row>
    <row r="1653" spans="14:14">
      <c r="N1653" s="43"/>
    </row>
    <row r="1654" spans="14:14">
      <c r="N1654" s="43"/>
    </row>
    <row r="1655" spans="14:14">
      <c r="N1655" s="43"/>
    </row>
    <row r="1656" spans="14:14">
      <c r="N1656" s="43"/>
    </row>
    <row r="1657" spans="14:14">
      <c r="N1657" s="43"/>
    </row>
    <row r="1658" spans="14:14">
      <c r="N1658" s="43"/>
    </row>
    <row r="1659" spans="14:14">
      <c r="N1659" s="43"/>
    </row>
    <row r="1660" spans="14:14">
      <c r="N1660" s="43"/>
    </row>
    <row r="1661" spans="14:14">
      <c r="N1661" s="43"/>
    </row>
    <row r="1662" spans="14:14">
      <c r="N1662" s="43"/>
    </row>
    <row r="1663" spans="14:14">
      <c r="N1663" s="43"/>
    </row>
    <row r="1664" spans="14:14">
      <c r="N1664" s="43"/>
    </row>
    <row r="1665" spans="14:14">
      <c r="N1665" s="43"/>
    </row>
    <row r="1666" spans="14:14">
      <c r="N1666" s="43"/>
    </row>
    <row r="1667" spans="14:14">
      <c r="N1667" s="43"/>
    </row>
    <row r="1668" spans="14:14">
      <c r="N1668" s="43"/>
    </row>
    <row r="1669" spans="14:14">
      <c r="N1669" s="43"/>
    </row>
    <row r="1670" spans="14:14">
      <c r="N1670" s="43"/>
    </row>
    <row r="1671" spans="14:14">
      <c r="N1671" s="43"/>
    </row>
    <row r="1672" spans="14:14">
      <c r="N1672" s="43"/>
    </row>
    <row r="1673" spans="14:14">
      <c r="N1673" s="43"/>
    </row>
    <row r="1674" spans="14:14">
      <c r="N1674" s="43"/>
    </row>
    <row r="1675" spans="14:14">
      <c r="N1675" s="43"/>
    </row>
    <row r="1676" spans="14:14">
      <c r="N1676" s="43"/>
    </row>
    <row r="1677" spans="14:14">
      <c r="N1677" s="43"/>
    </row>
    <row r="1678" spans="14:14">
      <c r="N1678" s="43"/>
    </row>
    <row r="1679" spans="14:14">
      <c r="N1679" s="43"/>
    </row>
    <row r="1680" spans="14:14">
      <c r="N1680" s="43"/>
    </row>
    <row r="1681" spans="14:14">
      <c r="N1681" s="43"/>
    </row>
    <row r="1682" spans="14:14">
      <c r="N1682" s="43"/>
    </row>
    <row r="1683" spans="14:14">
      <c r="N1683" s="43"/>
    </row>
    <row r="1684" spans="14:14">
      <c r="N1684" s="43"/>
    </row>
    <row r="1685" spans="14:14">
      <c r="N1685" s="43"/>
    </row>
    <row r="1686" spans="14:14">
      <c r="N1686" s="43"/>
    </row>
    <row r="1687" spans="14:14">
      <c r="N1687" s="43"/>
    </row>
    <row r="1688" spans="14:14">
      <c r="N1688" s="43"/>
    </row>
    <row r="1689" spans="14:14">
      <c r="N1689" s="43"/>
    </row>
    <row r="1690" spans="14:14">
      <c r="N1690" s="43"/>
    </row>
    <row r="1691" spans="14:14">
      <c r="N1691" s="43"/>
    </row>
    <row r="1692" spans="14:14">
      <c r="N1692" s="43"/>
    </row>
    <row r="1693" spans="14:14">
      <c r="N1693" s="43"/>
    </row>
    <row r="1694" spans="14:14">
      <c r="N1694" s="43"/>
    </row>
    <row r="1695" spans="14:14">
      <c r="N1695" s="43"/>
    </row>
    <row r="1696" spans="14:14">
      <c r="N1696" s="43"/>
    </row>
    <row r="1697" spans="14:14">
      <c r="N1697" s="43"/>
    </row>
    <row r="1698" spans="14:14">
      <c r="N1698" s="43"/>
    </row>
    <row r="1699" spans="14:14">
      <c r="N1699" s="43"/>
    </row>
    <row r="1700" spans="14:14">
      <c r="N1700" s="43"/>
    </row>
    <row r="1701" spans="14:14">
      <c r="N1701" s="43"/>
    </row>
    <row r="1702" spans="14:14">
      <c r="N1702" s="43"/>
    </row>
    <row r="1703" spans="14:14">
      <c r="N1703" s="43"/>
    </row>
    <row r="1704" spans="14:14">
      <c r="N1704" s="43"/>
    </row>
    <row r="1705" spans="14:14">
      <c r="N1705" s="43"/>
    </row>
    <row r="1706" spans="14:14">
      <c r="N1706" s="43"/>
    </row>
    <row r="1707" spans="14:14">
      <c r="N1707" s="43"/>
    </row>
    <row r="1708" spans="14:14">
      <c r="N1708" s="43"/>
    </row>
    <row r="1709" spans="14:14">
      <c r="N1709" s="43"/>
    </row>
    <row r="1710" spans="14:14">
      <c r="N1710" s="43"/>
    </row>
    <row r="1711" spans="14:14">
      <c r="N1711" s="43"/>
    </row>
    <row r="1712" spans="14:14">
      <c r="N1712" s="43"/>
    </row>
    <row r="1713" spans="14:14">
      <c r="N1713" s="43"/>
    </row>
    <row r="1714" spans="14:14">
      <c r="N1714" s="43"/>
    </row>
    <row r="1715" spans="14:14">
      <c r="N1715" s="43"/>
    </row>
    <row r="1716" spans="14:14">
      <c r="N1716" s="43"/>
    </row>
    <row r="1717" spans="14:14">
      <c r="N1717" s="43"/>
    </row>
    <row r="1718" spans="14:14">
      <c r="N1718" s="43"/>
    </row>
    <row r="1719" spans="14:14">
      <c r="N1719" s="43"/>
    </row>
    <row r="1720" spans="14:14">
      <c r="N1720" s="43"/>
    </row>
    <row r="1721" spans="14:14">
      <c r="N1721" s="43"/>
    </row>
    <row r="1722" spans="14:14">
      <c r="N1722" s="43"/>
    </row>
    <row r="1723" spans="14:14">
      <c r="N1723" s="43"/>
    </row>
    <row r="1724" spans="14:14">
      <c r="N1724" s="43"/>
    </row>
    <row r="1725" spans="14:14">
      <c r="N1725" s="43"/>
    </row>
    <row r="1726" spans="14:14">
      <c r="N1726" s="43"/>
    </row>
    <row r="1727" spans="14:14">
      <c r="N1727" s="43"/>
    </row>
    <row r="1728" spans="14:14">
      <c r="N1728" s="43"/>
    </row>
    <row r="1729" spans="14:14">
      <c r="N1729" s="43"/>
    </row>
    <row r="1730" spans="14:14">
      <c r="N1730" s="43"/>
    </row>
    <row r="1731" spans="14:14">
      <c r="N1731" s="43"/>
    </row>
    <row r="1732" spans="14:14">
      <c r="N1732" s="43"/>
    </row>
    <row r="1733" spans="14:14">
      <c r="N1733" s="43"/>
    </row>
    <row r="1734" spans="14:14">
      <c r="N1734" s="43"/>
    </row>
    <row r="1735" spans="14:14">
      <c r="N1735" s="43"/>
    </row>
    <row r="1736" spans="14:14">
      <c r="N1736" s="43"/>
    </row>
    <row r="1737" spans="14:14">
      <c r="N1737" s="43"/>
    </row>
    <row r="1738" spans="14:14">
      <c r="N1738" s="43"/>
    </row>
    <row r="1739" spans="14:14">
      <c r="N1739" s="43"/>
    </row>
    <row r="1740" spans="14:14">
      <c r="N1740" s="43"/>
    </row>
    <row r="1741" spans="14:14">
      <c r="N1741" s="43"/>
    </row>
    <row r="1742" spans="14:14">
      <c r="N1742" s="43"/>
    </row>
    <row r="1743" spans="14:14">
      <c r="N1743" s="43"/>
    </row>
    <row r="1744" spans="14:14">
      <c r="N1744" s="43"/>
    </row>
    <row r="1745" spans="14:14">
      <c r="N1745" s="43"/>
    </row>
    <row r="1746" spans="14:14">
      <c r="N1746" s="43"/>
    </row>
    <row r="1747" spans="14:14">
      <c r="N1747" s="43"/>
    </row>
    <row r="1748" spans="14:14">
      <c r="N1748" s="43"/>
    </row>
    <row r="1749" spans="14:14">
      <c r="N1749" s="43"/>
    </row>
    <row r="1750" spans="14:14">
      <c r="N1750" s="43"/>
    </row>
    <row r="1751" spans="14:14">
      <c r="N1751" s="43"/>
    </row>
    <row r="1752" spans="14:14">
      <c r="N1752" s="43"/>
    </row>
    <row r="1753" spans="14:14">
      <c r="N1753" s="43"/>
    </row>
    <row r="1754" spans="14:14">
      <c r="N1754" s="43"/>
    </row>
    <row r="1755" spans="14:14">
      <c r="N1755" s="43"/>
    </row>
    <row r="1756" spans="14:14">
      <c r="N1756" s="43"/>
    </row>
    <row r="1757" spans="14:14">
      <c r="N1757" s="43"/>
    </row>
    <row r="1758" spans="14:14">
      <c r="N1758" s="43"/>
    </row>
    <row r="1759" spans="14:14">
      <c r="N1759" s="43"/>
    </row>
    <row r="1760" spans="14:14">
      <c r="N1760" s="43"/>
    </row>
    <row r="1761" spans="14:14">
      <c r="N1761" s="43"/>
    </row>
    <row r="1762" spans="14:14">
      <c r="N1762" s="43"/>
    </row>
    <row r="1763" spans="14:14">
      <c r="N1763" s="43"/>
    </row>
    <row r="1764" spans="14:14">
      <c r="N1764" s="43"/>
    </row>
    <row r="1765" spans="14:14">
      <c r="N1765" s="43"/>
    </row>
    <row r="1766" spans="14:14">
      <c r="N1766" s="43"/>
    </row>
    <row r="1767" spans="14:14">
      <c r="N1767" s="43"/>
    </row>
    <row r="1768" spans="14:14">
      <c r="N1768" s="43"/>
    </row>
    <row r="1769" spans="14:14">
      <c r="N1769" s="43"/>
    </row>
    <row r="1770" spans="14:14">
      <c r="N1770" s="43"/>
    </row>
    <row r="1771" spans="14:14">
      <c r="N1771" s="43"/>
    </row>
    <row r="1772" spans="14:14">
      <c r="N1772" s="43"/>
    </row>
    <row r="1773" spans="14:14">
      <c r="N1773" s="43"/>
    </row>
    <row r="1774" spans="14:14">
      <c r="N1774" s="43"/>
    </row>
    <row r="1775" spans="14:14">
      <c r="N1775" s="43"/>
    </row>
    <row r="1776" spans="14:14">
      <c r="N1776" s="43"/>
    </row>
    <row r="1777" spans="14:14">
      <c r="N1777" s="43"/>
    </row>
    <row r="1778" spans="14:14">
      <c r="N1778" s="43"/>
    </row>
    <row r="1779" spans="14:14">
      <c r="N1779" s="43"/>
    </row>
    <row r="1780" spans="14:14">
      <c r="N1780" s="43"/>
    </row>
    <row r="1781" spans="14:14">
      <c r="N1781" s="43"/>
    </row>
    <row r="1782" spans="14:14">
      <c r="N1782" s="43"/>
    </row>
    <row r="1783" spans="14:14">
      <c r="N1783" s="43"/>
    </row>
    <row r="1784" spans="14:14">
      <c r="N1784" s="43"/>
    </row>
    <row r="1785" spans="14:14">
      <c r="N1785" s="43"/>
    </row>
    <row r="1786" spans="14:14">
      <c r="N1786" s="43"/>
    </row>
    <row r="1787" spans="14:14">
      <c r="N1787" s="43"/>
    </row>
    <row r="1788" spans="14:14">
      <c r="N1788" s="43"/>
    </row>
    <row r="1789" spans="14:14">
      <c r="N1789" s="43"/>
    </row>
    <row r="1790" spans="14:14">
      <c r="N1790" s="43"/>
    </row>
    <row r="1791" spans="14:14">
      <c r="N1791" s="43"/>
    </row>
    <row r="1792" spans="14:14">
      <c r="N1792" s="43"/>
    </row>
    <row r="1793" spans="14:14">
      <c r="N1793" s="43"/>
    </row>
    <row r="1794" spans="14:14">
      <c r="N1794" s="43"/>
    </row>
    <row r="1795" spans="14:14">
      <c r="N1795" s="43"/>
    </row>
    <row r="1796" spans="14:14">
      <c r="N1796" s="43"/>
    </row>
    <row r="1797" spans="14:14">
      <c r="N1797" s="43"/>
    </row>
    <row r="1798" spans="14:14">
      <c r="N1798" s="43"/>
    </row>
    <row r="1799" spans="14:14">
      <c r="N1799" s="43"/>
    </row>
    <row r="1800" spans="14:14">
      <c r="N1800" s="43"/>
    </row>
    <row r="1801" spans="14:14">
      <c r="N1801" s="43"/>
    </row>
    <row r="1802" spans="14:14">
      <c r="N1802" s="43"/>
    </row>
    <row r="1803" spans="14:14">
      <c r="N1803" s="43"/>
    </row>
    <row r="1804" spans="14:14">
      <c r="N1804" s="43"/>
    </row>
    <row r="1805" spans="14:14">
      <c r="N1805" s="43"/>
    </row>
    <row r="1806" spans="14:14">
      <c r="N1806" s="43"/>
    </row>
    <row r="1807" spans="14:14">
      <c r="N1807" s="43"/>
    </row>
    <row r="1808" spans="14:14">
      <c r="N1808" s="43"/>
    </row>
    <row r="1809" spans="14:14">
      <c r="N1809" s="43"/>
    </row>
    <row r="1810" spans="14:14">
      <c r="N1810" s="43"/>
    </row>
    <row r="1811" spans="14:14">
      <c r="N1811" s="43"/>
    </row>
    <row r="1812" spans="14:14">
      <c r="N1812" s="43"/>
    </row>
    <row r="1813" spans="14:14">
      <c r="N1813" s="43"/>
    </row>
    <row r="1814" spans="14:14">
      <c r="N1814" s="43"/>
    </row>
    <row r="1815" spans="14:14">
      <c r="N1815" s="43"/>
    </row>
    <row r="1816" spans="14:14">
      <c r="N1816" s="43"/>
    </row>
    <row r="1817" spans="14:14">
      <c r="N1817" s="43"/>
    </row>
    <row r="1818" spans="14:14">
      <c r="N1818" s="43"/>
    </row>
    <row r="1819" spans="14:14">
      <c r="N1819" s="43"/>
    </row>
    <row r="1820" spans="14:14">
      <c r="N1820" s="43"/>
    </row>
    <row r="1821" spans="14:14">
      <c r="N1821" s="43"/>
    </row>
    <row r="1822" spans="14:14">
      <c r="N1822" s="43"/>
    </row>
    <row r="1823" spans="14:14">
      <c r="N1823" s="43"/>
    </row>
    <row r="1824" spans="14:14">
      <c r="N1824" s="43"/>
    </row>
    <row r="1825" spans="14:14">
      <c r="N1825" s="43"/>
    </row>
    <row r="1826" spans="14:14">
      <c r="N1826" s="43"/>
    </row>
    <row r="1827" spans="14:14">
      <c r="N1827" s="43"/>
    </row>
    <row r="1828" spans="14:14">
      <c r="N1828" s="43"/>
    </row>
    <row r="1829" spans="14:14">
      <c r="N1829" s="43"/>
    </row>
    <row r="1830" spans="14:14">
      <c r="N1830" s="43"/>
    </row>
    <row r="1831" spans="14:14">
      <c r="N1831" s="43"/>
    </row>
    <row r="1832" spans="14:14">
      <c r="N1832" s="43"/>
    </row>
    <row r="1833" spans="14:14">
      <c r="N1833" s="43"/>
    </row>
    <row r="1834" spans="14:14">
      <c r="N1834" s="43"/>
    </row>
    <row r="1835" spans="14:14">
      <c r="N1835" s="43"/>
    </row>
    <row r="1836" spans="14:14">
      <c r="N1836" s="43"/>
    </row>
    <row r="1837" spans="14:14">
      <c r="N1837" s="43"/>
    </row>
    <row r="1838" spans="14:14">
      <c r="N1838" s="43"/>
    </row>
    <row r="1839" spans="14:14">
      <c r="N1839" s="43"/>
    </row>
    <row r="1840" spans="14:14">
      <c r="N1840" s="43"/>
    </row>
    <row r="1841" spans="14:14">
      <c r="N1841" s="43"/>
    </row>
    <row r="1842" spans="14:14">
      <c r="N1842" s="43"/>
    </row>
    <row r="1843" spans="14:14">
      <c r="N1843" s="43"/>
    </row>
    <row r="1844" spans="14:14">
      <c r="N1844" s="43"/>
    </row>
    <row r="1845" spans="14:14">
      <c r="N1845" s="43"/>
    </row>
    <row r="1846" spans="14:14">
      <c r="N1846" s="43"/>
    </row>
    <row r="1847" spans="14:14">
      <c r="N1847" s="43"/>
    </row>
    <row r="1848" spans="14:14">
      <c r="N1848" s="43"/>
    </row>
    <row r="1849" spans="14:14">
      <c r="N1849" s="43"/>
    </row>
    <row r="1850" spans="14:14">
      <c r="N1850" s="43"/>
    </row>
    <row r="1851" spans="14:14">
      <c r="N1851" s="43"/>
    </row>
    <row r="1852" spans="14:14">
      <c r="N1852" s="43"/>
    </row>
    <row r="1853" spans="14:14">
      <c r="N1853" s="43"/>
    </row>
    <row r="1854" spans="14:14">
      <c r="N1854" s="43"/>
    </row>
    <row r="1855" spans="14:14">
      <c r="N1855" s="43"/>
    </row>
    <row r="1856" spans="14:14">
      <c r="N1856" s="43"/>
    </row>
    <row r="1857" spans="14:14">
      <c r="N1857" s="43"/>
    </row>
    <row r="1858" spans="14:14">
      <c r="N1858" s="43"/>
    </row>
    <row r="1859" spans="14:14">
      <c r="N1859" s="43"/>
    </row>
    <row r="1860" spans="14:14">
      <c r="N1860" s="43"/>
    </row>
    <row r="1861" spans="14:14">
      <c r="N1861" s="43"/>
    </row>
    <row r="1862" spans="14:14">
      <c r="N1862" s="43"/>
    </row>
    <row r="1863" spans="14:14">
      <c r="N1863" s="43"/>
    </row>
    <row r="1864" spans="14:14">
      <c r="N1864" s="43"/>
    </row>
    <row r="1865" spans="14:14">
      <c r="N1865" s="43"/>
    </row>
    <row r="1866" spans="14:14">
      <c r="N1866" s="43"/>
    </row>
    <row r="1867" spans="14:14">
      <c r="N1867" s="43"/>
    </row>
    <row r="1868" spans="14:14">
      <c r="N1868" s="43"/>
    </row>
    <row r="1869" spans="14:14">
      <c r="N1869" s="43"/>
    </row>
    <row r="1870" spans="14:14">
      <c r="N1870" s="43"/>
    </row>
    <row r="1871" spans="14:14">
      <c r="N1871" s="43"/>
    </row>
    <row r="1872" spans="14:14">
      <c r="N1872" s="43"/>
    </row>
    <row r="1873" spans="14:14">
      <c r="N1873" s="43"/>
    </row>
    <row r="1874" spans="14:14">
      <c r="N1874" s="43"/>
    </row>
    <row r="1875" spans="14:14">
      <c r="N1875" s="43"/>
    </row>
    <row r="1876" spans="14:14">
      <c r="N1876" s="43"/>
    </row>
    <row r="1877" spans="14:14">
      <c r="N1877" s="43"/>
    </row>
    <row r="1878" spans="14:14">
      <c r="N1878" s="43"/>
    </row>
    <row r="1879" spans="14:14">
      <c r="N1879" s="43"/>
    </row>
    <row r="1880" spans="14:14">
      <c r="N1880" s="43"/>
    </row>
    <row r="1881" spans="14:14">
      <c r="N1881" s="43"/>
    </row>
    <row r="1882" spans="14:14">
      <c r="N1882" s="43"/>
    </row>
    <row r="1883" spans="14:14">
      <c r="N1883" s="43"/>
    </row>
    <row r="1884" spans="14:14">
      <c r="N1884" s="43"/>
    </row>
    <row r="1885" spans="14:14">
      <c r="N1885" s="43"/>
    </row>
    <row r="1886" spans="14:14">
      <c r="N1886" s="43"/>
    </row>
    <row r="1887" spans="14:14">
      <c r="N1887" s="43"/>
    </row>
    <row r="1888" spans="14:14">
      <c r="N1888" s="43"/>
    </row>
    <row r="1889" spans="14:14">
      <c r="N1889" s="43"/>
    </row>
    <row r="1890" spans="14:14">
      <c r="N1890" s="43"/>
    </row>
    <row r="1891" spans="14:14">
      <c r="N1891" s="43"/>
    </row>
    <row r="1892" spans="14:14">
      <c r="N1892" s="43"/>
    </row>
    <row r="1893" spans="14:14">
      <c r="N1893" s="43"/>
    </row>
    <row r="1894" spans="14:14">
      <c r="N1894" s="43"/>
    </row>
    <row r="1895" spans="14:14">
      <c r="N1895" s="43"/>
    </row>
    <row r="1896" spans="14:14">
      <c r="N1896" s="43"/>
    </row>
    <row r="1897" spans="14:14">
      <c r="N1897" s="43"/>
    </row>
    <row r="1898" spans="14:14">
      <c r="N1898" s="43"/>
    </row>
    <row r="1899" spans="14:14">
      <c r="N1899" s="43"/>
    </row>
    <row r="1900" spans="14:14">
      <c r="N1900" s="43"/>
    </row>
    <row r="1901" spans="14:14">
      <c r="N1901" s="43"/>
    </row>
    <row r="1902" spans="14:14">
      <c r="N1902" s="43"/>
    </row>
    <row r="1903" spans="14:14">
      <c r="N1903" s="43"/>
    </row>
    <row r="1904" spans="14:14">
      <c r="N1904" s="43"/>
    </row>
    <row r="1905" spans="14:14">
      <c r="N1905" s="43"/>
    </row>
    <row r="1906" spans="14:14">
      <c r="N1906" s="43"/>
    </row>
    <row r="1907" spans="14:14">
      <c r="N1907" s="43"/>
    </row>
    <row r="1908" spans="14:14">
      <c r="N1908" s="43"/>
    </row>
    <row r="1909" spans="14:14">
      <c r="N1909" s="43"/>
    </row>
    <row r="1910" spans="14:14">
      <c r="N1910" s="43"/>
    </row>
    <row r="1911" spans="14:14">
      <c r="N1911" s="43"/>
    </row>
    <row r="1912" spans="14:14">
      <c r="N1912" s="43"/>
    </row>
    <row r="1913" spans="14:14">
      <c r="N1913" s="43"/>
    </row>
    <row r="1914" spans="14:14">
      <c r="N1914" s="43"/>
    </row>
    <row r="1915" spans="14:14">
      <c r="N1915" s="43"/>
    </row>
    <row r="1916" spans="14:14">
      <c r="N1916" s="43"/>
    </row>
    <row r="1917" spans="14:14">
      <c r="N1917" s="43"/>
    </row>
    <row r="1918" spans="14:14">
      <c r="N1918" s="43"/>
    </row>
    <row r="1919" spans="14:14">
      <c r="N1919" s="43"/>
    </row>
    <row r="1920" spans="14:14">
      <c r="N1920" s="43"/>
    </row>
    <row r="1921" spans="14:14">
      <c r="N1921" s="43"/>
    </row>
    <row r="1922" spans="14:14">
      <c r="N1922" s="43"/>
    </row>
    <row r="1923" spans="14:14">
      <c r="N1923" s="43"/>
    </row>
    <row r="1924" spans="14:14">
      <c r="N1924" s="43"/>
    </row>
    <row r="1925" spans="14:14">
      <c r="N1925" s="43"/>
    </row>
    <row r="1926" spans="14:14">
      <c r="N1926" s="43"/>
    </row>
    <row r="1927" spans="14:14">
      <c r="N1927" s="43"/>
    </row>
    <row r="1928" spans="14:14">
      <c r="N1928" s="43"/>
    </row>
    <row r="1929" spans="14:14">
      <c r="N1929" s="43"/>
    </row>
    <row r="1930" spans="14:14">
      <c r="N1930" s="43"/>
    </row>
    <row r="1931" spans="14:14">
      <c r="N1931" s="43"/>
    </row>
    <row r="1932" spans="14:14">
      <c r="N1932" s="43"/>
    </row>
    <row r="1933" spans="14:14">
      <c r="N1933" s="43"/>
    </row>
    <row r="1934" spans="14:14">
      <c r="N1934" s="43"/>
    </row>
    <row r="1935" spans="14:14">
      <c r="N1935" s="43"/>
    </row>
    <row r="1936" spans="14:14">
      <c r="N1936" s="43"/>
    </row>
    <row r="1937" spans="14:14">
      <c r="N1937" s="43"/>
    </row>
    <row r="1938" spans="14:14">
      <c r="N1938" s="43"/>
    </row>
    <row r="1939" spans="14:14">
      <c r="N1939" s="43"/>
    </row>
    <row r="1940" spans="14:14">
      <c r="N1940" s="43"/>
    </row>
    <row r="1941" spans="14:14">
      <c r="N1941" s="43"/>
    </row>
    <row r="1942" spans="14:14">
      <c r="N1942" s="43"/>
    </row>
    <row r="1943" spans="14:14">
      <c r="N1943" s="43"/>
    </row>
    <row r="1944" spans="14:14">
      <c r="N1944" s="43"/>
    </row>
    <row r="1945" spans="14:14">
      <c r="N1945" s="43"/>
    </row>
    <row r="1946" spans="14:14">
      <c r="N1946" s="43"/>
    </row>
    <row r="1947" spans="14:14">
      <c r="N1947" s="43"/>
    </row>
    <row r="1948" spans="14:14">
      <c r="N1948" s="43"/>
    </row>
    <row r="1949" spans="14:14">
      <c r="N1949" s="43"/>
    </row>
    <row r="1950" spans="14:14">
      <c r="N1950" s="43"/>
    </row>
    <row r="1951" spans="14:14">
      <c r="N1951" s="43"/>
    </row>
    <row r="1952" spans="14:14">
      <c r="N1952" s="43"/>
    </row>
    <row r="1953" spans="14:14">
      <c r="N1953" s="43"/>
    </row>
    <row r="1954" spans="14:14">
      <c r="N1954" s="43"/>
    </row>
    <row r="1955" spans="14:14">
      <c r="N1955" s="43"/>
    </row>
    <row r="1956" spans="14:14">
      <c r="N1956" s="43"/>
    </row>
    <row r="1957" spans="14:14">
      <c r="N1957" s="43"/>
    </row>
    <row r="1958" spans="14:14">
      <c r="N1958" s="43"/>
    </row>
    <row r="1959" spans="14:14">
      <c r="N1959" s="43"/>
    </row>
    <row r="1960" spans="14:14">
      <c r="N1960" s="43"/>
    </row>
    <row r="1961" spans="14:14">
      <c r="N1961" s="43"/>
    </row>
    <row r="1962" spans="14:14">
      <c r="N1962" s="43"/>
    </row>
    <row r="1963" spans="14:14">
      <c r="N1963" s="43"/>
    </row>
    <row r="1964" spans="14:14">
      <c r="N1964" s="43"/>
    </row>
    <row r="1965" spans="14:14">
      <c r="N1965" s="43"/>
    </row>
    <row r="1966" spans="14:14">
      <c r="N1966" s="43"/>
    </row>
    <row r="1967" spans="14:14">
      <c r="N1967" s="43"/>
    </row>
    <row r="1968" spans="14:14">
      <c r="N1968" s="43"/>
    </row>
    <row r="1969" spans="14:14">
      <c r="N1969" s="43"/>
    </row>
    <row r="1970" spans="14:14">
      <c r="N1970" s="43"/>
    </row>
    <row r="1971" spans="14:14">
      <c r="N1971" s="43"/>
    </row>
    <row r="1972" spans="14:14">
      <c r="N1972" s="43"/>
    </row>
    <row r="1973" spans="14:14">
      <c r="N1973" s="43"/>
    </row>
    <row r="1974" spans="14:14">
      <c r="N1974" s="43"/>
    </row>
    <row r="1975" spans="14:14">
      <c r="N1975" s="43"/>
    </row>
    <row r="1976" spans="14:14">
      <c r="N1976" s="43"/>
    </row>
    <row r="1977" spans="14:14">
      <c r="N1977" s="43"/>
    </row>
    <row r="1978" spans="14:14">
      <c r="N1978" s="43"/>
    </row>
    <row r="1979" spans="14:14">
      <c r="N1979" s="43"/>
    </row>
    <row r="1980" spans="14:14">
      <c r="N1980" s="43"/>
    </row>
    <row r="1981" spans="14:14">
      <c r="N1981" s="43"/>
    </row>
    <row r="1982" spans="14:14">
      <c r="N1982" s="43"/>
    </row>
    <row r="1983" spans="14:14">
      <c r="N1983" s="43"/>
    </row>
    <row r="1984" spans="14:14">
      <c r="N1984" s="43"/>
    </row>
    <row r="1985" spans="14:14">
      <c r="N1985" s="43"/>
    </row>
    <row r="1986" spans="14:14">
      <c r="N1986" s="43"/>
    </row>
    <row r="1987" spans="14:14">
      <c r="N1987" s="43"/>
    </row>
    <row r="1988" spans="14:14">
      <c r="N1988" s="43"/>
    </row>
    <row r="1989" spans="14:14">
      <c r="N1989" s="43"/>
    </row>
    <row r="1990" spans="14:14">
      <c r="N1990" s="43"/>
    </row>
    <row r="1991" spans="14:14">
      <c r="N1991" s="43"/>
    </row>
    <row r="1992" spans="14:14">
      <c r="N1992" s="43"/>
    </row>
    <row r="1993" spans="14:14">
      <c r="N1993" s="43"/>
    </row>
    <row r="1994" spans="14:14">
      <c r="N1994" s="43"/>
    </row>
    <row r="1995" spans="14:14">
      <c r="N1995" s="43"/>
    </row>
    <row r="1996" spans="14:14">
      <c r="N1996" s="43"/>
    </row>
    <row r="1997" spans="14:14">
      <c r="N1997" s="43"/>
    </row>
    <row r="1998" spans="14:14">
      <c r="N1998" s="43"/>
    </row>
    <row r="1999" spans="14:14">
      <c r="N1999" s="43"/>
    </row>
    <row r="2000" spans="14:14">
      <c r="N2000" s="43"/>
    </row>
    <row r="2001" spans="14:14">
      <c r="N2001" s="43"/>
    </row>
    <row r="2002" spans="14:14">
      <c r="N2002" s="43"/>
    </row>
    <row r="2003" spans="14:14">
      <c r="N2003" s="43"/>
    </row>
    <row r="2004" spans="14:14">
      <c r="N2004" s="43"/>
    </row>
    <row r="2005" spans="14:14">
      <c r="N2005" s="43"/>
    </row>
    <row r="2006" spans="14:14">
      <c r="N2006" s="43"/>
    </row>
    <row r="2007" spans="14:14">
      <c r="N2007" s="43"/>
    </row>
    <row r="2008" spans="14:14">
      <c r="N2008" s="43"/>
    </row>
    <row r="2009" spans="14:14">
      <c r="N2009" s="43"/>
    </row>
    <row r="2010" spans="14:14">
      <c r="N2010" s="43"/>
    </row>
    <row r="2011" spans="14:14">
      <c r="N2011" s="43"/>
    </row>
    <row r="2012" spans="14:14">
      <c r="N2012" s="43"/>
    </row>
    <row r="2013" spans="14:14">
      <c r="N2013" s="43"/>
    </row>
    <row r="2014" spans="14:14">
      <c r="N2014" s="43"/>
    </row>
    <row r="2015" spans="14:14">
      <c r="N2015" s="43"/>
    </row>
    <row r="2016" spans="14:14">
      <c r="N2016" s="43"/>
    </row>
    <row r="2017" spans="14:14">
      <c r="N2017" s="43"/>
    </row>
    <row r="2018" spans="14:14">
      <c r="N2018" s="43"/>
    </row>
    <row r="2019" spans="14:14">
      <c r="N2019" s="43"/>
    </row>
    <row r="2020" spans="14:14">
      <c r="N2020" s="43"/>
    </row>
    <row r="2021" spans="14:14">
      <c r="N2021" s="43"/>
    </row>
    <row r="2022" spans="14:14">
      <c r="N2022" s="43"/>
    </row>
    <row r="2023" spans="14:14">
      <c r="N2023" s="43"/>
    </row>
    <row r="2024" spans="14:14">
      <c r="N2024" s="43"/>
    </row>
    <row r="2025" spans="14:14">
      <c r="N2025" s="43"/>
    </row>
    <row r="2026" spans="14:14">
      <c r="N2026" s="43"/>
    </row>
    <row r="2027" spans="14:14">
      <c r="N2027" s="43"/>
    </row>
    <row r="2028" spans="14:14">
      <c r="N2028" s="43"/>
    </row>
    <row r="2029" spans="14:14">
      <c r="N2029" s="43"/>
    </row>
    <row r="2030" spans="14:14">
      <c r="N2030" s="43"/>
    </row>
    <row r="2031" spans="14:14">
      <c r="N2031" s="43"/>
    </row>
    <row r="2032" spans="14:14">
      <c r="N2032" s="43"/>
    </row>
    <row r="2033" spans="14:14">
      <c r="N2033" s="43"/>
    </row>
    <row r="2034" spans="14:14">
      <c r="N2034" s="43"/>
    </row>
    <row r="2035" spans="14:14">
      <c r="N2035" s="43"/>
    </row>
    <row r="2036" spans="14:14">
      <c r="N2036" s="43"/>
    </row>
    <row r="2037" spans="14:14">
      <c r="N2037" s="43"/>
    </row>
    <row r="2038" spans="14:14">
      <c r="N2038" s="43"/>
    </row>
    <row r="2039" spans="14:14">
      <c r="N2039" s="43"/>
    </row>
    <row r="2040" spans="14:14">
      <c r="N2040" s="43"/>
    </row>
    <row r="2041" spans="14:14">
      <c r="N2041" s="43"/>
    </row>
    <row r="2042" spans="14:14">
      <c r="N2042" s="43"/>
    </row>
    <row r="2043" spans="14:14">
      <c r="N2043" s="43"/>
    </row>
    <row r="2044" spans="14:14">
      <c r="N2044" s="43"/>
    </row>
    <row r="2045" spans="14:14">
      <c r="N2045" s="43"/>
    </row>
    <row r="2046" spans="14:14">
      <c r="N2046" s="43"/>
    </row>
    <row r="2047" spans="14:14">
      <c r="N2047" s="43"/>
    </row>
    <row r="2048" spans="14:14">
      <c r="N2048" s="43"/>
    </row>
    <row r="2049" spans="14:14">
      <c r="N2049" s="43"/>
    </row>
    <row r="2050" spans="14:14">
      <c r="N2050" s="43"/>
    </row>
    <row r="2051" spans="14:14">
      <c r="N2051" s="43"/>
    </row>
    <row r="2052" spans="14:14">
      <c r="N2052" s="43"/>
    </row>
    <row r="2053" spans="14:14">
      <c r="N2053" s="43"/>
    </row>
    <row r="2054" spans="14:14">
      <c r="N2054" s="43"/>
    </row>
    <row r="2055" spans="14:14">
      <c r="N2055" s="43"/>
    </row>
    <row r="2056" spans="14:14">
      <c r="N2056" s="43"/>
    </row>
    <row r="2057" spans="14:14">
      <c r="N2057" s="43"/>
    </row>
    <row r="2058" spans="14:14">
      <c r="N2058" s="43"/>
    </row>
    <row r="2059" spans="14:14">
      <c r="N2059" s="43"/>
    </row>
    <row r="2060" spans="14:14">
      <c r="N2060" s="43"/>
    </row>
    <row r="2061" spans="14:14">
      <c r="N2061" s="43"/>
    </row>
    <row r="2062" spans="14:14">
      <c r="N2062" s="43"/>
    </row>
    <row r="2063" spans="14:14">
      <c r="N2063" s="43"/>
    </row>
    <row r="2064" spans="14:14">
      <c r="N2064" s="43"/>
    </row>
    <row r="2065" spans="14:14">
      <c r="N2065" s="43"/>
    </row>
    <row r="2066" spans="14:14">
      <c r="N2066" s="43"/>
    </row>
    <row r="2067" spans="14:14">
      <c r="N2067" s="43"/>
    </row>
    <row r="2068" spans="14:14">
      <c r="N2068" s="43"/>
    </row>
    <row r="2069" spans="14:14">
      <c r="N2069" s="43"/>
    </row>
    <row r="2070" spans="14:14">
      <c r="N2070" s="43"/>
    </row>
    <row r="2071" spans="14:14">
      <c r="N2071" s="43"/>
    </row>
    <row r="2072" spans="14:14">
      <c r="N2072" s="43"/>
    </row>
    <row r="2073" spans="14:14">
      <c r="N2073" s="43"/>
    </row>
    <row r="2074" spans="14:14">
      <c r="N2074" s="43"/>
    </row>
    <row r="2075" spans="14:14">
      <c r="N2075" s="43"/>
    </row>
    <row r="2076" spans="14:14">
      <c r="N2076" s="43"/>
    </row>
    <row r="2077" spans="14:14">
      <c r="N2077" s="43"/>
    </row>
    <row r="2078" spans="14:14">
      <c r="N2078" s="43"/>
    </row>
    <row r="2079" spans="14:14">
      <c r="N2079" s="43"/>
    </row>
    <row r="2080" spans="14:14">
      <c r="N2080" s="43"/>
    </row>
    <row r="2081" spans="14:14">
      <c r="N2081" s="43"/>
    </row>
    <row r="2082" spans="14:14">
      <c r="N2082" s="43"/>
    </row>
    <row r="2083" spans="14:14">
      <c r="N2083" s="43"/>
    </row>
    <row r="2084" spans="14:14">
      <c r="N2084" s="43"/>
    </row>
    <row r="2085" spans="14:14">
      <c r="N2085" s="43"/>
    </row>
    <row r="2086" spans="14:14">
      <c r="N2086" s="43"/>
    </row>
    <row r="2087" spans="14:14">
      <c r="N2087" s="43"/>
    </row>
    <row r="2088" spans="14:14">
      <c r="N2088" s="43"/>
    </row>
    <row r="2089" spans="14:14">
      <c r="N2089" s="43"/>
    </row>
    <row r="2090" spans="14:14">
      <c r="N2090" s="43"/>
    </row>
    <row r="2091" spans="14:14">
      <c r="N2091" s="43"/>
    </row>
    <row r="2092" spans="14:14">
      <c r="N2092" s="43"/>
    </row>
    <row r="2093" spans="14:14">
      <c r="N2093" s="43"/>
    </row>
    <row r="2094" spans="14:14">
      <c r="N2094" s="43"/>
    </row>
    <row r="2095" spans="14:14">
      <c r="N2095" s="43"/>
    </row>
    <row r="2096" spans="14:14">
      <c r="N2096" s="43"/>
    </row>
    <row r="2097" spans="14:14">
      <c r="N2097" s="43"/>
    </row>
    <row r="2098" spans="14:14">
      <c r="N2098" s="43"/>
    </row>
    <row r="2099" spans="14:14">
      <c r="N2099" s="43"/>
    </row>
    <row r="2100" spans="14:14">
      <c r="N2100" s="43"/>
    </row>
    <row r="2101" spans="14:14">
      <c r="N2101" s="43"/>
    </row>
    <row r="2102" spans="14:14">
      <c r="N2102" s="43"/>
    </row>
    <row r="2103" spans="14:14">
      <c r="N2103" s="43"/>
    </row>
    <row r="2104" spans="14:14">
      <c r="N2104" s="43"/>
    </row>
    <row r="2105" spans="14:14">
      <c r="N2105" s="43"/>
    </row>
    <row r="2106" spans="14:14">
      <c r="N2106" s="43"/>
    </row>
    <row r="2107" spans="14:14">
      <c r="N2107" s="43"/>
    </row>
    <row r="2108" spans="14:14">
      <c r="N2108" s="43"/>
    </row>
    <row r="2109" spans="14:14">
      <c r="N2109" s="43"/>
    </row>
    <row r="2110" spans="14:14">
      <c r="N2110" s="43"/>
    </row>
    <row r="2111" spans="14:14">
      <c r="N2111" s="43"/>
    </row>
    <row r="2112" spans="14:14">
      <c r="N2112" s="43"/>
    </row>
    <row r="2113" spans="14:14">
      <c r="N2113" s="43"/>
    </row>
    <row r="2114" spans="14:14">
      <c r="N2114" s="43"/>
    </row>
    <row r="2115" spans="14:14">
      <c r="N2115" s="43"/>
    </row>
    <row r="2116" spans="14:14">
      <c r="N2116" s="43"/>
    </row>
    <row r="2117" spans="14:14">
      <c r="N2117" s="43"/>
    </row>
    <row r="2118" spans="14:14">
      <c r="N2118" s="43"/>
    </row>
    <row r="2119" spans="14:14">
      <c r="N2119" s="43"/>
    </row>
    <row r="2120" spans="14:14">
      <c r="N2120" s="43"/>
    </row>
    <row r="2121" spans="14:14">
      <c r="N2121" s="43"/>
    </row>
    <row r="2122" spans="14:14">
      <c r="N2122" s="43"/>
    </row>
    <row r="2123" spans="14:14">
      <c r="N2123" s="43"/>
    </row>
    <row r="2124" spans="14:14">
      <c r="N2124" s="43"/>
    </row>
    <row r="2125" spans="14:14">
      <c r="N2125" s="43"/>
    </row>
    <row r="2126" spans="14:14">
      <c r="N2126" s="43"/>
    </row>
    <row r="2127" spans="14:14">
      <c r="N2127" s="43"/>
    </row>
    <row r="2128" spans="14:14">
      <c r="N2128" s="43"/>
    </row>
    <row r="2129" spans="14:14">
      <c r="N2129" s="43"/>
    </row>
    <row r="2130" spans="14:14">
      <c r="N2130" s="43"/>
    </row>
    <row r="2131" spans="14:14">
      <c r="N2131" s="43"/>
    </row>
    <row r="2132" spans="14:14">
      <c r="N2132" s="43"/>
    </row>
    <row r="2133" spans="14:14">
      <c r="N2133" s="43"/>
    </row>
    <row r="2134" spans="14:14">
      <c r="N2134" s="43"/>
    </row>
    <row r="2135" spans="14:14">
      <c r="N2135" s="43"/>
    </row>
    <row r="2136" spans="14:14">
      <c r="N2136" s="43"/>
    </row>
    <row r="2137" spans="14:14">
      <c r="N2137" s="43"/>
    </row>
    <row r="2138" spans="14:14">
      <c r="N2138" s="43"/>
    </row>
    <row r="2139" spans="14:14">
      <c r="N2139" s="43"/>
    </row>
    <row r="2140" spans="14:14">
      <c r="N2140" s="43"/>
    </row>
    <row r="2141" spans="14:14">
      <c r="N2141" s="43"/>
    </row>
    <row r="2142" spans="14:14">
      <c r="N2142" s="43"/>
    </row>
    <row r="2143" spans="14:14">
      <c r="N2143" s="43"/>
    </row>
    <row r="2144" spans="14:14">
      <c r="N2144" s="43"/>
    </row>
    <row r="2145" spans="14:14">
      <c r="N2145" s="43"/>
    </row>
    <row r="2146" spans="14:14">
      <c r="N2146" s="43"/>
    </row>
    <row r="2147" spans="14:14">
      <c r="N2147" s="43"/>
    </row>
    <row r="2148" spans="14:14">
      <c r="N2148" s="43"/>
    </row>
    <row r="2149" spans="14:14">
      <c r="N2149" s="43"/>
    </row>
    <row r="2150" spans="14:14">
      <c r="N2150" s="43"/>
    </row>
    <row r="2151" spans="14:14">
      <c r="N2151" s="43"/>
    </row>
    <row r="2152" spans="14:14">
      <c r="N2152" s="43"/>
    </row>
    <row r="2153" spans="14:14">
      <c r="N2153" s="43"/>
    </row>
    <row r="2154" spans="14:14">
      <c r="N2154" s="43"/>
    </row>
    <row r="2155" spans="14:14">
      <c r="N2155" s="43"/>
    </row>
    <row r="2156" spans="14:14">
      <c r="N2156" s="43"/>
    </row>
    <row r="2157" spans="14:14">
      <c r="N2157" s="43"/>
    </row>
    <row r="2158" spans="14:14">
      <c r="N2158" s="43"/>
    </row>
    <row r="2159" spans="14:14">
      <c r="N2159" s="43"/>
    </row>
    <row r="2160" spans="14:14">
      <c r="N2160" s="43"/>
    </row>
    <row r="2161" spans="14:14">
      <c r="N2161" s="43"/>
    </row>
    <row r="2162" spans="14:14">
      <c r="N2162" s="43"/>
    </row>
    <row r="2163" spans="14:14">
      <c r="N2163" s="43"/>
    </row>
    <row r="2164" spans="14:14">
      <c r="N2164" s="43"/>
    </row>
    <row r="2165" spans="14:14">
      <c r="N2165" s="43"/>
    </row>
    <row r="2166" spans="14:14">
      <c r="N2166" s="43"/>
    </row>
    <row r="2167" spans="14:14">
      <c r="N2167" s="43"/>
    </row>
    <row r="2168" spans="14:14">
      <c r="N2168" s="43"/>
    </row>
    <row r="2169" spans="14:14">
      <c r="N2169" s="43"/>
    </row>
    <row r="2170" spans="14:14">
      <c r="N2170" s="43"/>
    </row>
    <row r="2171" spans="14:14">
      <c r="N2171" s="43"/>
    </row>
    <row r="2172" spans="14:14">
      <c r="N2172" s="43"/>
    </row>
    <row r="2173" spans="14:14">
      <c r="N2173" s="43"/>
    </row>
    <row r="2174" spans="14:14">
      <c r="N2174" s="43"/>
    </row>
    <row r="2175" spans="14:14">
      <c r="N2175" s="43"/>
    </row>
    <row r="2176" spans="14:14">
      <c r="N2176" s="43"/>
    </row>
    <row r="2177" spans="14:14">
      <c r="N2177" s="43"/>
    </row>
    <row r="2178" spans="14:14">
      <c r="N2178" s="43"/>
    </row>
    <row r="2179" spans="14:14">
      <c r="N2179" s="43"/>
    </row>
    <row r="2180" spans="14:14">
      <c r="N2180" s="43"/>
    </row>
    <row r="2181" spans="14:14">
      <c r="N2181" s="43"/>
    </row>
    <row r="2182" spans="14:14">
      <c r="N2182" s="43"/>
    </row>
    <row r="2183" spans="14:14">
      <c r="N2183" s="43"/>
    </row>
    <row r="2184" spans="14:14">
      <c r="N2184" s="43"/>
    </row>
    <row r="2185" spans="14:14">
      <c r="N2185" s="43"/>
    </row>
    <row r="2186" spans="14:14">
      <c r="N2186" s="43"/>
    </row>
    <row r="2187" spans="14:14">
      <c r="N2187" s="43"/>
    </row>
    <row r="2188" spans="14:14">
      <c r="N2188" s="43"/>
    </row>
    <row r="2189" spans="14:14">
      <c r="N2189" s="43"/>
    </row>
    <row r="2190" spans="14:14">
      <c r="N2190" s="43"/>
    </row>
    <row r="2191" spans="14:14">
      <c r="N2191" s="43"/>
    </row>
    <row r="2192" spans="14:14">
      <c r="N2192" s="43"/>
    </row>
    <row r="2193" spans="14:14">
      <c r="N2193" s="43"/>
    </row>
    <row r="2194" spans="14:14">
      <c r="N2194" s="43"/>
    </row>
    <row r="2195" spans="14:14">
      <c r="N2195" s="43"/>
    </row>
    <row r="2196" spans="14:14">
      <c r="N2196" s="43"/>
    </row>
    <row r="2197" spans="14:14">
      <c r="N2197" s="43"/>
    </row>
    <row r="2198" spans="14:14">
      <c r="N2198" s="43"/>
    </row>
    <row r="2199" spans="14:14">
      <c r="N2199" s="43"/>
    </row>
    <row r="2200" spans="14:14">
      <c r="N2200" s="43"/>
    </row>
    <row r="2201" spans="14:14">
      <c r="N2201" s="43"/>
    </row>
    <row r="2202" spans="14:14">
      <c r="N2202" s="43"/>
    </row>
    <row r="2203" spans="14:14">
      <c r="N2203" s="43"/>
    </row>
    <row r="2204" spans="14:14">
      <c r="N2204" s="43"/>
    </row>
    <row r="2205" spans="14:14">
      <c r="N2205" s="43"/>
    </row>
    <row r="2206" spans="14:14">
      <c r="N2206" s="43"/>
    </row>
    <row r="2207" spans="14:14">
      <c r="N2207" s="43"/>
    </row>
    <row r="2208" spans="14:14">
      <c r="N2208" s="43"/>
    </row>
    <row r="2209" spans="14:14">
      <c r="N2209" s="43"/>
    </row>
    <row r="2210" spans="14:14">
      <c r="N2210" s="43"/>
    </row>
    <row r="2211" spans="14:14">
      <c r="N2211" s="43"/>
    </row>
    <row r="2212" spans="14:14">
      <c r="N2212" s="43"/>
    </row>
    <row r="2213" spans="14:14">
      <c r="N2213" s="43"/>
    </row>
    <row r="2214" spans="14:14">
      <c r="N2214" s="43"/>
    </row>
    <row r="2215" spans="14:14">
      <c r="N2215" s="43"/>
    </row>
    <row r="2216" spans="14:14">
      <c r="N2216" s="43"/>
    </row>
    <row r="2217" spans="14:14">
      <c r="N2217" s="43"/>
    </row>
    <row r="2218" spans="14:14">
      <c r="N2218" s="43"/>
    </row>
    <row r="2219" spans="14:14">
      <c r="N2219" s="43"/>
    </row>
    <row r="2220" spans="14:14">
      <c r="N2220" s="43"/>
    </row>
    <row r="2221" spans="14:14">
      <c r="N2221" s="43"/>
    </row>
    <row r="2222" spans="14:14">
      <c r="N2222" s="43"/>
    </row>
    <row r="2223" spans="14:14">
      <c r="N2223" s="43"/>
    </row>
    <row r="2224" spans="14:14">
      <c r="N2224" s="43"/>
    </row>
    <row r="2225" spans="14:14">
      <c r="N2225" s="43"/>
    </row>
    <row r="2226" spans="14:14">
      <c r="N2226" s="43"/>
    </row>
    <row r="2227" spans="14:14">
      <c r="N2227" s="43"/>
    </row>
    <row r="2228" spans="14:14">
      <c r="N2228" s="43"/>
    </row>
    <row r="2229" spans="14:14">
      <c r="N2229" s="43"/>
    </row>
    <row r="2230" spans="14:14">
      <c r="N2230" s="43"/>
    </row>
    <row r="2231" spans="14:14">
      <c r="N2231" s="43"/>
    </row>
    <row r="2232" spans="14:14">
      <c r="N2232" s="43"/>
    </row>
    <row r="2233" spans="14:14">
      <c r="N2233" s="43"/>
    </row>
    <row r="2234" spans="14:14">
      <c r="N2234" s="43"/>
    </row>
    <row r="2235" spans="14:14">
      <c r="N2235" s="43"/>
    </row>
    <row r="2236" spans="14:14">
      <c r="N2236" s="43"/>
    </row>
    <row r="2237" spans="14:14">
      <c r="N2237" s="43"/>
    </row>
    <row r="2238" spans="14:14">
      <c r="N2238" s="43"/>
    </row>
    <row r="2239" spans="14:14">
      <c r="N2239" s="43"/>
    </row>
    <row r="2240" spans="14:14">
      <c r="N2240" s="43"/>
    </row>
    <row r="2241" spans="14:14">
      <c r="N2241" s="43"/>
    </row>
    <row r="2242" spans="14:14">
      <c r="N2242" s="43"/>
    </row>
    <row r="2243" spans="14:14">
      <c r="N2243" s="43"/>
    </row>
    <row r="2244" spans="14:14">
      <c r="N2244" s="43"/>
    </row>
    <row r="2245" spans="14:14">
      <c r="N2245" s="43"/>
    </row>
    <row r="2246" spans="14:14">
      <c r="N2246" s="43"/>
    </row>
    <row r="2247" spans="14:14">
      <c r="N2247" s="43"/>
    </row>
    <row r="2248" spans="14:14">
      <c r="N2248" s="43"/>
    </row>
    <row r="2249" spans="14:14">
      <c r="N2249" s="43"/>
    </row>
    <row r="2250" spans="14:14">
      <c r="N2250" s="43"/>
    </row>
    <row r="2251" spans="14:14">
      <c r="N2251" s="43"/>
    </row>
    <row r="2252" spans="14:14">
      <c r="N2252" s="43"/>
    </row>
    <row r="2253" spans="14:14">
      <c r="N2253" s="43"/>
    </row>
    <row r="2254" spans="14:14">
      <c r="N2254" s="43"/>
    </row>
    <row r="2255" spans="14:14">
      <c r="N2255" s="43"/>
    </row>
    <row r="2256" spans="14:14">
      <c r="N2256" s="43"/>
    </row>
    <row r="2257" spans="14:14">
      <c r="N2257" s="43"/>
    </row>
    <row r="2258" spans="14:14">
      <c r="N2258" s="43"/>
    </row>
    <row r="2259" spans="14:14">
      <c r="N2259" s="43"/>
    </row>
    <row r="2260" spans="14:14">
      <c r="N2260" s="43"/>
    </row>
    <row r="2261" spans="14:14">
      <c r="N2261" s="43"/>
    </row>
    <row r="2262" spans="14:14">
      <c r="N2262" s="43"/>
    </row>
    <row r="2263" spans="14:14">
      <c r="N2263" s="43"/>
    </row>
    <row r="2264" spans="14:14">
      <c r="N2264" s="43"/>
    </row>
    <row r="2265" spans="14:14">
      <c r="N2265" s="43"/>
    </row>
    <row r="2266" spans="14:14">
      <c r="N2266" s="43"/>
    </row>
    <row r="2267" spans="14:14">
      <c r="N2267" s="43"/>
    </row>
    <row r="2268" spans="14:14">
      <c r="N2268" s="43"/>
    </row>
    <row r="2269" spans="14:14">
      <c r="N2269" s="43"/>
    </row>
    <row r="2270" spans="14:14">
      <c r="N2270" s="43"/>
    </row>
    <row r="2271" spans="14:14">
      <c r="N2271" s="43"/>
    </row>
    <row r="2272" spans="14:14">
      <c r="N2272" s="43"/>
    </row>
    <row r="2273" spans="14:14">
      <c r="N2273" s="43"/>
    </row>
    <row r="2274" spans="14:14">
      <c r="N2274" s="43"/>
    </row>
    <row r="2275" spans="14:14">
      <c r="N2275" s="43"/>
    </row>
    <row r="2276" spans="14:14">
      <c r="N2276" s="43"/>
    </row>
    <row r="2277" spans="14:14">
      <c r="N2277" s="43"/>
    </row>
    <row r="2278" spans="14:14">
      <c r="N2278" s="43"/>
    </row>
    <row r="2279" spans="14:14">
      <c r="N2279" s="43"/>
    </row>
    <row r="2280" spans="14:14">
      <c r="N2280" s="43"/>
    </row>
    <row r="2281" spans="14:14">
      <c r="N2281" s="43"/>
    </row>
    <row r="2282" spans="14:14">
      <c r="N2282" s="43"/>
    </row>
    <row r="2283" spans="14:14">
      <c r="N2283" s="43"/>
    </row>
    <row r="2284" spans="14:14">
      <c r="N2284" s="43"/>
    </row>
    <row r="2285" spans="14:14">
      <c r="N2285" s="43"/>
    </row>
    <row r="2286" spans="14:14">
      <c r="N2286" s="43"/>
    </row>
    <row r="2287" spans="14:14">
      <c r="N2287" s="43"/>
    </row>
    <row r="2288" spans="14:14">
      <c r="N2288" s="43"/>
    </row>
    <row r="2289" spans="14:14">
      <c r="N2289" s="43"/>
    </row>
    <row r="2290" spans="14:14">
      <c r="N2290" s="43"/>
    </row>
    <row r="2291" spans="14:14">
      <c r="N2291" s="43"/>
    </row>
    <row r="2292" spans="14:14">
      <c r="N2292" s="43"/>
    </row>
    <row r="2293" spans="14:14">
      <c r="N2293" s="43"/>
    </row>
    <row r="2294" spans="14:14">
      <c r="N2294" s="43"/>
    </row>
    <row r="2295" spans="14:14">
      <c r="N2295" s="43"/>
    </row>
    <row r="2296" spans="14:14">
      <c r="N2296" s="43"/>
    </row>
    <row r="2297" spans="14:14">
      <c r="N2297" s="43"/>
    </row>
    <row r="2298" spans="14:14">
      <c r="N2298" s="43"/>
    </row>
    <row r="2299" spans="14:14">
      <c r="N2299" s="43"/>
    </row>
    <row r="2300" spans="14:14">
      <c r="N2300" s="43"/>
    </row>
    <row r="2301" spans="14:14">
      <c r="N2301" s="43"/>
    </row>
    <row r="2302" spans="14:14">
      <c r="N2302" s="43"/>
    </row>
    <row r="2303" spans="14:14">
      <c r="N2303" s="43"/>
    </row>
    <row r="2304" spans="14:14">
      <c r="N2304" s="43"/>
    </row>
    <row r="2305" spans="14:14">
      <c r="N2305" s="43"/>
    </row>
    <row r="2306" spans="14:14">
      <c r="N2306" s="43"/>
    </row>
    <row r="2307" spans="14:14">
      <c r="N2307" s="43"/>
    </row>
    <row r="2308" spans="14:14">
      <c r="N2308" s="43"/>
    </row>
    <row r="2309" spans="14:14">
      <c r="N2309" s="43"/>
    </row>
    <row r="2310" spans="14:14">
      <c r="N2310" s="43"/>
    </row>
    <row r="2311" spans="14:14">
      <c r="N2311" s="43"/>
    </row>
    <row r="2312" spans="14:14">
      <c r="N2312" s="43"/>
    </row>
    <row r="2313" spans="14:14">
      <c r="N2313" s="43"/>
    </row>
    <row r="2314" spans="14:14">
      <c r="N2314" s="43"/>
    </row>
    <row r="2315" spans="14:14">
      <c r="N2315" s="43"/>
    </row>
    <row r="2316" spans="14:14">
      <c r="N2316" s="43"/>
    </row>
    <row r="2317" spans="14:14">
      <c r="N2317" s="43"/>
    </row>
    <row r="2318" spans="14:14">
      <c r="N2318" s="43"/>
    </row>
    <row r="2319" spans="14:14">
      <c r="N2319" s="43"/>
    </row>
    <row r="2320" spans="14:14">
      <c r="N2320" s="43"/>
    </row>
    <row r="2321" spans="14:14">
      <c r="N2321" s="43"/>
    </row>
    <row r="2322" spans="14:14">
      <c r="N2322" s="43"/>
    </row>
    <row r="2323" spans="14:14">
      <c r="N2323" s="43"/>
    </row>
    <row r="2324" spans="14:14">
      <c r="N2324" s="43"/>
    </row>
    <row r="2325" spans="14:14">
      <c r="N2325" s="43"/>
    </row>
    <row r="2326" spans="14:14">
      <c r="N2326" s="43"/>
    </row>
    <row r="2327" spans="14:14">
      <c r="N2327" s="43"/>
    </row>
    <row r="2328" spans="14:14">
      <c r="N2328" s="43"/>
    </row>
    <row r="2329" spans="14:14">
      <c r="N2329" s="43"/>
    </row>
    <row r="2330" spans="14:14">
      <c r="N2330" s="43"/>
    </row>
    <row r="2331" spans="14:14">
      <c r="N2331" s="43"/>
    </row>
    <row r="2332" spans="14:14">
      <c r="N2332" s="43"/>
    </row>
    <row r="2333" spans="14:14">
      <c r="N2333" s="43"/>
    </row>
    <row r="2334" spans="14:14">
      <c r="N2334" s="43"/>
    </row>
    <row r="2335" spans="14:14">
      <c r="N2335" s="43"/>
    </row>
    <row r="2336" spans="14:14">
      <c r="N2336" s="43"/>
    </row>
    <row r="2337" spans="14:14">
      <c r="N2337" s="43"/>
    </row>
    <row r="2338" spans="14:14">
      <c r="N2338" s="43"/>
    </row>
    <row r="2339" spans="14:14">
      <c r="N2339" s="43"/>
    </row>
    <row r="2340" spans="14:14">
      <c r="N2340" s="43"/>
    </row>
    <row r="2341" spans="14:14">
      <c r="N2341" s="43"/>
    </row>
    <row r="2342" spans="14:14">
      <c r="N2342" s="43"/>
    </row>
    <row r="2343" spans="14:14">
      <c r="N2343" s="43"/>
    </row>
    <row r="2344" spans="14:14">
      <c r="N2344" s="43"/>
    </row>
    <row r="2345" spans="14:14">
      <c r="N2345" s="43"/>
    </row>
    <row r="2346" spans="14:14">
      <c r="N2346" s="43"/>
    </row>
    <row r="2347" spans="14:14">
      <c r="N2347" s="43"/>
    </row>
    <row r="2348" spans="14:14">
      <c r="N2348" s="43"/>
    </row>
    <row r="2349" spans="14:14">
      <c r="N2349" s="43"/>
    </row>
    <row r="2350" spans="14:14">
      <c r="N2350" s="43"/>
    </row>
    <row r="2351" spans="14:14">
      <c r="N2351" s="43"/>
    </row>
    <row r="2352" spans="14:14">
      <c r="N2352" s="43"/>
    </row>
    <row r="2353" spans="14:14">
      <c r="N2353" s="43"/>
    </row>
    <row r="2354" spans="14:14">
      <c r="N2354" s="43"/>
    </row>
    <row r="2355" spans="14:14">
      <c r="N2355" s="43"/>
    </row>
    <row r="2356" spans="14:14">
      <c r="N2356" s="43"/>
    </row>
    <row r="2357" spans="14:14">
      <c r="N2357" s="43"/>
    </row>
    <row r="2358" spans="14:14">
      <c r="N2358" s="43"/>
    </row>
    <row r="2359" spans="14:14">
      <c r="N2359" s="43"/>
    </row>
    <row r="2360" spans="14:14">
      <c r="N2360" s="43"/>
    </row>
    <row r="2361" spans="14:14">
      <c r="N2361" s="43"/>
    </row>
    <row r="2362" spans="14:14">
      <c r="N2362" s="43"/>
    </row>
    <row r="2363" spans="14:14">
      <c r="N2363" s="43"/>
    </row>
    <row r="2364" spans="14:14">
      <c r="N2364" s="43"/>
    </row>
    <row r="2365" spans="14:14">
      <c r="N2365" s="43"/>
    </row>
    <row r="2366" spans="14:14">
      <c r="N2366" s="43"/>
    </row>
    <row r="2367" spans="14:14">
      <c r="N2367" s="43"/>
    </row>
    <row r="2368" spans="14:14">
      <c r="N2368" s="43"/>
    </row>
    <row r="2369" spans="14:14">
      <c r="N2369" s="43"/>
    </row>
    <row r="2370" spans="14:14">
      <c r="N2370" s="43"/>
    </row>
    <row r="2371" spans="14:14">
      <c r="N2371" s="43"/>
    </row>
    <row r="2372" spans="14:14">
      <c r="N2372" s="43"/>
    </row>
    <row r="2373" spans="14:14">
      <c r="N2373" s="43"/>
    </row>
    <row r="2374" spans="14:14">
      <c r="N2374" s="43"/>
    </row>
    <row r="2375" spans="14:14">
      <c r="N2375" s="43"/>
    </row>
    <row r="2376" spans="14:14">
      <c r="N2376" s="43"/>
    </row>
    <row r="2377" spans="14:14">
      <c r="N2377" s="43"/>
    </row>
    <row r="2378" spans="14:14">
      <c r="N2378" s="43"/>
    </row>
    <row r="2379" spans="14:14">
      <c r="N2379" s="43"/>
    </row>
    <row r="2380" spans="14:14">
      <c r="N2380" s="43"/>
    </row>
    <row r="2381" spans="14:14">
      <c r="N2381" s="43"/>
    </row>
    <row r="2382" spans="14:14">
      <c r="N2382" s="43"/>
    </row>
    <row r="2383" spans="14:14">
      <c r="N2383" s="43"/>
    </row>
    <row r="2384" spans="14:14">
      <c r="N2384" s="43"/>
    </row>
    <row r="2385" spans="14:14">
      <c r="N2385" s="43"/>
    </row>
    <row r="2386" spans="14:14">
      <c r="N2386" s="43"/>
    </row>
    <row r="2387" spans="14:14">
      <c r="N2387" s="43"/>
    </row>
    <row r="2388" spans="14:14">
      <c r="N2388" s="43"/>
    </row>
    <row r="2389" spans="14:14">
      <c r="N2389" s="43"/>
    </row>
    <row r="2390" spans="14:14">
      <c r="N2390" s="43"/>
    </row>
    <row r="2391" spans="14:14">
      <c r="N2391" s="43"/>
    </row>
    <row r="2392" spans="14:14">
      <c r="N2392" s="43"/>
    </row>
    <row r="2393" spans="14:14">
      <c r="N2393" s="43"/>
    </row>
    <row r="2394" spans="14:14">
      <c r="N2394" s="43"/>
    </row>
    <row r="2395" spans="14:14">
      <c r="N2395" s="43"/>
    </row>
    <row r="2396" spans="14:14">
      <c r="N2396" s="43"/>
    </row>
    <row r="2397" spans="14:14">
      <c r="N2397" s="43"/>
    </row>
    <row r="2398" spans="14:14">
      <c r="N2398" s="43"/>
    </row>
    <row r="2399" spans="14:14">
      <c r="N2399" s="43"/>
    </row>
    <row r="2400" spans="14:14">
      <c r="N2400" s="43"/>
    </row>
    <row r="2401" spans="14:14">
      <c r="N2401" s="43"/>
    </row>
    <row r="2402" spans="14:14">
      <c r="N2402" s="43"/>
    </row>
    <row r="2403" spans="14:14">
      <c r="N2403" s="43"/>
    </row>
    <row r="2404" spans="14:14">
      <c r="N2404" s="43"/>
    </row>
    <row r="2405" spans="14:14">
      <c r="N2405" s="43"/>
    </row>
    <row r="2406" spans="14:14">
      <c r="N2406" s="43"/>
    </row>
    <row r="2407" spans="14:14">
      <c r="N2407" s="43"/>
    </row>
    <row r="2408" spans="14:14">
      <c r="N2408" s="43"/>
    </row>
    <row r="2409" spans="14:14">
      <c r="N2409" s="43"/>
    </row>
    <row r="2410" spans="14:14">
      <c r="N2410" s="43"/>
    </row>
    <row r="2411" spans="14:14">
      <c r="N2411" s="43"/>
    </row>
    <row r="2412" spans="14:14">
      <c r="N2412" s="43"/>
    </row>
    <row r="2413" spans="14:14">
      <c r="N2413" s="43"/>
    </row>
    <row r="2414" spans="14:14">
      <c r="N2414" s="43"/>
    </row>
    <row r="2415" spans="14:14">
      <c r="N2415" s="43"/>
    </row>
    <row r="2416" spans="14:14">
      <c r="N2416" s="43"/>
    </row>
    <row r="2417" spans="14:14">
      <c r="N2417" s="43"/>
    </row>
    <row r="2418" spans="14:14">
      <c r="N2418" s="43"/>
    </row>
    <row r="2419" spans="14:14">
      <c r="N2419" s="43"/>
    </row>
    <row r="2420" spans="14:14">
      <c r="N2420" s="43"/>
    </row>
    <row r="2421" spans="14:14">
      <c r="N2421" s="43"/>
    </row>
    <row r="2422" spans="14:14">
      <c r="N2422" s="43"/>
    </row>
    <row r="2423" spans="14:14">
      <c r="N2423" s="43"/>
    </row>
    <row r="2424" spans="14:14">
      <c r="N2424" s="43"/>
    </row>
    <row r="2425" spans="14:14">
      <c r="N2425" s="43"/>
    </row>
    <row r="2426" spans="14:14">
      <c r="N2426" s="43"/>
    </row>
    <row r="2427" spans="14:14">
      <c r="N2427" s="43"/>
    </row>
    <row r="2428" spans="14:14">
      <c r="N2428" s="43"/>
    </row>
    <row r="2429" spans="14:14">
      <c r="N2429" s="43"/>
    </row>
    <row r="2430" spans="14:14">
      <c r="N2430" s="43"/>
    </row>
    <row r="2431" spans="14:14">
      <c r="N2431" s="43"/>
    </row>
    <row r="2432" spans="14:14">
      <c r="N2432" s="43"/>
    </row>
    <row r="2433" spans="14:14">
      <c r="N2433" s="43"/>
    </row>
    <row r="2434" spans="14:14">
      <c r="N2434" s="43"/>
    </row>
    <row r="2435" spans="14:14">
      <c r="N2435" s="43"/>
    </row>
    <row r="2436" spans="14:14">
      <c r="N2436" s="43"/>
    </row>
    <row r="2437" spans="14:14">
      <c r="N2437" s="43"/>
    </row>
    <row r="2438" spans="14:14">
      <c r="N2438" s="43"/>
    </row>
    <row r="2439" spans="14:14">
      <c r="N2439" s="43"/>
    </row>
    <row r="2440" spans="14:14">
      <c r="N2440" s="43"/>
    </row>
    <row r="2441" spans="14:14">
      <c r="N2441" s="43"/>
    </row>
    <row r="2442" spans="14:14">
      <c r="N2442" s="43"/>
    </row>
    <row r="2443" spans="14:14">
      <c r="N2443" s="43"/>
    </row>
    <row r="2444" spans="14:14">
      <c r="N2444" s="43"/>
    </row>
    <row r="2445" spans="14:14">
      <c r="N2445" s="43"/>
    </row>
    <row r="2446" spans="14:14">
      <c r="N2446" s="43"/>
    </row>
    <row r="2447" spans="14:14">
      <c r="N2447" s="43"/>
    </row>
    <row r="2448" spans="14:14">
      <c r="N2448" s="43"/>
    </row>
    <row r="2449" spans="14:14">
      <c r="N2449" s="43"/>
    </row>
    <row r="2450" spans="14:14">
      <c r="N2450" s="43"/>
    </row>
    <row r="2451" spans="14:14">
      <c r="N2451" s="43"/>
    </row>
    <row r="2452" spans="14:14">
      <c r="N2452" s="43"/>
    </row>
    <row r="2453" spans="14:14">
      <c r="N2453" s="43"/>
    </row>
    <row r="2454" spans="14:14">
      <c r="N2454" s="43"/>
    </row>
    <row r="2455" spans="14:14">
      <c r="N2455" s="43"/>
    </row>
    <row r="2456" spans="14:14">
      <c r="N2456" s="43"/>
    </row>
    <row r="2457" spans="14:14">
      <c r="N2457" s="43"/>
    </row>
    <row r="2458" spans="14:14">
      <c r="N2458" s="43"/>
    </row>
    <row r="2459" spans="14:14">
      <c r="N2459" s="43"/>
    </row>
    <row r="2460" spans="14:14">
      <c r="N2460" s="43"/>
    </row>
    <row r="2461" spans="14:14">
      <c r="N2461" s="43"/>
    </row>
    <row r="2462" spans="14:14">
      <c r="N2462" s="43"/>
    </row>
    <row r="2463" spans="14:14">
      <c r="N2463" s="43"/>
    </row>
    <row r="2464" spans="14:14">
      <c r="N2464" s="43"/>
    </row>
    <row r="2465" spans="14:14">
      <c r="N2465" s="43"/>
    </row>
    <row r="2466" spans="14:14">
      <c r="N2466" s="43"/>
    </row>
    <row r="2467" spans="14:14">
      <c r="N2467" s="43"/>
    </row>
    <row r="2468" spans="14:14">
      <c r="N2468" s="43"/>
    </row>
    <row r="2469" spans="14:14">
      <c r="N2469" s="43"/>
    </row>
    <row r="2470" spans="14:14">
      <c r="N2470" s="43"/>
    </row>
    <row r="2471" spans="14:14">
      <c r="N2471" s="43"/>
    </row>
    <row r="2472" spans="14:14">
      <c r="N2472" s="43"/>
    </row>
    <row r="2473" spans="14:14">
      <c r="N2473" s="43"/>
    </row>
    <row r="2474" spans="14:14">
      <c r="N2474" s="43"/>
    </row>
    <row r="2475" spans="14:14">
      <c r="N2475" s="43"/>
    </row>
    <row r="2476" spans="14:14">
      <c r="N2476" s="43"/>
    </row>
    <row r="2477" spans="14:14">
      <c r="N2477" s="43"/>
    </row>
    <row r="2478" spans="14:14">
      <c r="N2478" s="43"/>
    </row>
    <row r="2479" spans="14:14">
      <c r="N2479" s="43"/>
    </row>
    <row r="2480" spans="14:14">
      <c r="N2480" s="43"/>
    </row>
    <row r="2481" spans="14:14">
      <c r="N2481" s="43"/>
    </row>
    <row r="2482" spans="14:14">
      <c r="N2482" s="43"/>
    </row>
    <row r="2483" spans="14:14">
      <c r="N2483" s="43"/>
    </row>
    <row r="2484" spans="14:14">
      <c r="N2484" s="43"/>
    </row>
    <row r="2485" spans="14:14">
      <c r="N2485" s="43"/>
    </row>
    <row r="2486" spans="14:14">
      <c r="N2486" s="43"/>
    </row>
    <row r="2487" spans="14:14">
      <c r="N2487" s="43"/>
    </row>
    <row r="2488" spans="14:14">
      <c r="N2488" s="43"/>
    </row>
    <row r="2489" spans="14:14">
      <c r="N2489" s="43"/>
    </row>
    <row r="2490" spans="14:14">
      <c r="N2490" s="43"/>
    </row>
    <row r="2491" spans="14:14">
      <c r="N2491" s="43"/>
    </row>
    <row r="2492" spans="14:14">
      <c r="N2492" s="43"/>
    </row>
    <row r="2493" spans="14:14">
      <c r="N2493" s="43"/>
    </row>
    <row r="2494" spans="14:14">
      <c r="N2494" s="43"/>
    </row>
    <row r="2495" spans="14:14">
      <c r="N2495" s="43"/>
    </row>
    <row r="2496" spans="14:14">
      <c r="N2496" s="43"/>
    </row>
    <row r="2497" spans="14:14">
      <c r="N2497" s="43"/>
    </row>
    <row r="2498" spans="14:14">
      <c r="N2498" s="43"/>
    </row>
    <row r="2499" spans="14:14">
      <c r="N2499" s="43"/>
    </row>
    <row r="2500" spans="14:14">
      <c r="N2500" s="43"/>
    </row>
    <row r="2501" spans="14:14">
      <c r="N2501" s="43"/>
    </row>
    <row r="2502" spans="14:14">
      <c r="N2502" s="43"/>
    </row>
    <row r="2503" spans="14:14">
      <c r="N2503" s="43"/>
    </row>
    <row r="2504" spans="14:14">
      <c r="N2504" s="43"/>
    </row>
    <row r="2505" spans="14:14">
      <c r="N2505" s="43"/>
    </row>
    <row r="2506" spans="14:14">
      <c r="N2506" s="43"/>
    </row>
    <row r="2507" spans="14:14">
      <c r="N2507" s="43"/>
    </row>
    <row r="2508" spans="14:14">
      <c r="N2508" s="43"/>
    </row>
    <row r="2509" spans="14:14">
      <c r="N2509" s="43"/>
    </row>
    <row r="2510" spans="14:14">
      <c r="N2510" s="43"/>
    </row>
    <row r="2511" spans="14:14">
      <c r="N2511" s="43"/>
    </row>
    <row r="2512" spans="14:14">
      <c r="N2512" s="43"/>
    </row>
    <row r="2513" spans="14:14">
      <c r="N2513" s="43"/>
    </row>
    <row r="2514" spans="14:14">
      <c r="N2514" s="43"/>
    </row>
    <row r="2515" spans="14:14">
      <c r="N2515" s="43"/>
    </row>
    <row r="2516" spans="14:14">
      <c r="N2516" s="43"/>
    </row>
    <row r="2517" spans="14:14">
      <c r="N2517" s="43"/>
    </row>
    <row r="2518" spans="14:14">
      <c r="N2518" s="43"/>
    </row>
    <row r="2519" spans="14:14">
      <c r="N2519" s="43"/>
    </row>
    <row r="2520" spans="14:14">
      <c r="N2520" s="43"/>
    </row>
    <row r="2521" spans="14:14">
      <c r="N2521" s="43"/>
    </row>
    <row r="2522" spans="14:14">
      <c r="N2522" s="43"/>
    </row>
    <row r="2523" spans="14:14">
      <c r="N2523" s="43"/>
    </row>
    <row r="2524" spans="14:14">
      <c r="N2524" s="43"/>
    </row>
    <row r="2525" spans="14:14">
      <c r="N2525" s="43"/>
    </row>
    <row r="2526" spans="14:14">
      <c r="N2526" s="43"/>
    </row>
    <row r="2527" spans="14:14">
      <c r="N2527" s="43"/>
    </row>
    <row r="2528" spans="14:14">
      <c r="N2528" s="43"/>
    </row>
    <row r="2529" spans="14:14">
      <c r="N2529" s="43"/>
    </row>
    <row r="2530" spans="14:14">
      <c r="N2530" s="43"/>
    </row>
    <row r="2531" spans="14:14">
      <c r="N2531" s="43"/>
    </row>
    <row r="2532" spans="14:14">
      <c r="N2532" s="43"/>
    </row>
    <row r="2533" spans="14:14">
      <c r="N2533" s="43"/>
    </row>
    <row r="2534" spans="14:14">
      <c r="N2534" s="43"/>
    </row>
    <row r="2535" spans="14:14">
      <c r="N2535" s="43"/>
    </row>
    <row r="2536" spans="14:14">
      <c r="N2536" s="43"/>
    </row>
    <row r="2537" spans="14:14">
      <c r="N2537" s="43"/>
    </row>
    <row r="2538" spans="14:14">
      <c r="N2538" s="43"/>
    </row>
    <row r="2539" spans="14:14">
      <c r="N2539" s="43"/>
    </row>
    <row r="2540" spans="14:14">
      <c r="N2540" s="43"/>
    </row>
    <row r="2541" spans="14:14">
      <c r="N2541" s="43"/>
    </row>
    <row r="2542" spans="14:14">
      <c r="N2542" s="43"/>
    </row>
    <row r="2543" spans="14:14">
      <c r="N2543" s="43"/>
    </row>
    <row r="2544" spans="14:14">
      <c r="N2544" s="43"/>
    </row>
    <row r="2545" spans="14:14">
      <c r="N2545" s="43"/>
    </row>
    <row r="2546" spans="14:14">
      <c r="N2546" s="43"/>
    </row>
    <row r="2547" spans="14:14">
      <c r="N2547" s="43"/>
    </row>
    <row r="2548" spans="14:14">
      <c r="N2548" s="43"/>
    </row>
    <row r="2549" spans="14:14">
      <c r="N2549" s="43"/>
    </row>
    <row r="2550" spans="14:14">
      <c r="N2550" s="43"/>
    </row>
    <row r="2551" spans="14:14">
      <c r="N2551" s="43"/>
    </row>
    <row r="2552" spans="14:14">
      <c r="N2552" s="43"/>
    </row>
    <row r="2553" spans="14:14">
      <c r="N2553" s="43"/>
    </row>
    <row r="2554" spans="14:14">
      <c r="N2554" s="43"/>
    </row>
    <row r="2555" spans="14:14">
      <c r="N2555" s="43"/>
    </row>
    <row r="2556" spans="14:14">
      <c r="N2556" s="43"/>
    </row>
    <row r="2557" spans="14:14">
      <c r="N2557" s="43"/>
    </row>
    <row r="2558" spans="14:14">
      <c r="N2558" s="43"/>
    </row>
    <row r="2559" spans="14:14">
      <c r="N2559" s="43"/>
    </row>
    <row r="2560" spans="14:14">
      <c r="N2560" s="43"/>
    </row>
    <row r="2561" spans="14:14">
      <c r="N2561" s="43"/>
    </row>
    <row r="2562" spans="14:14">
      <c r="N2562" s="43"/>
    </row>
    <row r="2563" spans="14:14">
      <c r="N2563" s="43"/>
    </row>
    <row r="2564" spans="14:14">
      <c r="N2564" s="43"/>
    </row>
    <row r="2565" spans="14:14">
      <c r="N2565" s="43"/>
    </row>
    <row r="2566" spans="14:14">
      <c r="N2566" s="43"/>
    </row>
    <row r="2567" spans="14:14">
      <c r="N2567" s="43"/>
    </row>
    <row r="2568" spans="14:14">
      <c r="N2568" s="43"/>
    </row>
    <row r="2569" spans="14:14">
      <c r="N2569" s="43"/>
    </row>
    <row r="2570" spans="14:14">
      <c r="N2570" s="43"/>
    </row>
    <row r="2571" spans="14:14">
      <c r="N2571" s="43"/>
    </row>
    <row r="2572" spans="14:14">
      <c r="N2572" s="43"/>
    </row>
    <row r="2573" spans="14:14">
      <c r="N2573" s="43"/>
    </row>
    <row r="2574" spans="14:14">
      <c r="N2574" s="43"/>
    </row>
    <row r="2575" spans="14:14">
      <c r="N2575" s="43"/>
    </row>
    <row r="2576" spans="14:14">
      <c r="N2576" s="43"/>
    </row>
    <row r="2577" spans="14:14">
      <c r="N2577" s="43"/>
    </row>
    <row r="2578" spans="14:14">
      <c r="N2578" s="43"/>
    </row>
    <row r="2579" spans="14:14">
      <c r="N2579" s="43"/>
    </row>
    <row r="2580" spans="14:14">
      <c r="N2580" s="43"/>
    </row>
    <row r="2581" spans="14:14">
      <c r="N2581" s="43"/>
    </row>
    <row r="2582" spans="14:14">
      <c r="N2582" s="43"/>
    </row>
    <row r="2583" spans="14:14">
      <c r="N2583" s="43"/>
    </row>
    <row r="2584" spans="14:14">
      <c r="N2584" s="43"/>
    </row>
    <row r="2585" spans="14:14">
      <c r="N2585" s="43"/>
    </row>
    <row r="2586" spans="14:14">
      <c r="N2586" s="43"/>
    </row>
    <row r="2587" spans="14:14">
      <c r="N2587" s="43"/>
    </row>
    <row r="2588" spans="14:14">
      <c r="N2588" s="43"/>
    </row>
    <row r="2589" spans="14:14">
      <c r="N2589" s="43"/>
    </row>
    <row r="2590" spans="14:14">
      <c r="N2590" s="43"/>
    </row>
    <row r="2591" spans="14:14">
      <c r="N2591" s="43"/>
    </row>
    <row r="2592" spans="14:14">
      <c r="N2592" s="43"/>
    </row>
    <row r="2593" spans="14:14">
      <c r="N2593" s="43"/>
    </row>
    <row r="2594" spans="14:14">
      <c r="N2594" s="43"/>
    </row>
    <row r="2595" spans="14:14">
      <c r="N2595" s="43"/>
    </row>
    <row r="2596" spans="14:14">
      <c r="N2596" s="43"/>
    </row>
    <row r="2597" spans="14:14">
      <c r="N2597" s="43"/>
    </row>
    <row r="2598" spans="14:14">
      <c r="N2598" s="43"/>
    </row>
    <row r="2599" spans="14:14">
      <c r="N2599" s="43"/>
    </row>
    <row r="2600" spans="14:14">
      <c r="N2600" s="43"/>
    </row>
    <row r="2601" spans="14:14">
      <c r="N2601" s="43"/>
    </row>
    <row r="2602" spans="14:14">
      <c r="N2602" s="43"/>
    </row>
    <row r="2603" spans="14:14">
      <c r="N2603" s="43"/>
    </row>
    <row r="2604" spans="14:14">
      <c r="N2604" s="43"/>
    </row>
    <row r="2605" spans="14:14">
      <c r="N2605" s="43"/>
    </row>
    <row r="2606" spans="14:14">
      <c r="N2606" s="43"/>
    </row>
    <row r="2607" spans="14:14">
      <c r="N2607" s="43"/>
    </row>
    <row r="2608" spans="14:14">
      <c r="N2608" s="43"/>
    </row>
    <row r="2609" spans="14:14">
      <c r="N2609" s="43"/>
    </row>
    <row r="2610" spans="14:14">
      <c r="N2610" s="43"/>
    </row>
    <row r="2611" spans="14:14">
      <c r="N2611" s="43"/>
    </row>
    <row r="2612" spans="14:14">
      <c r="N2612" s="43"/>
    </row>
    <row r="2613" spans="14:14">
      <c r="N2613" s="43"/>
    </row>
    <row r="2614" spans="14:14">
      <c r="N2614" s="43"/>
    </row>
    <row r="2615" spans="14:14">
      <c r="N2615" s="43"/>
    </row>
    <row r="2616" spans="14:14">
      <c r="N2616" s="43"/>
    </row>
    <row r="2617" spans="14:14">
      <c r="N2617" s="43"/>
    </row>
    <row r="2618" spans="14:14">
      <c r="N2618" s="43"/>
    </row>
    <row r="2619" spans="14:14">
      <c r="N2619" s="43"/>
    </row>
    <row r="2620" spans="14:14">
      <c r="N2620" s="43"/>
    </row>
    <row r="2621" spans="14:14">
      <c r="N2621" s="43"/>
    </row>
    <row r="2622" spans="14:14">
      <c r="N2622" s="43"/>
    </row>
    <row r="2623" spans="14:14">
      <c r="N2623" s="43"/>
    </row>
    <row r="2624" spans="14:14">
      <c r="N2624" s="43"/>
    </row>
    <row r="2625" spans="14:14">
      <c r="N2625" s="43"/>
    </row>
    <row r="2626" spans="14:14">
      <c r="N2626" s="43"/>
    </row>
    <row r="2627" spans="14:14">
      <c r="N2627" s="43"/>
    </row>
    <row r="2628" spans="14:14">
      <c r="N2628" s="43"/>
    </row>
    <row r="2629" spans="14:14">
      <c r="N2629" s="43"/>
    </row>
    <row r="2630" spans="14:14">
      <c r="N2630" s="43"/>
    </row>
    <row r="2631" spans="14:14">
      <c r="N2631" s="43"/>
    </row>
    <row r="2632" spans="14:14">
      <c r="N2632" s="43"/>
    </row>
    <row r="2633" spans="14:14">
      <c r="N2633" s="43"/>
    </row>
    <row r="2634" spans="14:14">
      <c r="N2634" s="43"/>
    </row>
    <row r="2635" spans="14:14">
      <c r="N2635" s="43"/>
    </row>
    <row r="2636" spans="14:14">
      <c r="N2636" s="43"/>
    </row>
    <row r="2637" spans="14:14">
      <c r="N2637" s="43"/>
    </row>
    <row r="2638" spans="14:14">
      <c r="N2638" s="43"/>
    </row>
    <row r="2639" spans="14:14">
      <c r="N2639" s="43"/>
    </row>
    <row r="2640" spans="14:14">
      <c r="N2640" s="43"/>
    </row>
    <row r="2641" spans="14:14">
      <c r="N2641" s="43"/>
    </row>
    <row r="2642" spans="14:14">
      <c r="N2642" s="43"/>
    </row>
    <row r="2643" spans="14:14">
      <c r="N2643" s="43"/>
    </row>
    <row r="2644" spans="14:14">
      <c r="N2644" s="43"/>
    </row>
    <row r="2645" spans="14:14">
      <c r="N2645" s="43"/>
    </row>
    <row r="2646" spans="14:14">
      <c r="N2646" s="43"/>
    </row>
    <row r="2647" spans="14:14">
      <c r="N2647" s="43"/>
    </row>
    <row r="2648" spans="14:14">
      <c r="N2648" s="43"/>
    </row>
    <row r="2649" spans="14:14">
      <c r="N2649" s="43"/>
    </row>
    <row r="2650" spans="14:14">
      <c r="N2650" s="43"/>
    </row>
    <row r="2651" spans="14:14">
      <c r="N2651" s="43"/>
    </row>
    <row r="2652" spans="14:14">
      <c r="N2652" s="43"/>
    </row>
    <row r="2653" spans="14:14">
      <c r="N2653" s="43"/>
    </row>
    <row r="2654" spans="14:14">
      <c r="N2654" s="43"/>
    </row>
    <row r="2655" spans="14:14">
      <c r="N2655" s="43"/>
    </row>
    <row r="2656" spans="14:14">
      <c r="N2656" s="43"/>
    </row>
    <row r="2657" spans="14:14">
      <c r="N2657" s="43"/>
    </row>
    <row r="2658" spans="14:14">
      <c r="N2658" s="43"/>
    </row>
    <row r="2659" spans="14:14">
      <c r="N2659" s="43"/>
    </row>
    <row r="2660" spans="14:14">
      <c r="N2660" s="43"/>
    </row>
    <row r="2661" spans="14:14">
      <c r="N2661" s="43"/>
    </row>
    <row r="2662" spans="14:14">
      <c r="N2662" s="43"/>
    </row>
    <row r="2663" spans="14:14">
      <c r="N2663" s="43"/>
    </row>
    <row r="2664" spans="14:14">
      <c r="N2664" s="43"/>
    </row>
    <row r="2665" spans="14:14">
      <c r="N2665" s="43"/>
    </row>
    <row r="2666" spans="14:14">
      <c r="N2666" s="43"/>
    </row>
    <row r="2667" spans="14:14">
      <c r="N2667" s="43"/>
    </row>
    <row r="2668" spans="14:14">
      <c r="N2668" s="43"/>
    </row>
    <row r="2669" spans="14:14">
      <c r="N2669" s="43"/>
    </row>
    <row r="2670" spans="14:14">
      <c r="N2670" s="43"/>
    </row>
    <row r="2671" spans="14:14">
      <c r="N2671" s="43"/>
    </row>
    <row r="2672" spans="14:14">
      <c r="N2672" s="43"/>
    </row>
    <row r="2673" spans="14:14">
      <c r="N2673" s="43"/>
    </row>
    <row r="2674" spans="14:14">
      <c r="N2674" s="43"/>
    </row>
    <row r="2675" spans="14:14">
      <c r="N2675" s="43"/>
    </row>
    <row r="2676" spans="14:14">
      <c r="N2676" s="43"/>
    </row>
    <row r="2677" spans="14:14">
      <c r="N2677" s="43"/>
    </row>
    <row r="2678" spans="14:14">
      <c r="N2678" s="43"/>
    </row>
    <row r="2679" spans="14:14">
      <c r="N2679" s="43"/>
    </row>
    <row r="2680" spans="14:14">
      <c r="N2680" s="43"/>
    </row>
    <row r="2681" spans="14:14">
      <c r="N2681" s="43"/>
    </row>
    <row r="2682" spans="14:14">
      <c r="N2682" s="43"/>
    </row>
    <row r="2683" spans="14:14">
      <c r="N2683" s="43"/>
    </row>
    <row r="2684" spans="14:14">
      <c r="N2684" s="43"/>
    </row>
    <row r="2685" spans="14:14">
      <c r="N2685" s="43"/>
    </row>
    <row r="2686" spans="14:14">
      <c r="N2686" s="43"/>
    </row>
    <row r="2687" spans="14:14">
      <c r="N2687" s="43"/>
    </row>
    <row r="2688" spans="14:14">
      <c r="N2688" s="43"/>
    </row>
    <row r="2689" spans="14:14">
      <c r="N2689" s="43"/>
    </row>
    <row r="2690" spans="14:14">
      <c r="N2690" s="43"/>
    </row>
    <row r="2691" spans="14:14">
      <c r="N2691" s="43"/>
    </row>
    <row r="2692" spans="14:14">
      <c r="N2692" s="43"/>
    </row>
    <row r="2693" spans="14:14">
      <c r="N2693" s="43"/>
    </row>
    <row r="2694" spans="14:14">
      <c r="N2694" s="43"/>
    </row>
    <row r="2695" spans="14:14">
      <c r="N2695" s="43"/>
    </row>
    <row r="2696" spans="14:14">
      <c r="N2696" s="43"/>
    </row>
    <row r="2697" spans="14:14">
      <c r="N2697" s="43"/>
    </row>
    <row r="2698" spans="14:14">
      <c r="N2698" s="43"/>
    </row>
    <row r="2699" spans="14:14">
      <c r="N2699" s="43"/>
    </row>
    <row r="2700" spans="14:14">
      <c r="N2700" s="43"/>
    </row>
    <row r="2701" spans="14:14">
      <c r="N2701" s="43"/>
    </row>
    <row r="2702" spans="14:14">
      <c r="N2702" s="43"/>
    </row>
    <row r="2703" spans="14:14">
      <c r="N2703" s="43"/>
    </row>
    <row r="2704" spans="14:14">
      <c r="N2704" s="43"/>
    </row>
    <row r="2705" spans="14:14">
      <c r="N2705" s="43"/>
    </row>
    <row r="2706" spans="14:14">
      <c r="N2706" s="43"/>
    </row>
    <row r="2707" spans="14:14">
      <c r="N2707" s="43"/>
    </row>
    <row r="2708" spans="14:14">
      <c r="N2708" s="43"/>
    </row>
    <row r="2709" spans="14:14">
      <c r="N2709" s="43"/>
    </row>
    <row r="2710" spans="14:14">
      <c r="N2710" s="43"/>
    </row>
    <row r="2711" spans="14:14">
      <c r="N2711" s="43"/>
    </row>
    <row r="2712" spans="14:14">
      <c r="N2712" s="43"/>
    </row>
    <row r="2713" spans="14:14">
      <c r="N2713" s="43"/>
    </row>
    <row r="2714" spans="14:14">
      <c r="N2714" s="43"/>
    </row>
    <row r="2715" spans="14:14">
      <c r="N2715" s="43"/>
    </row>
    <row r="2716" spans="14:14">
      <c r="N2716" s="43"/>
    </row>
    <row r="2717" spans="14:14">
      <c r="N2717" s="43"/>
    </row>
    <row r="2718" spans="14:14">
      <c r="N2718" s="43"/>
    </row>
    <row r="2719" spans="14:14">
      <c r="N2719" s="43"/>
    </row>
    <row r="2720" spans="14:14">
      <c r="N2720" s="43"/>
    </row>
    <row r="2721" spans="14:14">
      <c r="N2721" s="43"/>
    </row>
    <row r="2722" spans="14:14">
      <c r="N2722" s="43"/>
    </row>
    <row r="2723" spans="14:14">
      <c r="N2723" s="43"/>
    </row>
    <row r="2724" spans="14:14">
      <c r="N2724" s="43"/>
    </row>
    <row r="2725" spans="14:14">
      <c r="N2725" s="43"/>
    </row>
    <row r="2726" spans="14:14">
      <c r="N2726" s="43"/>
    </row>
    <row r="2727" spans="14:14">
      <c r="N2727" s="43"/>
    </row>
    <row r="2728" spans="14:14">
      <c r="N2728" s="43"/>
    </row>
    <row r="2729" spans="14:14">
      <c r="N2729" s="43"/>
    </row>
    <row r="2730" spans="14:14">
      <c r="N2730" s="43"/>
    </row>
    <row r="2731" spans="14:14">
      <c r="N2731" s="43"/>
    </row>
    <row r="2732" spans="14:14">
      <c r="N2732" s="43"/>
    </row>
    <row r="2733" spans="14:14">
      <c r="N2733" s="43"/>
    </row>
    <row r="2734" spans="14:14">
      <c r="N2734" s="43"/>
    </row>
    <row r="2735" spans="14:14">
      <c r="N2735" s="43"/>
    </row>
    <row r="2736" spans="14:14">
      <c r="N2736" s="43"/>
    </row>
    <row r="2737" spans="14:14">
      <c r="N2737" s="43"/>
    </row>
    <row r="2738" spans="14:14">
      <c r="N2738" s="43"/>
    </row>
    <row r="2739" spans="14:14">
      <c r="N2739" s="43"/>
    </row>
    <row r="2740" spans="14:14">
      <c r="N2740" s="43"/>
    </row>
    <row r="2741" spans="14:14">
      <c r="N2741" s="43"/>
    </row>
    <row r="2742" spans="14:14">
      <c r="N2742" s="43"/>
    </row>
    <row r="2743" spans="14:14">
      <c r="N2743" s="43"/>
    </row>
    <row r="2744" spans="14:14">
      <c r="N2744" s="43"/>
    </row>
    <row r="2745" spans="14:14">
      <c r="N2745" s="43"/>
    </row>
    <row r="2746" spans="14:14">
      <c r="N2746" s="43"/>
    </row>
    <row r="2747" spans="14:14">
      <c r="N2747" s="43"/>
    </row>
    <row r="2748" spans="14:14">
      <c r="N2748" s="43"/>
    </row>
    <row r="2749" spans="14:14">
      <c r="N2749" s="43"/>
    </row>
    <row r="2750" spans="14:14">
      <c r="N2750" s="43"/>
    </row>
    <row r="2751" spans="14:14">
      <c r="N2751" s="43"/>
    </row>
    <row r="2752" spans="14:14">
      <c r="N2752" s="43"/>
    </row>
    <row r="2753" spans="14:14">
      <c r="N2753" s="43"/>
    </row>
    <row r="2754" spans="14:14">
      <c r="N2754" s="43"/>
    </row>
    <row r="2755" spans="14:14">
      <c r="N2755" s="43"/>
    </row>
    <row r="2756" spans="14:14">
      <c r="N2756" s="43"/>
    </row>
    <row r="2757" spans="14:14">
      <c r="N2757" s="43"/>
    </row>
    <row r="2758" spans="14:14">
      <c r="N2758" s="43"/>
    </row>
    <row r="2759" spans="14:14">
      <c r="N2759" s="43"/>
    </row>
    <row r="2760" spans="14:14">
      <c r="N2760" s="43"/>
    </row>
    <row r="2761" spans="14:14">
      <c r="N2761" s="43"/>
    </row>
    <row r="2762" spans="14:14">
      <c r="N2762" s="43"/>
    </row>
    <row r="2763" spans="14:14">
      <c r="N2763" s="43"/>
    </row>
    <row r="2764" spans="14:14">
      <c r="N2764" s="43"/>
    </row>
    <row r="2765" spans="14:14">
      <c r="N2765" s="43"/>
    </row>
    <row r="2766" spans="14:14">
      <c r="N2766" s="43"/>
    </row>
    <row r="2767" spans="14:14">
      <c r="N2767" s="43"/>
    </row>
    <row r="2768" spans="14:14">
      <c r="N2768" s="43"/>
    </row>
    <row r="2769" spans="14:14">
      <c r="N2769" s="43"/>
    </row>
    <row r="2770" spans="14:14">
      <c r="N2770" s="43"/>
    </row>
    <row r="2771" spans="14:14">
      <c r="N2771" s="43"/>
    </row>
    <row r="2772" spans="14:14">
      <c r="N2772" s="43"/>
    </row>
    <row r="2773" spans="14:14">
      <c r="N2773" s="43"/>
    </row>
    <row r="2774" spans="14:14">
      <c r="N2774" s="43"/>
    </row>
    <row r="2775" spans="14:14">
      <c r="N2775" s="43"/>
    </row>
    <row r="2776" spans="14:14">
      <c r="N2776" s="43"/>
    </row>
    <row r="2777" spans="14:14">
      <c r="N2777" s="43"/>
    </row>
    <row r="2778" spans="14:14">
      <c r="N2778" s="43"/>
    </row>
    <row r="2779" spans="14:14">
      <c r="N2779" s="43"/>
    </row>
    <row r="2780" spans="14:14">
      <c r="N2780" s="43"/>
    </row>
    <row r="2781" spans="14:14">
      <c r="N2781" s="43"/>
    </row>
    <row r="2782" spans="14:14">
      <c r="N2782" s="43"/>
    </row>
    <row r="2783" spans="14:14">
      <c r="N2783" s="43"/>
    </row>
    <row r="2784" spans="14:14">
      <c r="N2784" s="43"/>
    </row>
    <row r="2785" spans="14:14">
      <c r="N2785" s="43"/>
    </row>
    <row r="2786" spans="14:14">
      <c r="N2786" s="43"/>
    </row>
    <row r="2787" spans="14:14">
      <c r="N2787" s="43"/>
    </row>
    <row r="2788" spans="14:14">
      <c r="N2788" s="43"/>
    </row>
    <row r="2789" spans="14:14">
      <c r="N2789" s="43"/>
    </row>
    <row r="2790" spans="14:14">
      <c r="N2790" s="43"/>
    </row>
    <row r="2791" spans="14:14">
      <c r="N2791" s="43"/>
    </row>
    <row r="2792" spans="14:14">
      <c r="N2792" s="43"/>
    </row>
    <row r="2793" spans="14:14">
      <c r="N2793" s="43"/>
    </row>
    <row r="2794" spans="14:14">
      <c r="N2794" s="43"/>
    </row>
    <row r="2795" spans="14:14">
      <c r="N2795" s="43"/>
    </row>
    <row r="2796" spans="14:14">
      <c r="N2796" s="43"/>
    </row>
    <row r="2797" spans="14:14">
      <c r="N2797" s="43"/>
    </row>
    <row r="2798" spans="14:14">
      <c r="N2798" s="43"/>
    </row>
    <row r="2799" spans="14:14">
      <c r="N2799" s="43"/>
    </row>
    <row r="2800" spans="14:14">
      <c r="N2800" s="43"/>
    </row>
    <row r="2801" spans="14:14">
      <c r="N2801" s="43"/>
    </row>
    <row r="2802" spans="14:14">
      <c r="N2802" s="43"/>
    </row>
    <row r="2803" spans="14:14">
      <c r="N2803" s="43"/>
    </row>
    <row r="2804" spans="14:14">
      <c r="N2804" s="43"/>
    </row>
    <row r="2805" spans="14:14">
      <c r="N2805" s="43"/>
    </row>
    <row r="2806" spans="14:14">
      <c r="N2806" s="43"/>
    </row>
    <row r="2807" spans="14:14">
      <c r="N2807" s="43"/>
    </row>
    <row r="2808" spans="14:14">
      <c r="N2808" s="43"/>
    </row>
    <row r="2809" spans="14:14">
      <c r="N2809" s="43"/>
    </row>
    <row r="2810" spans="14:14">
      <c r="N2810" s="43"/>
    </row>
    <row r="2811" spans="14:14">
      <c r="N2811" s="43"/>
    </row>
    <row r="2812" spans="14:14">
      <c r="N2812" s="43"/>
    </row>
    <row r="2813" spans="14:14">
      <c r="N2813" s="43"/>
    </row>
    <row r="2814" spans="14:14">
      <c r="N2814" s="43"/>
    </row>
    <row r="2815" spans="14:14">
      <c r="N2815" s="43"/>
    </row>
    <row r="2816" spans="14:14">
      <c r="N2816" s="43"/>
    </row>
    <row r="2817" spans="14:14">
      <c r="N2817" s="43"/>
    </row>
    <row r="2818" spans="14:14">
      <c r="N2818" s="43"/>
    </row>
    <row r="2819" spans="14:14">
      <c r="N2819" s="43"/>
    </row>
    <row r="2820" spans="14:14">
      <c r="N2820" s="43"/>
    </row>
    <row r="2821" spans="14:14">
      <c r="N2821" s="43"/>
    </row>
    <row r="2822" spans="14:14">
      <c r="N2822" s="43"/>
    </row>
    <row r="2823" spans="14:14">
      <c r="N2823" s="43"/>
    </row>
    <row r="2824" spans="14:14">
      <c r="N2824" s="43"/>
    </row>
    <row r="2825" spans="14:14">
      <c r="N2825" s="43"/>
    </row>
    <row r="2826" spans="14:14">
      <c r="N2826" s="43"/>
    </row>
    <row r="2827" spans="14:14">
      <c r="N2827" s="43"/>
    </row>
    <row r="2828" spans="14:14">
      <c r="N2828" s="43"/>
    </row>
    <row r="2829" spans="14:14">
      <c r="N2829" s="43"/>
    </row>
    <row r="2830" spans="14:14">
      <c r="N2830" s="43"/>
    </row>
    <row r="2831" spans="14:14">
      <c r="N2831" s="43"/>
    </row>
    <row r="2832" spans="14:14">
      <c r="N2832" s="43"/>
    </row>
    <row r="2833" spans="14:14">
      <c r="N2833" s="43"/>
    </row>
    <row r="2834" spans="14:14">
      <c r="N2834" s="43"/>
    </row>
    <row r="2835" spans="14:14">
      <c r="N2835" s="43"/>
    </row>
    <row r="2836" spans="14:14">
      <c r="N2836" s="43"/>
    </row>
    <row r="2837" spans="14:14">
      <c r="N2837" s="43"/>
    </row>
    <row r="2838" spans="14:14">
      <c r="N2838" s="43"/>
    </row>
    <row r="2839" spans="14:14">
      <c r="N2839" s="43"/>
    </row>
    <row r="2840" spans="14:14">
      <c r="N2840" s="43"/>
    </row>
    <row r="2841" spans="14:14">
      <c r="N2841" s="43"/>
    </row>
    <row r="2842" spans="14:14">
      <c r="N2842" s="43"/>
    </row>
    <row r="2843" spans="14:14">
      <c r="N2843" s="43"/>
    </row>
    <row r="2844" spans="14:14">
      <c r="N2844" s="43"/>
    </row>
    <row r="2845" spans="14:14">
      <c r="N2845" s="43"/>
    </row>
    <row r="2846" spans="14:14">
      <c r="N2846" s="43"/>
    </row>
    <row r="2847" spans="14:14">
      <c r="N2847" s="43"/>
    </row>
    <row r="2848" spans="14:14">
      <c r="N2848" s="43"/>
    </row>
    <row r="2849" spans="14:14">
      <c r="N2849" s="43"/>
    </row>
    <row r="2850" spans="14:14">
      <c r="N2850" s="43"/>
    </row>
    <row r="2851" spans="14:14">
      <c r="N2851" s="43"/>
    </row>
    <row r="2852" spans="14:14">
      <c r="N2852" s="43"/>
    </row>
    <row r="2853" spans="14:14">
      <c r="N2853" s="43"/>
    </row>
    <row r="2854" spans="14:14">
      <c r="N2854" s="43"/>
    </row>
    <row r="2855" spans="14:14">
      <c r="N2855" s="43"/>
    </row>
    <row r="2856" spans="14:14">
      <c r="N2856" s="43"/>
    </row>
    <row r="2857" spans="14:14">
      <c r="N2857" s="43"/>
    </row>
    <row r="2858" spans="14:14">
      <c r="N2858" s="43"/>
    </row>
    <row r="2859" spans="14:14">
      <c r="N2859" s="43"/>
    </row>
    <row r="2860" spans="14:14">
      <c r="N2860" s="43"/>
    </row>
    <row r="2861" spans="14:14">
      <c r="N2861" s="43"/>
    </row>
    <row r="2862" spans="14:14">
      <c r="N2862" s="43"/>
    </row>
    <row r="2863" spans="14:14">
      <c r="N2863" s="43"/>
    </row>
    <row r="2864" spans="14:14">
      <c r="N2864" s="43"/>
    </row>
    <row r="2865" spans="14:14">
      <c r="N2865" s="43"/>
    </row>
    <row r="2866" spans="14:14">
      <c r="N2866" s="43"/>
    </row>
    <row r="2867" spans="14:14">
      <c r="N2867" s="43"/>
    </row>
    <row r="2868" spans="14:14">
      <c r="N2868" s="43"/>
    </row>
    <row r="2869" spans="14:14">
      <c r="N2869" s="43"/>
    </row>
    <row r="2870" spans="14:14">
      <c r="N2870" s="43"/>
    </row>
    <row r="2871" spans="14:14">
      <c r="N2871" s="43"/>
    </row>
    <row r="2872" spans="14:14">
      <c r="N2872" s="43"/>
    </row>
    <row r="2873" spans="14:14">
      <c r="N2873" s="43"/>
    </row>
    <row r="2874" spans="14:14">
      <c r="N2874" s="43"/>
    </row>
    <row r="2875" spans="14:14">
      <c r="N2875" s="43"/>
    </row>
    <row r="2876" spans="14:14">
      <c r="N2876" s="43"/>
    </row>
    <row r="2877" spans="14:14">
      <c r="N2877" s="43"/>
    </row>
    <row r="2878" spans="14:14">
      <c r="N2878" s="43"/>
    </row>
    <row r="2879" spans="14:14">
      <c r="N2879" s="43"/>
    </row>
    <row r="2880" spans="14:14">
      <c r="N2880" s="43"/>
    </row>
    <row r="2881" spans="14:14">
      <c r="N2881" s="43"/>
    </row>
    <row r="2882" spans="14:14">
      <c r="N2882" s="43"/>
    </row>
    <row r="2883" spans="14:14">
      <c r="N2883" s="43"/>
    </row>
    <row r="2884" spans="14:14">
      <c r="N2884" s="43"/>
    </row>
    <row r="2885" spans="14:14">
      <c r="N2885" s="43"/>
    </row>
    <row r="2886" spans="14:14">
      <c r="N2886" s="43"/>
    </row>
    <row r="2887" spans="14:14">
      <c r="N2887" s="43"/>
    </row>
    <row r="2888" spans="14:14">
      <c r="N2888" s="43"/>
    </row>
    <row r="2889" spans="14:14">
      <c r="N2889" s="43"/>
    </row>
    <row r="2890" spans="14:14">
      <c r="N2890" s="43"/>
    </row>
    <row r="2891" spans="14:14">
      <c r="N2891" s="43"/>
    </row>
    <row r="2892" spans="14:14">
      <c r="N2892" s="43"/>
    </row>
    <row r="2893" spans="14:14">
      <c r="N2893" s="43"/>
    </row>
    <row r="2894" spans="14:14">
      <c r="N2894" s="43"/>
    </row>
    <row r="2895" spans="14:14">
      <c r="N2895" s="43"/>
    </row>
    <row r="2896" spans="14:14">
      <c r="N2896" s="43"/>
    </row>
    <row r="2897" spans="14:14">
      <c r="N2897" s="43"/>
    </row>
    <row r="2898" spans="14:14">
      <c r="N2898" s="43"/>
    </row>
    <row r="2899" spans="14:14">
      <c r="N2899" s="43"/>
    </row>
    <row r="2900" spans="14:14">
      <c r="N2900" s="43"/>
    </row>
    <row r="2901" spans="14:14">
      <c r="N2901" s="43"/>
    </row>
    <row r="2902" spans="14:14">
      <c r="N2902" s="43"/>
    </row>
    <row r="2903" spans="14:14">
      <c r="N2903" s="43"/>
    </row>
    <row r="2904" spans="14:14">
      <c r="N2904" s="43"/>
    </row>
    <row r="2905" spans="14:14">
      <c r="N2905" s="43"/>
    </row>
    <row r="2906" spans="14:14">
      <c r="N2906" s="43"/>
    </row>
    <row r="2907" spans="14:14">
      <c r="N2907" s="43"/>
    </row>
    <row r="2908" spans="14:14">
      <c r="N2908" s="43"/>
    </row>
    <row r="2909" spans="14:14">
      <c r="N2909" s="43"/>
    </row>
    <row r="2910" spans="14:14">
      <c r="N2910" s="43"/>
    </row>
    <row r="2911" spans="14:14">
      <c r="N2911" s="43"/>
    </row>
    <row r="2912" spans="14:14">
      <c r="N2912" s="43"/>
    </row>
    <row r="2913" spans="14:14">
      <c r="N2913" s="43"/>
    </row>
    <row r="2914" spans="14:14">
      <c r="N2914" s="43"/>
    </row>
    <row r="2915" spans="14:14">
      <c r="N2915" s="43"/>
    </row>
    <row r="2916" spans="14:14">
      <c r="N2916" s="43"/>
    </row>
    <row r="2917" spans="14:14">
      <c r="N2917" s="43"/>
    </row>
    <row r="2918" spans="14:14">
      <c r="N2918" s="43"/>
    </row>
    <row r="2919" spans="14:14">
      <c r="N2919" s="43"/>
    </row>
    <row r="2920" spans="14:14">
      <c r="N2920" s="43"/>
    </row>
    <row r="2921" spans="14:14">
      <c r="N2921" s="43"/>
    </row>
    <row r="2922" spans="14:14">
      <c r="N2922" s="43"/>
    </row>
    <row r="2923" spans="14:14">
      <c r="N2923" s="43"/>
    </row>
    <row r="2924" spans="14:14">
      <c r="N2924" s="43"/>
    </row>
    <row r="2925" spans="14:14">
      <c r="N2925" s="43"/>
    </row>
    <row r="2926" spans="14:14">
      <c r="N2926" s="43"/>
    </row>
    <row r="2927" spans="14:14">
      <c r="N2927" s="43"/>
    </row>
    <row r="2928" spans="14:14">
      <c r="N2928" s="43"/>
    </row>
    <row r="2929" spans="14:14">
      <c r="N2929" s="43"/>
    </row>
    <row r="2930" spans="14:14">
      <c r="N2930" s="43"/>
    </row>
    <row r="2931" spans="14:14">
      <c r="N2931" s="43"/>
    </row>
    <row r="2932" spans="14:14">
      <c r="N2932" s="43"/>
    </row>
    <row r="2933" spans="14:14">
      <c r="N2933" s="43"/>
    </row>
    <row r="2934" spans="14:14">
      <c r="N2934" s="43"/>
    </row>
    <row r="2935" spans="14:14">
      <c r="N2935" s="43"/>
    </row>
    <row r="2936" spans="14:14">
      <c r="N2936" s="43"/>
    </row>
    <row r="2937" spans="14:14">
      <c r="N2937" s="43"/>
    </row>
    <row r="2938" spans="14:14">
      <c r="N2938" s="43"/>
    </row>
    <row r="2939" spans="14:14">
      <c r="N2939" s="43"/>
    </row>
    <row r="2940" spans="14:14">
      <c r="N2940" s="43"/>
    </row>
    <row r="2941" spans="14:14">
      <c r="N2941" s="43"/>
    </row>
    <row r="2942" spans="14:14">
      <c r="N2942" s="43"/>
    </row>
    <row r="2943" spans="14:14">
      <c r="N2943" s="43"/>
    </row>
    <row r="2944" spans="14:14">
      <c r="N2944" s="43"/>
    </row>
    <row r="2945" spans="14:14">
      <c r="N2945" s="43"/>
    </row>
    <row r="2946" spans="14:14">
      <c r="N2946" s="43"/>
    </row>
    <row r="2947" spans="14:14">
      <c r="N2947" s="43"/>
    </row>
    <row r="2948" spans="14:14">
      <c r="N2948" s="43"/>
    </row>
    <row r="2949" spans="14:14">
      <c r="N2949" s="43"/>
    </row>
    <row r="2950" spans="14:14">
      <c r="N2950" s="43"/>
    </row>
    <row r="2951" spans="14:14">
      <c r="N2951" s="43"/>
    </row>
    <row r="2952" spans="14:14">
      <c r="N2952" s="43"/>
    </row>
    <row r="2953" spans="14:14">
      <c r="N2953" s="43"/>
    </row>
    <row r="2954" spans="14:14">
      <c r="N2954" s="43"/>
    </row>
    <row r="2955" spans="14:14">
      <c r="N2955" s="43"/>
    </row>
    <row r="2956" spans="14:14">
      <c r="N2956" s="43"/>
    </row>
    <row r="2957" spans="14:14">
      <c r="N2957" s="43"/>
    </row>
    <row r="2958" spans="14:14">
      <c r="N2958" s="43"/>
    </row>
    <row r="2959" spans="14:14">
      <c r="N2959" s="43"/>
    </row>
    <row r="2960" spans="14:14">
      <c r="N2960" s="43"/>
    </row>
    <row r="2961" spans="14:14">
      <c r="N2961" s="43"/>
    </row>
    <row r="2962" spans="14:14">
      <c r="N2962" s="43"/>
    </row>
    <row r="2963" spans="14:14">
      <c r="N2963" s="43"/>
    </row>
    <row r="2964" spans="14:14">
      <c r="N2964" s="43"/>
    </row>
    <row r="2965" spans="14:14">
      <c r="N2965" s="43"/>
    </row>
    <row r="2966" spans="14:14">
      <c r="N2966" s="43"/>
    </row>
    <row r="2967" spans="14:14">
      <c r="N2967" s="43"/>
    </row>
    <row r="2968" spans="14:14">
      <c r="N2968" s="43"/>
    </row>
    <row r="2969" spans="14:14">
      <c r="N2969" s="43"/>
    </row>
    <row r="2970" spans="14:14">
      <c r="N2970" s="43"/>
    </row>
    <row r="2971" spans="14:14">
      <c r="N2971" s="43"/>
    </row>
    <row r="2972" spans="14:14">
      <c r="N2972" s="43"/>
    </row>
    <row r="2973" spans="14:14">
      <c r="N2973" s="43"/>
    </row>
    <row r="2974" spans="14:14">
      <c r="N2974" s="43"/>
    </row>
    <row r="2975" spans="14:14">
      <c r="N2975" s="43"/>
    </row>
    <row r="2976" spans="14:14">
      <c r="N2976" s="43"/>
    </row>
    <row r="2977" spans="14:14">
      <c r="N2977" s="43"/>
    </row>
    <row r="2978" spans="14:14">
      <c r="N2978" s="43"/>
    </row>
    <row r="2979" spans="14:14">
      <c r="N2979" s="43"/>
    </row>
    <row r="2980" spans="14:14">
      <c r="N2980" s="43"/>
    </row>
    <row r="2981" spans="14:14">
      <c r="N2981" s="43"/>
    </row>
    <row r="2982" spans="14:14">
      <c r="N2982" s="43"/>
    </row>
    <row r="2983" spans="14:14">
      <c r="N2983" s="43"/>
    </row>
    <row r="2984" spans="14:14">
      <c r="N2984" s="43"/>
    </row>
    <row r="2985" spans="14:14">
      <c r="N2985" s="43"/>
    </row>
    <row r="2986" spans="14:14">
      <c r="N2986" s="43"/>
    </row>
    <row r="2987" spans="14:14">
      <c r="N2987" s="43"/>
    </row>
    <row r="2988" spans="14:14">
      <c r="N2988" s="43"/>
    </row>
    <row r="2989" spans="14:14">
      <c r="N2989" s="43"/>
    </row>
    <row r="2990" spans="14:14">
      <c r="N2990" s="43"/>
    </row>
    <row r="2991" spans="14:14">
      <c r="N2991" s="43"/>
    </row>
    <row r="2992" spans="14:14">
      <c r="N2992" s="43"/>
    </row>
    <row r="2993" spans="14:14">
      <c r="N2993" s="43"/>
    </row>
    <row r="2994" spans="14:14">
      <c r="N2994" s="43"/>
    </row>
    <row r="2995" spans="14:14">
      <c r="N2995" s="43"/>
    </row>
    <row r="2996" spans="14:14">
      <c r="N2996" s="43"/>
    </row>
    <row r="2997" spans="14:14">
      <c r="N2997" s="43"/>
    </row>
    <row r="2998" spans="14:14">
      <c r="N2998" s="43"/>
    </row>
    <row r="2999" spans="14:14">
      <c r="N2999" s="43"/>
    </row>
    <row r="3000" spans="14:14">
      <c r="N3000" s="43"/>
    </row>
    <row r="3001" spans="14:14">
      <c r="N3001" s="43"/>
    </row>
    <row r="3002" spans="14:14">
      <c r="N3002" s="43"/>
    </row>
    <row r="3003" spans="14:14">
      <c r="N3003" s="43"/>
    </row>
    <row r="3004" spans="14:14">
      <c r="N3004" s="43"/>
    </row>
    <row r="3005" spans="14:14">
      <c r="N3005" s="43"/>
    </row>
    <row r="3006" spans="14:14">
      <c r="N3006" s="43"/>
    </row>
    <row r="3007" spans="14:14">
      <c r="N3007" s="43"/>
    </row>
    <row r="3008" spans="14:14">
      <c r="N3008" s="43"/>
    </row>
    <row r="3009" spans="14:14">
      <c r="N3009" s="43"/>
    </row>
    <row r="3010" spans="14:14">
      <c r="N3010" s="43"/>
    </row>
    <row r="3011" spans="14:14">
      <c r="N3011" s="43"/>
    </row>
    <row r="3012" spans="14:14">
      <c r="N3012" s="43"/>
    </row>
    <row r="3013" spans="14:14">
      <c r="N3013" s="43"/>
    </row>
    <row r="3014" spans="14:14">
      <c r="N3014" s="43"/>
    </row>
    <row r="3015" spans="14:14">
      <c r="N3015" s="43"/>
    </row>
    <row r="3016" spans="14:14">
      <c r="N3016" s="43"/>
    </row>
    <row r="3017" spans="14:14">
      <c r="N3017" s="43"/>
    </row>
    <row r="3018" spans="14:14">
      <c r="N3018" s="43"/>
    </row>
    <row r="3019" spans="14:14">
      <c r="N3019" s="43"/>
    </row>
    <row r="3020" spans="14:14">
      <c r="N3020" s="43"/>
    </row>
    <row r="3021" spans="14:14">
      <c r="N3021" s="43"/>
    </row>
    <row r="3022" spans="14:14">
      <c r="N3022" s="43"/>
    </row>
    <row r="3023" spans="14:14">
      <c r="N3023" s="43"/>
    </row>
    <row r="3024" spans="14:14">
      <c r="N3024" s="43"/>
    </row>
    <row r="3025" spans="14:14">
      <c r="N3025" s="43"/>
    </row>
    <row r="3026" spans="14:14">
      <c r="N3026" s="43"/>
    </row>
    <row r="3027" spans="14:14">
      <c r="N3027" s="43"/>
    </row>
    <row r="3028" spans="14:14">
      <c r="N3028" s="43"/>
    </row>
    <row r="3029" spans="14:14">
      <c r="N3029" s="43"/>
    </row>
    <row r="3030" spans="14:14">
      <c r="N3030" s="43"/>
    </row>
    <row r="3031" spans="14:14">
      <c r="N3031" s="43"/>
    </row>
    <row r="3032" spans="14:14">
      <c r="N3032" s="43"/>
    </row>
    <row r="3033" spans="14:14">
      <c r="N3033" s="43"/>
    </row>
    <row r="3034" spans="14:14">
      <c r="N3034" s="43"/>
    </row>
    <row r="3035" spans="14:14">
      <c r="N3035" s="43"/>
    </row>
    <row r="3036" spans="14:14">
      <c r="N3036" s="43"/>
    </row>
    <row r="3037" spans="14:14">
      <c r="N3037" s="43"/>
    </row>
    <row r="3038" spans="14:14">
      <c r="N3038" s="43"/>
    </row>
    <row r="3039" spans="14:14">
      <c r="N3039" s="43"/>
    </row>
    <row r="3040" spans="14:14">
      <c r="N3040" s="43"/>
    </row>
    <row r="3041" spans="14:14">
      <c r="N3041" s="43"/>
    </row>
    <row r="3042" spans="14:14">
      <c r="N3042" s="43"/>
    </row>
    <row r="3043" spans="14:14">
      <c r="N3043" s="43"/>
    </row>
    <row r="3044" spans="14:14">
      <c r="N3044" s="43"/>
    </row>
    <row r="3045" spans="14:14">
      <c r="N3045" s="43"/>
    </row>
    <row r="3046" spans="14:14">
      <c r="N3046" s="43"/>
    </row>
    <row r="3047" spans="14:14">
      <c r="N3047" s="43"/>
    </row>
    <row r="3048" spans="14:14">
      <c r="N3048" s="43"/>
    </row>
    <row r="3049" spans="14:14">
      <c r="N3049" s="43"/>
    </row>
    <row r="3050" spans="14:14">
      <c r="N3050" s="43"/>
    </row>
    <row r="3051" spans="14:14">
      <c r="N3051" s="43"/>
    </row>
    <row r="3052" spans="14:14">
      <c r="N3052" s="43"/>
    </row>
    <row r="3053" spans="14:14">
      <c r="N3053" s="43"/>
    </row>
    <row r="3054" spans="14:14">
      <c r="N3054" s="43"/>
    </row>
    <row r="3055" spans="14:14">
      <c r="N3055" s="43"/>
    </row>
    <row r="3056" spans="14:14">
      <c r="N3056" s="43"/>
    </row>
    <row r="3057" spans="14:14">
      <c r="N3057" s="43"/>
    </row>
    <row r="3058" spans="14:14">
      <c r="N3058" s="43"/>
    </row>
    <row r="3059" spans="14:14">
      <c r="N3059" s="43"/>
    </row>
    <row r="3060" spans="14:14">
      <c r="N3060" s="43"/>
    </row>
    <row r="3061" spans="14:14">
      <c r="N3061" s="43"/>
    </row>
    <row r="3062" spans="14:14">
      <c r="N3062" s="43"/>
    </row>
    <row r="3063" spans="14:14">
      <c r="N3063" s="43"/>
    </row>
    <row r="3064" spans="14:14">
      <c r="N3064" s="43"/>
    </row>
    <row r="3065" spans="14:14">
      <c r="N3065" s="43"/>
    </row>
    <row r="3066" spans="14:14">
      <c r="N3066" s="43"/>
    </row>
    <row r="3067" spans="14:14">
      <c r="N3067" s="43"/>
    </row>
    <row r="3068" spans="14:14">
      <c r="N3068" s="43"/>
    </row>
    <row r="3069" spans="14:14">
      <c r="N3069" s="43"/>
    </row>
    <row r="3070" spans="14:14">
      <c r="N3070" s="43"/>
    </row>
    <row r="3071" spans="14:14">
      <c r="N3071" s="43"/>
    </row>
    <row r="3072" spans="14:14">
      <c r="N3072" s="43"/>
    </row>
    <row r="3073" spans="14:14">
      <c r="N3073" s="43"/>
    </row>
    <row r="3074" spans="14:14">
      <c r="N3074" s="43"/>
    </row>
    <row r="3075" spans="14:14">
      <c r="N3075" s="43"/>
    </row>
    <row r="3076" spans="14:14">
      <c r="N3076" s="43"/>
    </row>
    <row r="3077" spans="14:14">
      <c r="N3077" s="43"/>
    </row>
    <row r="3078" spans="14:14">
      <c r="N3078" s="43"/>
    </row>
    <row r="3079" spans="14:14">
      <c r="N3079" s="43"/>
    </row>
    <row r="3080" spans="14:14">
      <c r="N3080" s="43"/>
    </row>
    <row r="3081" spans="14:14">
      <c r="N3081" s="43"/>
    </row>
    <row r="3082" spans="14:14">
      <c r="N3082" s="43"/>
    </row>
    <row r="3083" spans="14:14">
      <c r="N3083" s="43"/>
    </row>
    <row r="3084" spans="14:14">
      <c r="N3084" s="43"/>
    </row>
    <row r="3085" spans="14:14">
      <c r="N3085" s="43"/>
    </row>
    <row r="3086" spans="14:14">
      <c r="N3086" s="43"/>
    </row>
    <row r="3087" spans="14:14">
      <c r="N3087" s="43"/>
    </row>
    <row r="3088" spans="14:14">
      <c r="N3088" s="43"/>
    </row>
    <row r="3089" spans="14:14">
      <c r="N3089" s="43"/>
    </row>
    <row r="3090" spans="14:14">
      <c r="N3090" s="43"/>
    </row>
    <row r="3091" spans="14:14">
      <c r="N3091" s="43"/>
    </row>
    <row r="3092" spans="14:14">
      <c r="N3092" s="43"/>
    </row>
    <row r="3093" spans="14:14">
      <c r="N3093" s="43"/>
    </row>
    <row r="3094" spans="14:14">
      <c r="N3094" s="43"/>
    </row>
    <row r="3095" spans="14:14">
      <c r="N3095" s="43"/>
    </row>
    <row r="3096" spans="14:14">
      <c r="N3096" s="43"/>
    </row>
    <row r="3097" spans="14:14">
      <c r="N3097" s="43"/>
    </row>
    <row r="3098" spans="14:14">
      <c r="N3098" s="43"/>
    </row>
    <row r="3099" spans="14:14">
      <c r="N3099" s="43"/>
    </row>
    <row r="3100" spans="14:14">
      <c r="N3100" s="43"/>
    </row>
    <row r="3101" spans="14:14">
      <c r="N3101" s="43"/>
    </row>
    <row r="3102" spans="14:14">
      <c r="N3102" s="43"/>
    </row>
    <row r="3103" spans="14:14">
      <c r="N3103" s="43"/>
    </row>
    <row r="3104" spans="14:14">
      <c r="N3104" s="43"/>
    </row>
    <row r="3105" spans="14:14">
      <c r="N3105" s="43"/>
    </row>
    <row r="3106" spans="14:14">
      <c r="N3106" s="43"/>
    </row>
    <row r="3107" spans="14:14">
      <c r="N3107" s="43"/>
    </row>
    <row r="3108" spans="14:14">
      <c r="N3108" s="43"/>
    </row>
    <row r="3109" spans="14:14">
      <c r="N3109" s="43"/>
    </row>
    <row r="3110" spans="14:14">
      <c r="N3110" s="43"/>
    </row>
    <row r="3111" spans="14:14">
      <c r="N3111" s="43"/>
    </row>
    <row r="3112" spans="14:14">
      <c r="N3112" s="43"/>
    </row>
    <row r="3113" spans="14:14">
      <c r="N3113" s="43"/>
    </row>
    <row r="3114" spans="14:14">
      <c r="N3114" s="43"/>
    </row>
    <row r="3115" spans="14:14">
      <c r="N3115" s="43"/>
    </row>
    <row r="3116" spans="14:14">
      <c r="N3116" s="43"/>
    </row>
    <row r="3117" spans="14:14">
      <c r="N3117" s="43"/>
    </row>
    <row r="3118" spans="14:14">
      <c r="N3118" s="43"/>
    </row>
    <row r="3119" spans="14:14">
      <c r="N3119" s="43"/>
    </row>
    <row r="3120" spans="14:14">
      <c r="N3120" s="43"/>
    </row>
    <row r="3121" spans="14:14">
      <c r="N3121" s="43"/>
    </row>
    <row r="3122" spans="14:14">
      <c r="N3122" s="43"/>
    </row>
    <row r="3123" spans="14:14">
      <c r="N3123" s="43"/>
    </row>
    <row r="3124" spans="14:14">
      <c r="N3124" s="43"/>
    </row>
    <row r="3125" spans="14:14">
      <c r="N3125" s="43"/>
    </row>
    <row r="3126" spans="14:14">
      <c r="N3126" s="43"/>
    </row>
    <row r="3127" spans="14:14">
      <c r="N3127" s="43"/>
    </row>
    <row r="3128" spans="14:14">
      <c r="N3128" s="43"/>
    </row>
    <row r="3129" spans="14:14">
      <c r="N3129" s="43"/>
    </row>
    <row r="3130" spans="14:14">
      <c r="N3130" s="43"/>
    </row>
    <row r="3131" spans="14:14">
      <c r="N3131" s="43"/>
    </row>
    <row r="3132" spans="14:14">
      <c r="N3132" s="43"/>
    </row>
    <row r="3133" spans="14:14">
      <c r="N3133" s="43"/>
    </row>
    <row r="3134" spans="14:14">
      <c r="N3134" s="43"/>
    </row>
    <row r="3135" spans="14:14">
      <c r="N3135" s="43"/>
    </row>
    <row r="3136" spans="14:14">
      <c r="N3136" s="43"/>
    </row>
    <row r="3137" spans="14:14">
      <c r="N3137" s="43"/>
    </row>
    <row r="3138" spans="14:14">
      <c r="N3138" s="43"/>
    </row>
    <row r="3139" spans="14:14">
      <c r="N3139" s="43"/>
    </row>
    <row r="3140" spans="14:14">
      <c r="N3140" s="43"/>
    </row>
    <row r="3141" spans="14:14">
      <c r="N3141" s="43"/>
    </row>
    <row r="3142" spans="14:14">
      <c r="N3142" s="43"/>
    </row>
    <row r="3143" spans="14:14">
      <c r="N3143" s="43"/>
    </row>
    <row r="3144" spans="14:14">
      <c r="N3144" s="43"/>
    </row>
    <row r="3145" spans="14:14">
      <c r="N3145" s="43"/>
    </row>
    <row r="3146" spans="14:14">
      <c r="N3146" s="43"/>
    </row>
    <row r="3147" spans="14:14">
      <c r="N3147" s="43"/>
    </row>
    <row r="3148" spans="14:14">
      <c r="N3148" s="43"/>
    </row>
    <row r="3149" spans="14:14">
      <c r="N3149" s="43"/>
    </row>
    <row r="3150" spans="14:14">
      <c r="N3150" s="43"/>
    </row>
    <row r="3151" spans="14:14">
      <c r="N3151" s="43"/>
    </row>
    <row r="3152" spans="14:14">
      <c r="N3152" s="43"/>
    </row>
    <row r="3153" spans="14:14">
      <c r="N3153" s="43"/>
    </row>
    <row r="3154" spans="14:14">
      <c r="N3154" s="43"/>
    </row>
    <row r="3155" spans="14:14">
      <c r="N3155" s="43"/>
    </row>
    <row r="3156" spans="14:14">
      <c r="N3156" s="43"/>
    </row>
    <row r="3157" spans="14:14">
      <c r="N3157" s="43"/>
    </row>
    <row r="3158" spans="14:14">
      <c r="N3158" s="43"/>
    </row>
    <row r="3159" spans="14:14">
      <c r="N3159" s="43"/>
    </row>
    <row r="3160" spans="14:14">
      <c r="N3160" s="43"/>
    </row>
    <row r="3161" spans="14:14">
      <c r="N3161" s="43"/>
    </row>
    <row r="3162" spans="14:14">
      <c r="N3162" s="43"/>
    </row>
    <row r="3163" spans="14:14">
      <c r="N3163" s="43"/>
    </row>
    <row r="3164" spans="14:14">
      <c r="N3164" s="43"/>
    </row>
    <row r="3165" spans="14:14">
      <c r="N3165" s="43"/>
    </row>
    <row r="3166" spans="14:14">
      <c r="N3166" s="43"/>
    </row>
    <row r="3167" spans="14:14">
      <c r="N3167" s="43"/>
    </row>
    <row r="3168" spans="14:14">
      <c r="N3168" s="43"/>
    </row>
    <row r="3169" spans="14:14">
      <c r="N3169" s="43"/>
    </row>
    <row r="3170" spans="14:14">
      <c r="N3170" s="43"/>
    </row>
    <row r="3171" spans="14:14">
      <c r="N3171" s="43"/>
    </row>
    <row r="3172" spans="14:14">
      <c r="N3172" s="43"/>
    </row>
    <row r="3173" spans="14:14">
      <c r="N3173" s="43"/>
    </row>
    <row r="3174" spans="14:14">
      <c r="N3174" s="43"/>
    </row>
    <row r="3175" spans="14:14">
      <c r="N3175" s="43"/>
    </row>
    <row r="3176" spans="14:14">
      <c r="N3176" s="43"/>
    </row>
    <row r="3177" spans="14:14">
      <c r="N3177" s="43"/>
    </row>
    <row r="3178" spans="14:14">
      <c r="N3178" s="43"/>
    </row>
    <row r="3179" spans="14:14">
      <c r="N3179" s="43"/>
    </row>
    <row r="3180" spans="14:14">
      <c r="N3180" s="43"/>
    </row>
    <row r="3181" spans="14:14">
      <c r="N3181" s="43"/>
    </row>
    <row r="3182" spans="14:14">
      <c r="N3182" s="43"/>
    </row>
    <row r="3183" spans="14:14">
      <c r="N3183" s="43"/>
    </row>
    <row r="3184" spans="14:14">
      <c r="N3184" s="43"/>
    </row>
    <row r="3185" spans="14:14">
      <c r="N3185" s="43"/>
    </row>
    <row r="3186" spans="14:14">
      <c r="N3186" s="43"/>
    </row>
    <row r="3187" spans="14:14">
      <c r="N3187" s="43"/>
    </row>
    <row r="3188" spans="14:14">
      <c r="N3188" s="43"/>
    </row>
    <row r="3189" spans="14:14">
      <c r="N3189" s="43"/>
    </row>
    <row r="3190" spans="14:14">
      <c r="N3190" s="43"/>
    </row>
    <row r="3191" spans="14:14">
      <c r="N3191" s="43"/>
    </row>
    <row r="3192" spans="14:14">
      <c r="N3192" s="43"/>
    </row>
    <row r="3193" spans="14:14">
      <c r="N3193" s="43"/>
    </row>
    <row r="3194" spans="14:14">
      <c r="N3194" s="43"/>
    </row>
    <row r="3195" spans="14:14">
      <c r="N3195" s="43"/>
    </row>
    <row r="3196" spans="14:14">
      <c r="N3196" s="43"/>
    </row>
    <row r="3197" spans="14:14">
      <c r="N3197" s="43"/>
    </row>
    <row r="3198" spans="14:14">
      <c r="N3198" s="43"/>
    </row>
    <row r="3199" spans="14:14">
      <c r="N3199" s="43"/>
    </row>
    <row r="3200" spans="14:14">
      <c r="N3200" s="43"/>
    </row>
    <row r="3201" spans="14:14">
      <c r="N3201" s="43"/>
    </row>
    <row r="3202" spans="14:14">
      <c r="N3202" s="43"/>
    </row>
    <row r="3203" spans="14:14">
      <c r="N3203" s="43"/>
    </row>
    <row r="3204" spans="14:14">
      <c r="N3204" s="43"/>
    </row>
    <row r="3205" spans="14:14">
      <c r="N3205" s="43"/>
    </row>
    <row r="3206" spans="14:14">
      <c r="N3206" s="43"/>
    </row>
    <row r="3207" spans="14:14">
      <c r="N3207" s="43"/>
    </row>
    <row r="3208" spans="14:14">
      <c r="N3208" s="43"/>
    </row>
    <row r="3209" spans="14:14">
      <c r="N3209" s="43"/>
    </row>
    <row r="3210" spans="14:14">
      <c r="N3210" s="43"/>
    </row>
    <row r="3211" spans="14:14">
      <c r="N3211" s="43"/>
    </row>
    <row r="3212" spans="14:14">
      <c r="N3212" s="43"/>
    </row>
    <row r="3213" spans="14:14">
      <c r="N3213" s="43"/>
    </row>
    <row r="3214" spans="14:14">
      <c r="N3214" s="43"/>
    </row>
    <row r="3215" spans="14:14">
      <c r="N3215" s="43"/>
    </row>
    <row r="3216" spans="14:14">
      <c r="N3216" s="43"/>
    </row>
    <row r="3217" spans="14:14">
      <c r="N3217" s="43"/>
    </row>
    <row r="3218" spans="14:14">
      <c r="N3218" s="43"/>
    </row>
    <row r="3219" spans="14:14">
      <c r="N3219" s="43"/>
    </row>
    <row r="3220" spans="14:14">
      <c r="N3220" s="43"/>
    </row>
    <row r="3221" spans="14:14">
      <c r="N3221" s="43"/>
    </row>
    <row r="3222" spans="14:14">
      <c r="N3222" s="43"/>
    </row>
    <row r="3223" spans="14:14">
      <c r="N3223" s="43"/>
    </row>
    <row r="3224" spans="14:14">
      <c r="N3224" s="43"/>
    </row>
    <row r="3225" spans="14:14">
      <c r="N3225" s="43"/>
    </row>
    <row r="3226" spans="14:14">
      <c r="N3226" s="43"/>
    </row>
    <row r="3227" spans="14:14">
      <c r="N3227" s="43"/>
    </row>
    <row r="3228" spans="14:14">
      <c r="N3228" s="43"/>
    </row>
    <row r="3229" spans="14:14">
      <c r="N3229" s="43"/>
    </row>
    <row r="3230" spans="14:14">
      <c r="N3230" s="43"/>
    </row>
    <row r="3231" spans="14:14">
      <c r="N3231" s="43"/>
    </row>
    <row r="3232" spans="14:14">
      <c r="N3232" s="43"/>
    </row>
    <row r="3233" spans="14:14">
      <c r="N3233" s="43"/>
    </row>
    <row r="3234" spans="14:14">
      <c r="N3234" s="43"/>
    </row>
    <row r="3235" spans="14:14">
      <c r="N3235" s="43"/>
    </row>
    <row r="3236" spans="14:14">
      <c r="N3236" s="43"/>
    </row>
    <row r="3237" spans="14:14">
      <c r="N3237" s="43"/>
    </row>
    <row r="3238" spans="14:14">
      <c r="N3238" s="43"/>
    </row>
    <row r="3239" spans="14:14">
      <c r="N3239" s="43"/>
    </row>
    <row r="3240" spans="14:14">
      <c r="N3240" s="43"/>
    </row>
    <row r="3241" spans="14:14">
      <c r="N3241" s="43"/>
    </row>
    <row r="3242" spans="14:14">
      <c r="N3242" s="43"/>
    </row>
    <row r="3243" spans="14:14">
      <c r="N3243" s="43"/>
    </row>
    <row r="3244" spans="14:14">
      <c r="N3244" s="43"/>
    </row>
    <row r="3245" spans="14:14">
      <c r="N3245" s="43"/>
    </row>
    <row r="3246" spans="14:14">
      <c r="N3246" s="43"/>
    </row>
    <row r="3247" spans="14:14">
      <c r="N3247" s="43"/>
    </row>
    <row r="3248" spans="14:14">
      <c r="N3248" s="43"/>
    </row>
    <row r="3249" spans="14:14">
      <c r="N3249" s="43"/>
    </row>
    <row r="3250" spans="14:14">
      <c r="N3250" s="43"/>
    </row>
    <row r="3251" spans="14:14">
      <c r="N3251" s="43"/>
    </row>
    <row r="3252" spans="14:14">
      <c r="N3252" s="43"/>
    </row>
    <row r="3253" spans="14:14">
      <c r="N3253" s="43"/>
    </row>
    <row r="3254" spans="14:14">
      <c r="N3254" s="43"/>
    </row>
    <row r="3255" spans="14:14">
      <c r="N3255" s="43"/>
    </row>
    <row r="3256" spans="14:14">
      <c r="N3256" s="43"/>
    </row>
    <row r="3257" spans="14:14">
      <c r="N3257" s="43"/>
    </row>
    <row r="3258" spans="14:14">
      <c r="N3258" s="43"/>
    </row>
    <row r="3259" spans="14:14">
      <c r="N3259" s="43"/>
    </row>
    <row r="3260" spans="14:14">
      <c r="N3260" s="43"/>
    </row>
    <row r="3261" spans="14:14">
      <c r="N3261" s="43"/>
    </row>
    <row r="3262" spans="14:14">
      <c r="N3262" s="43"/>
    </row>
    <row r="3263" spans="14:14">
      <c r="N3263" s="43"/>
    </row>
    <row r="3264" spans="14:14">
      <c r="N3264" s="43"/>
    </row>
    <row r="3265" spans="14:14">
      <c r="N3265" s="43"/>
    </row>
    <row r="3266" spans="14:14">
      <c r="N3266" s="43"/>
    </row>
    <row r="3267" spans="14:14">
      <c r="N3267" s="43"/>
    </row>
    <row r="3268" spans="14:14">
      <c r="N3268" s="43"/>
    </row>
    <row r="3269" spans="14:14">
      <c r="N3269" s="43"/>
    </row>
    <row r="3270" spans="14:14">
      <c r="N3270" s="43"/>
    </row>
    <row r="3271" spans="14:14">
      <c r="N3271" s="43"/>
    </row>
    <row r="3272" spans="14:14">
      <c r="N3272" s="43"/>
    </row>
    <row r="3273" spans="14:14">
      <c r="N3273" s="43"/>
    </row>
    <row r="3274" spans="14:14">
      <c r="N3274" s="43"/>
    </row>
    <row r="3275" spans="14:14">
      <c r="N3275" s="43"/>
    </row>
    <row r="3276" spans="14:14">
      <c r="N3276" s="43"/>
    </row>
    <row r="3277" spans="14:14">
      <c r="N3277" s="43"/>
    </row>
    <row r="3278" spans="14:14">
      <c r="N3278" s="43"/>
    </row>
    <row r="3279" spans="14:14">
      <c r="N3279" s="43"/>
    </row>
    <row r="3280" spans="14:14">
      <c r="N3280" s="43"/>
    </row>
    <row r="3281" spans="14:14">
      <c r="N3281" s="43"/>
    </row>
    <row r="3282" spans="14:14">
      <c r="N3282" s="43"/>
    </row>
    <row r="3283" spans="14:14">
      <c r="N3283" s="43"/>
    </row>
    <row r="3284" spans="14:14">
      <c r="N3284" s="43"/>
    </row>
    <row r="3285" spans="14:14">
      <c r="N3285" s="43"/>
    </row>
    <row r="3286" spans="14:14">
      <c r="N3286" s="43"/>
    </row>
    <row r="3287" spans="14:14">
      <c r="N3287" s="43"/>
    </row>
    <row r="3288" spans="14:14">
      <c r="N3288" s="43"/>
    </row>
    <row r="3289" spans="14:14">
      <c r="N3289" s="43"/>
    </row>
    <row r="3290" spans="14:14">
      <c r="N3290" s="43"/>
    </row>
    <row r="3291" spans="14:14">
      <c r="N3291" s="43"/>
    </row>
    <row r="3292" spans="14:14">
      <c r="N3292" s="43"/>
    </row>
    <row r="3293" spans="14:14">
      <c r="N3293" s="43"/>
    </row>
    <row r="3294" spans="14:14">
      <c r="N3294" s="43"/>
    </row>
    <row r="3295" spans="14:14">
      <c r="N3295" s="43"/>
    </row>
    <row r="3296" spans="14:14">
      <c r="N3296" s="43"/>
    </row>
    <row r="3297" spans="14:14">
      <c r="N3297" s="43"/>
    </row>
    <row r="3298" spans="14:14">
      <c r="N3298" s="43"/>
    </row>
    <row r="3299" spans="14:14">
      <c r="N3299" s="43"/>
    </row>
    <row r="3300" spans="14:14">
      <c r="N3300" s="43"/>
    </row>
    <row r="3301" spans="14:14">
      <c r="N3301" s="43"/>
    </row>
    <row r="3302" spans="14:14">
      <c r="N3302" s="43"/>
    </row>
    <row r="3303" spans="14:14">
      <c r="N3303" s="43"/>
    </row>
    <row r="3304" spans="14:14">
      <c r="N3304" s="43"/>
    </row>
    <row r="3305" spans="14:14">
      <c r="N3305" s="43"/>
    </row>
    <row r="3306" spans="14:14">
      <c r="N3306" s="43"/>
    </row>
    <row r="3307" spans="14:14">
      <c r="N3307" s="43"/>
    </row>
    <row r="3308" spans="14:14">
      <c r="N3308" s="43"/>
    </row>
    <row r="3309" spans="14:14">
      <c r="N3309" s="43"/>
    </row>
    <row r="3310" spans="14:14">
      <c r="N3310" s="43"/>
    </row>
    <row r="3311" spans="14:14">
      <c r="N3311" s="43"/>
    </row>
    <row r="3312" spans="14:14">
      <c r="N3312" s="43"/>
    </row>
    <row r="3313" spans="14:14">
      <c r="N3313" s="43"/>
    </row>
    <row r="3314" spans="14:14">
      <c r="N3314" s="43"/>
    </row>
    <row r="3315" spans="14:14">
      <c r="N3315" s="43"/>
    </row>
    <row r="3316" spans="14:14">
      <c r="N3316" s="43"/>
    </row>
    <row r="3317" spans="14:14">
      <c r="N3317" s="43"/>
    </row>
    <row r="3318" spans="14:14">
      <c r="N3318" s="43"/>
    </row>
    <row r="3319" spans="14:14">
      <c r="N3319" s="43"/>
    </row>
    <row r="3320" spans="14:14">
      <c r="N3320" s="43"/>
    </row>
    <row r="3321" spans="14:14">
      <c r="N3321" s="43"/>
    </row>
    <row r="3322" spans="14:14">
      <c r="N3322" s="43"/>
    </row>
    <row r="3323" spans="14:14">
      <c r="N3323" s="43"/>
    </row>
    <row r="3324" spans="14:14">
      <c r="N3324" s="43"/>
    </row>
    <row r="3325" spans="14:14">
      <c r="N3325" s="43"/>
    </row>
    <row r="3326" spans="14:14">
      <c r="N3326" s="43"/>
    </row>
    <row r="3327" spans="14:14">
      <c r="N3327" s="43"/>
    </row>
    <row r="3328" spans="14:14">
      <c r="N3328" s="43"/>
    </row>
    <row r="3329" spans="14:14">
      <c r="N3329" s="43"/>
    </row>
    <row r="3330" spans="14:14">
      <c r="N3330" s="43"/>
    </row>
    <row r="3331" spans="14:14">
      <c r="N3331" s="43"/>
    </row>
    <row r="3332" spans="14:14">
      <c r="N3332" s="43"/>
    </row>
    <row r="3333" spans="14:14">
      <c r="N3333" s="43"/>
    </row>
    <row r="3334" spans="14:14">
      <c r="N3334" s="43"/>
    </row>
    <row r="3335" spans="14:14">
      <c r="N3335" s="43"/>
    </row>
    <row r="3336" spans="14:14">
      <c r="N3336" s="43"/>
    </row>
    <row r="3337" spans="14:14">
      <c r="N3337" s="43"/>
    </row>
    <row r="3338" spans="14:14">
      <c r="N3338" s="43"/>
    </row>
    <row r="3339" spans="14:14">
      <c r="N3339" s="43"/>
    </row>
    <row r="3340" spans="14:14">
      <c r="N3340" s="43"/>
    </row>
    <row r="3341" spans="14:14">
      <c r="N3341" s="43"/>
    </row>
    <row r="3342" spans="14:14">
      <c r="N3342" s="43"/>
    </row>
    <row r="3343" spans="14:14">
      <c r="N3343" s="43"/>
    </row>
    <row r="3344" spans="14:14">
      <c r="N3344" s="43"/>
    </row>
    <row r="3345" spans="14:14">
      <c r="N3345" s="43"/>
    </row>
    <row r="3346" spans="14:14">
      <c r="N3346" s="43"/>
    </row>
    <row r="3347" spans="14:14">
      <c r="N3347" s="43"/>
    </row>
    <row r="3348" spans="14:14">
      <c r="N3348" s="43"/>
    </row>
    <row r="3349" spans="14:14">
      <c r="N3349" s="43"/>
    </row>
    <row r="3350" spans="14:14">
      <c r="N3350" s="43"/>
    </row>
    <row r="3351" spans="14:14">
      <c r="N3351" s="43"/>
    </row>
    <row r="3352" spans="14:14">
      <c r="N3352" s="43"/>
    </row>
    <row r="3353" spans="14:14">
      <c r="N3353" s="43"/>
    </row>
    <row r="3354" spans="14:14">
      <c r="N3354" s="43"/>
    </row>
    <row r="3355" spans="14:14">
      <c r="N3355" s="43"/>
    </row>
    <row r="3356" spans="14:14">
      <c r="N3356" s="43"/>
    </row>
    <row r="3357" spans="14:14">
      <c r="N3357" s="43"/>
    </row>
    <row r="3358" spans="14:14">
      <c r="N3358" s="43"/>
    </row>
    <row r="3359" spans="14:14">
      <c r="N3359" s="43"/>
    </row>
    <row r="3360" spans="14:14">
      <c r="N3360" s="43"/>
    </row>
    <row r="3361" spans="14:14">
      <c r="N3361" s="43"/>
    </row>
    <row r="3362" spans="14:14">
      <c r="N3362" s="43"/>
    </row>
    <row r="3363" spans="14:14">
      <c r="N3363" s="43"/>
    </row>
    <row r="3364" spans="14:14">
      <c r="N3364" s="43"/>
    </row>
    <row r="3365" spans="14:14">
      <c r="N3365" s="43"/>
    </row>
    <row r="3366" spans="14:14">
      <c r="N3366" s="43"/>
    </row>
    <row r="3367" spans="14:14">
      <c r="N3367" s="43"/>
    </row>
    <row r="3368" spans="14:14">
      <c r="N3368" s="43"/>
    </row>
    <row r="3369" spans="14:14">
      <c r="N3369" s="43"/>
    </row>
    <row r="3370" spans="14:14">
      <c r="N3370" s="43"/>
    </row>
    <row r="3371" spans="14:14">
      <c r="N3371" s="43"/>
    </row>
    <row r="3372" spans="14:14">
      <c r="N3372" s="43"/>
    </row>
    <row r="3373" spans="14:14">
      <c r="N3373" s="43"/>
    </row>
    <row r="3374" spans="14:14">
      <c r="N3374" s="43"/>
    </row>
    <row r="3375" spans="14:14">
      <c r="N3375" s="43"/>
    </row>
    <row r="3376" spans="14:14">
      <c r="N3376" s="43"/>
    </row>
    <row r="3377" spans="14:14">
      <c r="N3377" s="43"/>
    </row>
    <row r="3378" spans="14:14">
      <c r="N3378" s="43"/>
    </row>
    <row r="3379" spans="14:14">
      <c r="N3379" s="43"/>
    </row>
    <row r="3380" spans="14:14">
      <c r="N3380" s="43"/>
    </row>
    <row r="3381" spans="14:14">
      <c r="N3381" s="43"/>
    </row>
    <row r="3382" spans="14:14">
      <c r="N3382" s="43"/>
    </row>
    <row r="3383" spans="14:14">
      <c r="N3383" s="43"/>
    </row>
    <row r="3384" spans="14:14">
      <c r="N3384" s="43"/>
    </row>
    <row r="3385" spans="14:14">
      <c r="N3385" s="43"/>
    </row>
    <row r="3386" spans="14:14">
      <c r="N3386" s="43"/>
    </row>
    <row r="3387" spans="14:14">
      <c r="N3387" s="43"/>
    </row>
    <row r="3388" spans="14:14">
      <c r="N3388" s="43"/>
    </row>
    <row r="3389" spans="14:14">
      <c r="N3389" s="43"/>
    </row>
    <row r="3390" spans="14:14">
      <c r="N3390" s="43"/>
    </row>
    <row r="3391" spans="14:14">
      <c r="N3391" s="43"/>
    </row>
    <row r="3392" spans="14:14">
      <c r="N3392" s="43"/>
    </row>
    <row r="3393" spans="14:14">
      <c r="N3393" s="43"/>
    </row>
    <row r="3394" spans="14:14">
      <c r="N3394" s="43"/>
    </row>
    <row r="3395" spans="14:14">
      <c r="N3395" s="43"/>
    </row>
    <row r="3396" spans="14:14">
      <c r="N3396" s="43"/>
    </row>
    <row r="3397" spans="14:14">
      <c r="N3397" s="43"/>
    </row>
    <row r="3398" spans="14:14">
      <c r="N3398" s="43"/>
    </row>
    <row r="3399" spans="14:14">
      <c r="N3399" s="43"/>
    </row>
    <row r="3400" spans="14:14">
      <c r="N3400" s="43"/>
    </row>
    <row r="3401" spans="14:14">
      <c r="N3401" s="43"/>
    </row>
    <row r="3402" spans="14:14">
      <c r="N3402" s="43"/>
    </row>
    <row r="3403" spans="14:14">
      <c r="N3403" s="43"/>
    </row>
    <row r="3404" spans="14:14">
      <c r="N3404" s="43"/>
    </row>
    <row r="3405" spans="14:14">
      <c r="N3405" s="43"/>
    </row>
    <row r="3406" spans="14:14">
      <c r="N3406" s="43"/>
    </row>
    <row r="3407" spans="14:14">
      <c r="N3407" s="43"/>
    </row>
    <row r="3408" spans="14:14">
      <c r="N3408" s="43"/>
    </row>
    <row r="3409" spans="14:14">
      <c r="N3409" s="43"/>
    </row>
    <row r="3410" spans="14:14">
      <c r="N3410" s="43"/>
    </row>
    <row r="3411" spans="14:14">
      <c r="N3411" s="43"/>
    </row>
    <row r="3412" spans="14:14">
      <c r="N3412" s="43"/>
    </row>
    <row r="3413" spans="14:14">
      <c r="N3413" s="43"/>
    </row>
    <row r="3414" spans="14:14">
      <c r="N3414" s="43"/>
    </row>
    <row r="3415" spans="14:14">
      <c r="N3415" s="43"/>
    </row>
    <row r="3416" spans="14:14">
      <c r="N3416" s="43"/>
    </row>
    <row r="3417" spans="14:14">
      <c r="N3417" s="43"/>
    </row>
    <row r="3418" spans="14:14">
      <c r="N3418" s="43"/>
    </row>
    <row r="3419" spans="14:14">
      <c r="N3419" s="43"/>
    </row>
    <row r="3420" spans="14:14">
      <c r="N3420" s="43"/>
    </row>
    <row r="3421" spans="14:14">
      <c r="N3421" s="43"/>
    </row>
    <row r="3422" spans="14:14">
      <c r="N3422" s="43"/>
    </row>
    <row r="3423" spans="14:14">
      <c r="N3423" s="43"/>
    </row>
    <row r="3424" spans="14:14">
      <c r="N3424" s="43"/>
    </row>
    <row r="3425" spans="14:14">
      <c r="N3425" s="43"/>
    </row>
    <row r="3426" spans="14:14">
      <c r="N3426" s="43"/>
    </row>
    <row r="3427" spans="14:14">
      <c r="N3427" s="43"/>
    </row>
    <row r="3428" spans="14:14">
      <c r="N3428" s="43"/>
    </row>
    <row r="3429" spans="14:14">
      <c r="N3429" s="43"/>
    </row>
    <row r="3430" spans="14:14">
      <c r="N3430" s="43"/>
    </row>
    <row r="3431" spans="14:14">
      <c r="N3431" s="43"/>
    </row>
    <row r="3432" spans="14:14">
      <c r="N3432" s="43"/>
    </row>
    <row r="3433" spans="14:14">
      <c r="N3433" s="43"/>
    </row>
    <row r="3434" spans="14:14">
      <c r="N3434" s="43"/>
    </row>
    <row r="3435" spans="14:14">
      <c r="N3435" s="43"/>
    </row>
    <row r="3436" spans="14:14">
      <c r="N3436" s="43"/>
    </row>
    <row r="3437" spans="14:14">
      <c r="N3437" s="43"/>
    </row>
    <row r="3438" spans="14:14">
      <c r="N3438" s="43"/>
    </row>
    <row r="3439" spans="14:14">
      <c r="N3439" s="43"/>
    </row>
    <row r="3440" spans="14:14">
      <c r="N3440" s="43"/>
    </row>
    <row r="3441" spans="14:14">
      <c r="N3441" s="43"/>
    </row>
    <row r="3442" spans="14:14">
      <c r="N3442" s="43"/>
    </row>
    <row r="3443" spans="14:14">
      <c r="N3443" s="43"/>
    </row>
    <row r="3444" spans="14:14">
      <c r="N3444" s="43"/>
    </row>
    <row r="3445" spans="14:14">
      <c r="N3445" s="43"/>
    </row>
    <row r="3446" spans="14:14">
      <c r="N3446" s="43"/>
    </row>
    <row r="3447" spans="14:14">
      <c r="N3447" s="43"/>
    </row>
    <row r="3448" spans="14:14">
      <c r="N3448" s="43"/>
    </row>
    <row r="3449" spans="14:14">
      <c r="N3449" s="43"/>
    </row>
    <row r="3450" spans="14:14">
      <c r="N3450" s="43"/>
    </row>
    <row r="3451" spans="14:14">
      <c r="N3451" s="43"/>
    </row>
    <row r="3452" spans="14:14">
      <c r="N3452" s="43"/>
    </row>
    <row r="3453" spans="14:14">
      <c r="N3453" s="43"/>
    </row>
    <row r="3454" spans="14:14">
      <c r="N3454" s="43"/>
    </row>
    <row r="3455" spans="14:14">
      <c r="N3455" s="43"/>
    </row>
    <row r="3456" spans="14:14">
      <c r="N3456" s="43"/>
    </row>
    <row r="3457" spans="14:14">
      <c r="N3457" s="43"/>
    </row>
    <row r="3458" spans="14:14">
      <c r="N3458" s="43"/>
    </row>
    <row r="3459" spans="14:14">
      <c r="N3459" s="43"/>
    </row>
    <row r="3460" spans="14:14">
      <c r="N3460" s="43"/>
    </row>
    <row r="3461" spans="14:14">
      <c r="N3461" s="43"/>
    </row>
    <row r="3462" spans="14:14">
      <c r="N3462" s="43"/>
    </row>
    <row r="3463" spans="14:14">
      <c r="N3463" s="43"/>
    </row>
    <row r="3464" spans="14:14">
      <c r="N3464" s="43"/>
    </row>
    <row r="3465" spans="14:14">
      <c r="N3465" s="43"/>
    </row>
    <row r="3466" spans="14:14">
      <c r="N3466" s="43"/>
    </row>
    <row r="3467" spans="14:14">
      <c r="N3467" s="43"/>
    </row>
    <row r="3468" spans="14:14">
      <c r="N3468" s="43"/>
    </row>
    <row r="3469" spans="14:14">
      <c r="N3469" s="43"/>
    </row>
    <row r="3470" spans="14:14">
      <c r="N3470" s="43"/>
    </row>
    <row r="3471" spans="14:14">
      <c r="N3471" s="43"/>
    </row>
    <row r="3472" spans="14:14">
      <c r="N3472" s="43"/>
    </row>
    <row r="3473" spans="14:14">
      <c r="N3473" s="43"/>
    </row>
    <row r="3474" spans="14:14">
      <c r="N3474" s="43"/>
    </row>
    <row r="3475" spans="14:14">
      <c r="N3475" s="43"/>
    </row>
    <row r="3476" spans="14:14">
      <c r="N3476" s="43"/>
    </row>
    <row r="3477" spans="14:14">
      <c r="N3477" s="43"/>
    </row>
    <row r="3478" spans="14:14">
      <c r="N3478" s="43"/>
    </row>
    <row r="3479" spans="14:14">
      <c r="N3479" s="43"/>
    </row>
    <row r="3480" spans="14:14">
      <c r="N3480" s="43"/>
    </row>
    <row r="3481" spans="14:14">
      <c r="N3481" s="43"/>
    </row>
    <row r="3482" spans="14:14">
      <c r="N3482" s="43"/>
    </row>
    <row r="3483" spans="14:14">
      <c r="N3483" s="43"/>
    </row>
    <row r="3484" spans="14:14">
      <c r="N3484" s="43"/>
    </row>
    <row r="3485" spans="14:14">
      <c r="N3485" s="43"/>
    </row>
    <row r="3486" spans="14:14">
      <c r="N3486" s="43"/>
    </row>
    <row r="3487" spans="14:14">
      <c r="N3487" s="43"/>
    </row>
    <row r="3488" spans="14:14">
      <c r="N3488" s="43"/>
    </row>
    <row r="3489" spans="14:14">
      <c r="N3489" s="43"/>
    </row>
    <row r="3490" spans="14:14">
      <c r="N3490" s="43"/>
    </row>
    <row r="3491" spans="14:14">
      <c r="N3491" s="43"/>
    </row>
    <row r="3492" spans="14:14">
      <c r="N3492" s="43"/>
    </row>
    <row r="3493" spans="14:14">
      <c r="N3493" s="43"/>
    </row>
    <row r="3494" spans="14:14">
      <c r="N3494" s="43"/>
    </row>
    <row r="3495" spans="14:14">
      <c r="N3495" s="43"/>
    </row>
    <row r="3496" spans="14:14">
      <c r="N3496" s="43"/>
    </row>
    <row r="3497" spans="14:14">
      <c r="N3497" s="43"/>
    </row>
    <row r="3498" spans="14:14">
      <c r="N3498" s="43"/>
    </row>
    <row r="3499" spans="14:14">
      <c r="N3499" s="43"/>
    </row>
    <row r="3500" spans="14:14">
      <c r="N3500" s="43"/>
    </row>
    <row r="3501" spans="14:14">
      <c r="N3501" s="43"/>
    </row>
    <row r="3502" spans="14:14">
      <c r="N3502" s="43"/>
    </row>
    <row r="3503" spans="14:14">
      <c r="N3503" s="43"/>
    </row>
    <row r="3504" spans="14:14">
      <c r="N3504" s="43"/>
    </row>
    <row r="3505" spans="14:14">
      <c r="N3505" s="43"/>
    </row>
    <row r="3506" spans="14:14">
      <c r="N3506" s="43"/>
    </row>
    <row r="3507" spans="14:14">
      <c r="N3507" s="43"/>
    </row>
    <row r="3508" spans="14:14">
      <c r="N3508" s="43"/>
    </row>
    <row r="3509" spans="14:14">
      <c r="N3509" s="43"/>
    </row>
    <row r="3510" spans="14:14">
      <c r="N3510" s="43"/>
    </row>
    <row r="3511" spans="14:14">
      <c r="N3511" s="43"/>
    </row>
    <row r="3512" spans="14:14">
      <c r="N3512" s="43"/>
    </row>
    <row r="3513" spans="14:14">
      <c r="N3513" s="43"/>
    </row>
    <row r="3514" spans="14:14">
      <c r="N3514" s="43"/>
    </row>
    <row r="3515" spans="14:14">
      <c r="N3515" s="43"/>
    </row>
    <row r="3516" spans="14:14">
      <c r="N3516" s="43"/>
    </row>
    <row r="3517" spans="14:14">
      <c r="N3517" s="43"/>
    </row>
    <row r="3518" spans="14:14">
      <c r="N3518" s="43"/>
    </row>
    <row r="3519" spans="14:14">
      <c r="N3519" s="43"/>
    </row>
    <row r="3520" spans="14:14">
      <c r="N3520" s="43"/>
    </row>
    <row r="3521" spans="14:14">
      <c r="N3521" s="43"/>
    </row>
    <row r="3522" spans="14:14">
      <c r="N3522" s="43"/>
    </row>
    <row r="3523" spans="14:14">
      <c r="N3523" s="43"/>
    </row>
    <row r="3524" spans="14:14">
      <c r="N3524" s="43"/>
    </row>
    <row r="3525" spans="14:14">
      <c r="N3525" s="43"/>
    </row>
    <row r="3526" spans="14:14">
      <c r="N3526" s="43"/>
    </row>
    <row r="3527" spans="14:14">
      <c r="N3527" s="43"/>
    </row>
    <row r="3528" spans="14:14">
      <c r="N3528" s="43"/>
    </row>
    <row r="3529" spans="14:14">
      <c r="N3529" s="43"/>
    </row>
    <row r="3530" spans="14:14">
      <c r="N3530" s="43"/>
    </row>
    <row r="3531" spans="14:14">
      <c r="N3531" s="43"/>
    </row>
    <row r="3532" spans="14:14">
      <c r="N3532" s="43"/>
    </row>
    <row r="3533" spans="14:14">
      <c r="N3533" s="43"/>
    </row>
    <row r="3534" spans="14:14">
      <c r="N3534" s="43"/>
    </row>
    <row r="3535" spans="14:14">
      <c r="N3535" s="43"/>
    </row>
    <row r="3536" spans="14:14">
      <c r="N3536" s="43"/>
    </row>
    <row r="3537" spans="14:14">
      <c r="N3537" s="43"/>
    </row>
    <row r="3538" spans="14:14">
      <c r="N3538" s="43"/>
    </row>
    <row r="3539" spans="14:14">
      <c r="N3539" s="43"/>
    </row>
    <row r="3540" spans="14:14">
      <c r="N3540" s="43"/>
    </row>
    <row r="3541" spans="14:14">
      <c r="N3541" s="43"/>
    </row>
    <row r="3542" spans="14:14">
      <c r="N3542" s="43"/>
    </row>
    <row r="3543" spans="14:14">
      <c r="N3543" s="43"/>
    </row>
    <row r="3544" spans="14:14">
      <c r="N3544" s="43"/>
    </row>
    <row r="3545" spans="14:14">
      <c r="N3545" s="43"/>
    </row>
    <row r="3546" spans="14:14">
      <c r="N3546" s="43"/>
    </row>
    <row r="3547" spans="14:14">
      <c r="N3547" s="43"/>
    </row>
    <row r="3548" spans="14:14">
      <c r="N3548" s="43"/>
    </row>
    <row r="3549" spans="14:14">
      <c r="N3549" s="43"/>
    </row>
    <row r="3550" spans="14:14">
      <c r="N3550" s="43"/>
    </row>
    <row r="3551" spans="14:14">
      <c r="N3551" s="43"/>
    </row>
    <row r="3552" spans="14:14">
      <c r="N3552" s="43"/>
    </row>
    <row r="3553" spans="14:14">
      <c r="N3553" s="43"/>
    </row>
    <row r="3554" spans="14:14">
      <c r="N3554" s="43"/>
    </row>
    <row r="3555" spans="14:14">
      <c r="N3555" s="43"/>
    </row>
    <row r="3556" spans="14:14">
      <c r="N3556" s="43"/>
    </row>
    <row r="3557" spans="14:14">
      <c r="N3557" s="43"/>
    </row>
    <row r="3558" spans="14:14">
      <c r="N3558" s="43"/>
    </row>
    <row r="3559" spans="14:14">
      <c r="N3559" s="43"/>
    </row>
    <row r="3560" spans="14:14">
      <c r="N3560" s="43"/>
    </row>
    <row r="3561" spans="14:14">
      <c r="N3561" s="43"/>
    </row>
    <row r="3562" spans="14:14">
      <c r="N3562" s="43"/>
    </row>
    <row r="3563" spans="14:14">
      <c r="N3563" s="43"/>
    </row>
    <row r="3564" spans="14:14">
      <c r="N3564" s="43"/>
    </row>
    <row r="3565" spans="14:14">
      <c r="N3565" s="43"/>
    </row>
    <row r="3566" spans="14:14">
      <c r="N3566" s="43"/>
    </row>
    <row r="3567" spans="14:14">
      <c r="N3567" s="43"/>
    </row>
    <row r="3568" spans="14:14">
      <c r="N3568" s="43"/>
    </row>
    <row r="3569" spans="14:14">
      <c r="N3569" s="43"/>
    </row>
    <row r="3570" spans="14:14">
      <c r="N3570" s="43"/>
    </row>
    <row r="3571" spans="14:14">
      <c r="N3571" s="43"/>
    </row>
    <row r="3572" spans="14:14">
      <c r="N3572" s="43"/>
    </row>
    <row r="3573" spans="14:14">
      <c r="N3573" s="43"/>
    </row>
    <row r="3574" spans="14:14">
      <c r="N3574" s="43"/>
    </row>
    <row r="3575" spans="14:14">
      <c r="N3575" s="43"/>
    </row>
    <row r="3576" spans="14:14">
      <c r="N3576" s="43"/>
    </row>
    <row r="3577" spans="14:14">
      <c r="N3577" s="43"/>
    </row>
    <row r="3578" spans="14:14">
      <c r="N3578" s="43"/>
    </row>
    <row r="3579" spans="14:14">
      <c r="N3579" s="43"/>
    </row>
    <row r="3580" spans="14:14">
      <c r="N3580" s="43"/>
    </row>
    <row r="3581" spans="14:14">
      <c r="N3581" s="43"/>
    </row>
    <row r="3582" spans="14:14">
      <c r="N3582" s="43"/>
    </row>
    <row r="3583" spans="14:14">
      <c r="N3583" s="43"/>
    </row>
    <row r="3584" spans="14:14">
      <c r="N3584" s="43"/>
    </row>
    <row r="3585" spans="14:14">
      <c r="N3585" s="43"/>
    </row>
    <row r="3586" spans="14:14">
      <c r="N3586" s="43"/>
    </row>
    <row r="3587" spans="14:14">
      <c r="N3587" s="43"/>
    </row>
    <row r="3588" spans="14:14">
      <c r="N3588" s="43"/>
    </row>
    <row r="3589" spans="14:14">
      <c r="N3589" s="43"/>
    </row>
    <row r="3590" spans="14:14">
      <c r="N3590" s="43"/>
    </row>
    <row r="3591" spans="14:14">
      <c r="N3591" s="43"/>
    </row>
    <row r="3592" spans="14:14">
      <c r="N3592" s="43"/>
    </row>
    <row r="3593" spans="14:14">
      <c r="N3593" s="43"/>
    </row>
    <row r="3594" spans="14:14">
      <c r="N3594" s="43"/>
    </row>
    <row r="3595" spans="14:14">
      <c r="N3595" s="43"/>
    </row>
    <row r="3596" spans="14:14">
      <c r="N3596" s="43"/>
    </row>
    <row r="3597" spans="14:14">
      <c r="N3597" s="43"/>
    </row>
    <row r="3598" spans="14:14">
      <c r="N3598" s="43"/>
    </row>
    <row r="3599" spans="14:14">
      <c r="N3599" s="43"/>
    </row>
    <row r="3600" spans="14:14">
      <c r="N3600" s="43"/>
    </row>
    <row r="3601" spans="14:14">
      <c r="N3601" s="43"/>
    </row>
    <row r="3602" spans="14:14">
      <c r="N3602" s="43"/>
    </row>
    <row r="3603" spans="14:14">
      <c r="N3603" s="43"/>
    </row>
    <row r="3604" spans="14:14">
      <c r="N3604" s="43"/>
    </row>
    <row r="3605" spans="14:14">
      <c r="N3605" s="43"/>
    </row>
    <row r="3606" spans="14:14">
      <c r="N3606" s="43"/>
    </row>
    <row r="3607" spans="14:14">
      <c r="N3607" s="43"/>
    </row>
    <row r="3608" spans="14:14">
      <c r="N3608" s="43"/>
    </row>
    <row r="3609" spans="14:14">
      <c r="N3609" s="43"/>
    </row>
    <row r="3610" spans="14:14">
      <c r="N3610" s="43"/>
    </row>
    <row r="3611" spans="14:14">
      <c r="N3611" s="43"/>
    </row>
    <row r="3612" spans="14:14">
      <c r="N3612" s="43"/>
    </row>
    <row r="3613" spans="14:14">
      <c r="N3613" s="43"/>
    </row>
    <row r="3614" spans="14:14">
      <c r="N3614" s="43"/>
    </row>
    <row r="3615" spans="14:14">
      <c r="N3615" s="43"/>
    </row>
    <row r="3616" spans="14:14">
      <c r="N3616" s="43"/>
    </row>
    <row r="3617" spans="14:14">
      <c r="N3617" s="43"/>
    </row>
    <row r="3618" spans="14:14">
      <c r="N3618" s="43"/>
    </row>
    <row r="3619" spans="14:14">
      <c r="N3619" s="43"/>
    </row>
    <row r="3620" spans="14:14">
      <c r="N3620" s="43"/>
    </row>
    <row r="3621" spans="14:14">
      <c r="N3621" s="43"/>
    </row>
    <row r="3622" spans="14:14">
      <c r="N3622" s="43"/>
    </row>
    <row r="3623" spans="14:14">
      <c r="N3623" s="43"/>
    </row>
    <row r="3624" spans="14:14">
      <c r="N3624" s="43"/>
    </row>
    <row r="3625" spans="14:14">
      <c r="N3625" s="43"/>
    </row>
    <row r="3626" spans="14:14">
      <c r="N3626" s="43"/>
    </row>
    <row r="3627" spans="14:14">
      <c r="N3627" s="43"/>
    </row>
    <row r="3628" spans="14:14">
      <c r="N3628" s="43"/>
    </row>
    <row r="3629" spans="14:14">
      <c r="N3629" s="43"/>
    </row>
    <row r="3630" spans="14:14">
      <c r="N3630" s="43"/>
    </row>
    <row r="3631" spans="14:14">
      <c r="N3631" s="43"/>
    </row>
    <row r="3632" spans="14:14">
      <c r="N3632" s="43"/>
    </row>
    <row r="3633" spans="14:14">
      <c r="N3633" s="43"/>
    </row>
    <row r="3634" spans="14:14">
      <c r="N3634" s="43"/>
    </row>
    <row r="3635" spans="14:14">
      <c r="N3635" s="43"/>
    </row>
    <row r="3636" spans="14:14">
      <c r="N3636" s="43"/>
    </row>
    <row r="3637" spans="14:14">
      <c r="N3637" s="43"/>
    </row>
    <row r="3638" spans="14:14">
      <c r="N3638" s="43"/>
    </row>
    <row r="3639" spans="14:14">
      <c r="N3639" s="43"/>
    </row>
    <row r="3640" spans="14:14">
      <c r="N3640" s="43"/>
    </row>
    <row r="3641" spans="14:14">
      <c r="N3641" s="43"/>
    </row>
    <row r="3642" spans="14:14">
      <c r="N3642" s="43"/>
    </row>
    <row r="3643" spans="14:14">
      <c r="N3643" s="43"/>
    </row>
    <row r="3644" spans="14:14">
      <c r="N3644" s="43"/>
    </row>
    <row r="3645" spans="14:14">
      <c r="N3645" s="43"/>
    </row>
    <row r="3646" spans="14:14">
      <c r="N3646" s="43"/>
    </row>
    <row r="3647" spans="14:14">
      <c r="N3647" s="43"/>
    </row>
    <row r="3648" spans="14:14">
      <c r="N3648" s="43"/>
    </row>
    <row r="3649" spans="14:14">
      <c r="N3649" s="43"/>
    </row>
    <row r="3650" spans="14:14">
      <c r="N3650" s="43"/>
    </row>
    <row r="3651" spans="14:14">
      <c r="N3651" s="43"/>
    </row>
    <row r="3652" spans="14:14">
      <c r="N3652" s="43"/>
    </row>
    <row r="3653" spans="14:14">
      <c r="N3653" s="43"/>
    </row>
    <row r="3654" spans="14:14">
      <c r="N3654" s="43"/>
    </row>
    <row r="3655" spans="14:14">
      <c r="N3655" s="43"/>
    </row>
    <row r="3656" spans="14:14">
      <c r="N3656" s="43"/>
    </row>
    <row r="3657" spans="14:14">
      <c r="N3657" s="43"/>
    </row>
    <row r="3658" spans="14:14">
      <c r="N3658" s="43"/>
    </row>
    <row r="3659" spans="14:14">
      <c r="N3659" s="43"/>
    </row>
    <row r="3660" spans="14:14">
      <c r="N3660" s="43"/>
    </row>
    <row r="3661" spans="14:14">
      <c r="N3661" s="43"/>
    </row>
    <row r="3662" spans="14:14">
      <c r="N3662" s="43"/>
    </row>
    <row r="3663" spans="14:14">
      <c r="N3663" s="43"/>
    </row>
    <row r="3664" spans="14:14">
      <c r="N3664" s="43"/>
    </row>
    <row r="3665" spans="14:14">
      <c r="N3665" s="43"/>
    </row>
    <row r="3666" spans="14:14">
      <c r="N3666" s="43"/>
    </row>
    <row r="3667" spans="14:14">
      <c r="N3667" s="43"/>
    </row>
    <row r="3668" spans="14:14">
      <c r="N3668" s="43"/>
    </row>
    <row r="3669" spans="14:14">
      <c r="N3669" s="43"/>
    </row>
    <row r="3670" spans="14:14">
      <c r="N3670" s="43"/>
    </row>
    <row r="3671" spans="14:14">
      <c r="N3671" s="43"/>
    </row>
    <row r="3672" spans="14:14">
      <c r="N3672" s="43"/>
    </row>
    <row r="3673" spans="14:14">
      <c r="N3673" s="43"/>
    </row>
    <row r="3674" spans="14:14">
      <c r="N3674" s="43"/>
    </row>
    <row r="3675" spans="14:14">
      <c r="N3675" s="43"/>
    </row>
    <row r="3676" spans="14:14">
      <c r="N3676" s="43"/>
    </row>
    <row r="3677" spans="14:14">
      <c r="N3677" s="43"/>
    </row>
    <row r="3678" spans="14:14">
      <c r="N3678" s="43"/>
    </row>
    <row r="3679" spans="14:14">
      <c r="N3679" s="43"/>
    </row>
    <row r="3680" spans="14:14">
      <c r="N3680" s="43"/>
    </row>
    <row r="3681" spans="14:14">
      <c r="N3681" s="43"/>
    </row>
    <row r="3682" spans="14:14">
      <c r="N3682" s="43"/>
    </row>
    <row r="3683" spans="14:14">
      <c r="N3683" s="43"/>
    </row>
    <row r="3684" spans="14:14">
      <c r="N3684" s="43"/>
    </row>
    <row r="3685" spans="14:14">
      <c r="N3685" s="43"/>
    </row>
    <row r="3686" spans="14:14">
      <c r="N3686" s="43"/>
    </row>
    <row r="3687" spans="14:14">
      <c r="N3687" s="43"/>
    </row>
    <row r="3688" spans="14:14">
      <c r="N3688" s="43"/>
    </row>
    <row r="3689" spans="14:14">
      <c r="N3689" s="43"/>
    </row>
    <row r="3690" spans="14:14">
      <c r="N3690" s="43"/>
    </row>
    <row r="3691" spans="14:14">
      <c r="N3691" s="43"/>
    </row>
    <row r="3692" spans="14:14">
      <c r="N3692" s="43"/>
    </row>
    <row r="3693" spans="14:14">
      <c r="N3693" s="43"/>
    </row>
    <row r="3694" spans="14:14">
      <c r="N3694" s="43"/>
    </row>
    <row r="3695" spans="14:14">
      <c r="N3695" s="43"/>
    </row>
    <row r="3696" spans="14:14">
      <c r="N3696" s="43"/>
    </row>
    <row r="3697" spans="14:14">
      <c r="N3697" s="43"/>
    </row>
    <row r="3698" spans="14:14">
      <c r="N3698" s="43"/>
    </row>
    <row r="3699" spans="14:14">
      <c r="N3699" s="43"/>
    </row>
    <row r="3700" spans="14:14">
      <c r="N3700" s="43"/>
    </row>
    <row r="3701" spans="14:14">
      <c r="N3701" s="43"/>
    </row>
    <row r="3702" spans="14:14">
      <c r="N3702" s="43"/>
    </row>
    <row r="3703" spans="14:14">
      <c r="N3703" s="43"/>
    </row>
    <row r="3704" spans="14:14">
      <c r="N3704" s="43"/>
    </row>
    <row r="3705" spans="14:14">
      <c r="N3705" s="43"/>
    </row>
    <row r="3706" spans="14:14">
      <c r="N3706" s="43"/>
    </row>
    <row r="3707" spans="14:14">
      <c r="N3707" s="43"/>
    </row>
    <row r="3708" spans="14:14">
      <c r="N3708" s="43"/>
    </row>
    <row r="3709" spans="14:14">
      <c r="N3709" s="43"/>
    </row>
    <row r="3710" spans="14:14">
      <c r="N3710" s="43"/>
    </row>
    <row r="3711" spans="14:14">
      <c r="N3711" s="43"/>
    </row>
    <row r="3712" spans="14:14">
      <c r="N3712" s="43"/>
    </row>
    <row r="3713" spans="14:14">
      <c r="N3713" s="43"/>
    </row>
    <row r="3714" spans="14:14">
      <c r="N3714" s="43"/>
    </row>
    <row r="3715" spans="14:14">
      <c r="N3715" s="43"/>
    </row>
    <row r="3716" spans="14:14">
      <c r="N3716" s="43"/>
    </row>
    <row r="3717" spans="14:14">
      <c r="N3717" s="43"/>
    </row>
    <row r="3718" spans="14:14">
      <c r="N3718" s="43"/>
    </row>
    <row r="3719" spans="14:14">
      <c r="N3719" s="43"/>
    </row>
    <row r="3720" spans="14:14">
      <c r="N3720" s="43"/>
    </row>
    <row r="3721" spans="14:14">
      <c r="N3721" s="43"/>
    </row>
    <row r="3722" spans="14:14">
      <c r="N3722" s="43"/>
    </row>
    <row r="3723" spans="14:14">
      <c r="N3723" s="43"/>
    </row>
    <row r="3724" spans="14:14">
      <c r="N3724" s="43"/>
    </row>
    <row r="3725" spans="14:14">
      <c r="N3725" s="43"/>
    </row>
    <row r="3726" spans="14:14">
      <c r="N3726" s="43"/>
    </row>
    <row r="3727" spans="14:14">
      <c r="N3727" s="43"/>
    </row>
    <row r="3728" spans="14:14">
      <c r="N3728" s="43"/>
    </row>
    <row r="3729" spans="14:14">
      <c r="N3729" s="43"/>
    </row>
    <row r="3730" spans="14:14">
      <c r="N3730" s="43"/>
    </row>
    <row r="3731" spans="14:14">
      <c r="N3731" s="43"/>
    </row>
    <row r="3732" spans="14:14">
      <c r="N3732" s="43"/>
    </row>
    <row r="3733" spans="14:14">
      <c r="N3733" s="43"/>
    </row>
    <row r="3734" spans="14:14">
      <c r="N3734" s="43"/>
    </row>
    <row r="3735" spans="14:14">
      <c r="N3735" s="43"/>
    </row>
    <row r="3736" spans="14:14">
      <c r="N3736" s="43"/>
    </row>
    <row r="3737" spans="14:14">
      <c r="N3737" s="43"/>
    </row>
    <row r="3738" spans="14:14">
      <c r="N3738" s="43"/>
    </row>
    <row r="3739" spans="14:14">
      <c r="N3739" s="43"/>
    </row>
    <row r="3740" spans="14:14">
      <c r="N3740" s="43"/>
    </row>
    <row r="3741" spans="14:14">
      <c r="N3741" s="43"/>
    </row>
    <row r="3742" spans="14:14">
      <c r="N3742" s="43"/>
    </row>
    <row r="3743" spans="14:14">
      <c r="N3743" s="43"/>
    </row>
    <row r="3744" spans="14:14">
      <c r="N3744" s="43"/>
    </row>
    <row r="3745" spans="14:14">
      <c r="N3745" s="43"/>
    </row>
    <row r="3746" spans="14:14">
      <c r="N3746" s="43"/>
    </row>
    <row r="3747" spans="14:14">
      <c r="N3747" s="43"/>
    </row>
    <row r="3748" spans="14:14">
      <c r="N3748" s="43"/>
    </row>
    <row r="3749" spans="14:14">
      <c r="N3749" s="43"/>
    </row>
    <row r="3750" spans="14:14">
      <c r="N3750" s="43"/>
    </row>
    <row r="3751" spans="14:14">
      <c r="N3751" s="43"/>
    </row>
    <row r="3752" spans="14:14">
      <c r="N3752" s="43"/>
    </row>
    <row r="3753" spans="14:14">
      <c r="N3753" s="43"/>
    </row>
    <row r="3754" spans="14:14">
      <c r="N3754" s="43"/>
    </row>
    <row r="3755" spans="14:14">
      <c r="N3755" s="43"/>
    </row>
    <row r="3756" spans="14:14">
      <c r="N3756" s="43"/>
    </row>
    <row r="3757" spans="14:14">
      <c r="N3757" s="43"/>
    </row>
    <row r="3758" spans="14:14">
      <c r="N3758" s="43"/>
    </row>
    <row r="3759" spans="14:14">
      <c r="N3759" s="43"/>
    </row>
    <row r="3760" spans="14:14">
      <c r="N3760" s="43"/>
    </row>
    <row r="3761" spans="14:14">
      <c r="N3761" s="43"/>
    </row>
    <row r="3762" spans="14:14">
      <c r="N3762" s="43"/>
    </row>
    <row r="3763" spans="14:14">
      <c r="N3763" s="43"/>
    </row>
    <row r="3764" spans="14:14">
      <c r="N3764" s="43"/>
    </row>
    <row r="3765" spans="14:14">
      <c r="N3765" s="43"/>
    </row>
    <row r="3766" spans="14:14">
      <c r="N3766" s="43"/>
    </row>
    <row r="3767" spans="14:14">
      <c r="N3767" s="43"/>
    </row>
    <row r="3768" spans="14:14">
      <c r="N3768" s="43"/>
    </row>
    <row r="3769" spans="14:14">
      <c r="N3769" s="43"/>
    </row>
    <row r="3770" spans="14:14">
      <c r="N3770" s="43"/>
    </row>
    <row r="3771" spans="14:14">
      <c r="N3771" s="43"/>
    </row>
    <row r="3772" spans="14:14">
      <c r="N3772" s="43"/>
    </row>
    <row r="3773" spans="14:14">
      <c r="N3773" s="43"/>
    </row>
    <row r="3774" spans="14:14">
      <c r="N3774" s="43"/>
    </row>
    <row r="3775" spans="14:14">
      <c r="N3775" s="43"/>
    </row>
    <row r="3776" spans="14:14">
      <c r="N3776" s="43"/>
    </row>
    <row r="3777" spans="14:14">
      <c r="N3777" s="43"/>
    </row>
    <row r="3778" spans="14:14">
      <c r="N3778" s="43"/>
    </row>
    <row r="3779" spans="14:14">
      <c r="N3779" s="43"/>
    </row>
    <row r="3780" spans="14:14">
      <c r="N3780" s="43"/>
    </row>
    <row r="3781" spans="14:14">
      <c r="N3781" s="43"/>
    </row>
    <row r="3782" spans="14:14">
      <c r="N3782" s="43"/>
    </row>
    <row r="3783" spans="14:14">
      <c r="N3783" s="43"/>
    </row>
    <row r="3784" spans="14:14">
      <c r="N3784" s="43"/>
    </row>
    <row r="3785" spans="14:14">
      <c r="N3785" s="43"/>
    </row>
    <row r="3786" spans="14:14">
      <c r="N3786" s="43"/>
    </row>
    <row r="3787" spans="14:14">
      <c r="N3787" s="43"/>
    </row>
    <row r="3788" spans="14:14">
      <c r="N3788" s="43"/>
    </row>
    <row r="3789" spans="14:14">
      <c r="N3789" s="43"/>
    </row>
    <row r="3790" spans="14:14">
      <c r="N3790" s="43"/>
    </row>
    <row r="3791" spans="14:14">
      <c r="N3791" s="43"/>
    </row>
    <row r="3792" spans="14:14">
      <c r="N3792" s="43"/>
    </row>
    <row r="3793" spans="14:14">
      <c r="N3793" s="43"/>
    </row>
    <row r="3794" spans="14:14">
      <c r="N3794" s="43"/>
    </row>
    <row r="3795" spans="14:14">
      <c r="N3795" s="43"/>
    </row>
    <row r="3796" spans="14:14">
      <c r="N3796" s="43"/>
    </row>
    <row r="3797" spans="14:14">
      <c r="N3797" s="43"/>
    </row>
    <row r="3798" spans="14:14">
      <c r="N3798" s="43"/>
    </row>
    <row r="3799" spans="14:14">
      <c r="N3799" s="43"/>
    </row>
    <row r="3800" spans="14:14">
      <c r="N3800" s="43"/>
    </row>
    <row r="3801" spans="14:14">
      <c r="N3801" s="43"/>
    </row>
    <row r="3802" spans="14:14">
      <c r="N3802" s="43"/>
    </row>
    <row r="3803" spans="14:14">
      <c r="N3803" s="43"/>
    </row>
    <row r="3804" spans="14:14">
      <c r="N3804" s="43"/>
    </row>
    <row r="3805" spans="14:14">
      <c r="N3805" s="43"/>
    </row>
    <row r="3806" spans="14:14">
      <c r="N3806" s="43"/>
    </row>
    <row r="3807" spans="14:14">
      <c r="N3807" s="43"/>
    </row>
    <row r="3808" spans="14:14">
      <c r="N3808" s="43"/>
    </row>
    <row r="3809" spans="14:14">
      <c r="N3809" s="43"/>
    </row>
    <row r="3810" spans="14:14">
      <c r="N3810" s="43"/>
    </row>
    <row r="3811" spans="14:14">
      <c r="N3811" s="43"/>
    </row>
    <row r="3812" spans="14:14">
      <c r="N3812" s="43"/>
    </row>
    <row r="3813" spans="14:14">
      <c r="N3813" s="43"/>
    </row>
    <row r="3814" spans="14:14">
      <c r="N3814" s="43"/>
    </row>
    <row r="3815" spans="14:14">
      <c r="N3815" s="43"/>
    </row>
    <row r="3816" spans="14:14">
      <c r="N3816" s="43"/>
    </row>
    <row r="3817" spans="14:14">
      <c r="N3817" s="43"/>
    </row>
    <row r="3818" spans="14:14">
      <c r="N3818" s="43"/>
    </row>
    <row r="3819" spans="14:14">
      <c r="N3819" s="43"/>
    </row>
    <row r="3820" spans="14:14">
      <c r="N3820" s="43"/>
    </row>
    <row r="3821" spans="14:14">
      <c r="N3821" s="43"/>
    </row>
    <row r="3822" spans="14:14">
      <c r="N3822" s="43"/>
    </row>
    <row r="3823" spans="14:14">
      <c r="N3823" s="43"/>
    </row>
    <row r="3824" spans="14:14">
      <c r="N3824" s="43"/>
    </row>
    <row r="3825" spans="14:14">
      <c r="N3825" s="43"/>
    </row>
    <row r="3826" spans="14:14">
      <c r="N3826" s="43"/>
    </row>
    <row r="3827" spans="14:14">
      <c r="N3827" s="43"/>
    </row>
    <row r="3828" spans="14:14">
      <c r="N3828" s="43"/>
    </row>
    <row r="3829" spans="14:14">
      <c r="N3829" s="43"/>
    </row>
    <row r="3830" spans="14:14">
      <c r="N3830" s="43"/>
    </row>
    <row r="3831" spans="14:14">
      <c r="N3831" s="43"/>
    </row>
    <row r="3832" spans="14:14">
      <c r="N3832" s="43"/>
    </row>
    <row r="3833" spans="14:14">
      <c r="N3833" s="43"/>
    </row>
    <row r="3834" spans="14:14">
      <c r="N3834" s="43"/>
    </row>
    <row r="3835" spans="14:14">
      <c r="N3835" s="43"/>
    </row>
    <row r="3836" spans="14:14">
      <c r="N3836" s="43"/>
    </row>
    <row r="3837" spans="14:14">
      <c r="N3837" s="43"/>
    </row>
    <row r="3838" spans="14:14">
      <c r="N3838" s="43"/>
    </row>
    <row r="3839" spans="14:14">
      <c r="N3839" s="43"/>
    </row>
    <row r="3840" spans="14:14">
      <c r="N3840" s="43"/>
    </row>
    <row r="3841" spans="14:14">
      <c r="N3841" s="43"/>
    </row>
    <row r="3842" spans="14:14">
      <c r="N3842" s="43"/>
    </row>
    <row r="3843" spans="14:14">
      <c r="N3843" s="43"/>
    </row>
    <row r="3844" spans="14:14">
      <c r="N3844" s="43"/>
    </row>
    <row r="3845" spans="14:14">
      <c r="N3845" s="43"/>
    </row>
    <row r="3846" spans="14:14">
      <c r="N3846" s="43"/>
    </row>
    <row r="3847" spans="14:14">
      <c r="N3847" s="43"/>
    </row>
    <row r="3848" spans="14:14">
      <c r="N3848" s="43"/>
    </row>
    <row r="3849" spans="14:14">
      <c r="N3849" s="43"/>
    </row>
    <row r="3850" spans="14:14">
      <c r="N3850" s="43"/>
    </row>
    <row r="3851" spans="14:14">
      <c r="N3851" s="43"/>
    </row>
    <row r="3852" spans="14:14">
      <c r="N3852" s="43"/>
    </row>
    <row r="3853" spans="14:14">
      <c r="N3853" s="43"/>
    </row>
    <row r="3854" spans="14:14">
      <c r="N3854" s="43"/>
    </row>
    <row r="3855" spans="14:14">
      <c r="N3855" s="43"/>
    </row>
    <row r="3856" spans="14:14">
      <c r="N3856" s="43"/>
    </row>
    <row r="3857" spans="14:14">
      <c r="N3857" s="43"/>
    </row>
    <row r="3858" spans="14:14">
      <c r="N3858" s="43"/>
    </row>
    <row r="3859" spans="14:14">
      <c r="N3859" s="43"/>
    </row>
    <row r="3860" spans="14:14">
      <c r="N3860" s="43"/>
    </row>
    <row r="3861" spans="14:14">
      <c r="N3861" s="43"/>
    </row>
    <row r="3862" spans="14:14">
      <c r="N3862" s="43"/>
    </row>
    <row r="3863" spans="14:14">
      <c r="N3863" s="43"/>
    </row>
    <row r="3864" spans="14:14">
      <c r="N3864" s="43"/>
    </row>
    <row r="3865" spans="14:14">
      <c r="N3865" s="43"/>
    </row>
    <row r="3866" spans="14:14">
      <c r="N3866" s="43"/>
    </row>
    <row r="3867" spans="14:14">
      <c r="N3867" s="43"/>
    </row>
    <row r="3868" spans="14:14">
      <c r="N3868" s="43"/>
    </row>
    <row r="3869" spans="14:14">
      <c r="N3869" s="43"/>
    </row>
    <row r="3870" spans="14:14">
      <c r="N3870" s="43"/>
    </row>
    <row r="3871" spans="14:14">
      <c r="N3871" s="43"/>
    </row>
    <row r="3872" spans="14:14">
      <c r="N3872" s="43"/>
    </row>
    <row r="3873" spans="14:14">
      <c r="N3873" s="43"/>
    </row>
    <row r="3874" spans="14:14">
      <c r="N3874" s="43"/>
    </row>
    <row r="3875" spans="14:14">
      <c r="N3875" s="43"/>
    </row>
    <row r="3876" spans="14:14">
      <c r="N3876" s="43"/>
    </row>
    <row r="3877" spans="14:14">
      <c r="N3877" s="43"/>
    </row>
    <row r="3878" spans="14:14">
      <c r="N3878" s="43"/>
    </row>
    <row r="3879" spans="14:14">
      <c r="N3879" s="43"/>
    </row>
    <row r="3880" spans="14:14">
      <c r="N3880" s="43"/>
    </row>
    <row r="3881" spans="14:14">
      <c r="N3881" s="43"/>
    </row>
    <row r="3882" spans="14:14">
      <c r="N3882" s="43"/>
    </row>
    <row r="3883" spans="14:14">
      <c r="N3883" s="43"/>
    </row>
    <row r="3884" spans="14:14">
      <c r="N3884" s="43"/>
    </row>
    <row r="3885" spans="14:14">
      <c r="N3885" s="43"/>
    </row>
    <row r="3886" spans="14:14">
      <c r="N3886" s="43"/>
    </row>
    <row r="3887" spans="14:14">
      <c r="N3887" s="43"/>
    </row>
    <row r="3888" spans="14:14">
      <c r="N3888" s="43"/>
    </row>
    <row r="3889" spans="14:14">
      <c r="N3889" s="43"/>
    </row>
    <row r="3890" spans="14:14">
      <c r="N3890" s="43"/>
    </row>
    <row r="3891" spans="14:14">
      <c r="N3891" s="43"/>
    </row>
    <row r="3892" spans="14:14">
      <c r="N3892" s="43"/>
    </row>
    <row r="3893" spans="14:14">
      <c r="N3893" s="43"/>
    </row>
    <row r="3894" spans="14:14">
      <c r="N3894" s="43"/>
    </row>
    <row r="3895" spans="14:14">
      <c r="N3895" s="43"/>
    </row>
    <row r="3896" spans="14:14">
      <c r="N3896" s="43"/>
    </row>
    <row r="3897" spans="14:14">
      <c r="N3897" s="43"/>
    </row>
    <row r="3898" spans="14:14">
      <c r="N3898" s="43"/>
    </row>
    <row r="3899" spans="14:14">
      <c r="N3899" s="43"/>
    </row>
    <row r="3900" spans="14:14">
      <c r="N3900" s="43"/>
    </row>
    <row r="3901" spans="14:14">
      <c r="N3901" s="43"/>
    </row>
    <row r="3902" spans="14:14">
      <c r="N3902" s="43"/>
    </row>
    <row r="3903" spans="14:14">
      <c r="N3903" s="43"/>
    </row>
    <row r="3904" spans="14:14">
      <c r="N3904" s="43"/>
    </row>
    <row r="3905" spans="14:14">
      <c r="N3905" s="43"/>
    </row>
    <row r="3906" spans="14:14">
      <c r="N3906" s="43"/>
    </row>
    <row r="3907" spans="14:14">
      <c r="N3907" s="43"/>
    </row>
    <row r="3908" spans="14:14">
      <c r="N3908" s="43"/>
    </row>
    <row r="3909" spans="14:14">
      <c r="N3909" s="43"/>
    </row>
    <row r="3910" spans="14:14">
      <c r="N3910" s="43"/>
    </row>
    <row r="3911" spans="14:14">
      <c r="N3911" s="43"/>
    </row>
    <row r="3912" spans="14:14">
      <c r="N3912" s="43"/>
    </row>
    <row r="3913" spans="14:14">
      <c r="N3913" s="43"/>
    </row>
    <row r="3914" spans="14:14">
      <c r="N3914" s="43"/>
    </row>
    <row r="3915" spans="14:14">
      <c r="N3915" s="43"/>
    </row>
    <row r="3916" spans="14:14">
      <c r="N3916" s="43"/>
    </row>
    <row r="3917" spans="14:14">
      <c r="N3917" s="43"/>
    </row>
    <row r="3918" spans="14:14">
      <c r="N3918" s="43"/>
    </row>
    <row r="3919" spans="14:14">
      <c r="N3919" s="43"/>
    </row>
    <row r="3920" spans="14:14">
      <c r="N3920" s="43"/>
    </row>
    <row r="3921" spans="14:14">
      <c r="N3921" s="43"/>
    </row>
    <row r="3922" spans="14:14">
      <c r="N3922" s="43"/>
    </row>
    <row r="3923" spans="14:14">
      <c r="N3923" s="43"/>
    </row>
    <row r="3924" spans="14:14">
      <c r="N3924" s="43"/>
    </row>
    <row r="3925" spans="14:14">
      <c r="N3925" s="43"/>
    </row>
    <row r="3926" spans="14:14">
      <c r="N3926" s="43"/>
    </row>
    <row r="3927" spans="14:14">
      <c r="N3927" s="43"/>
    </row>
    <row r="3928" spans="14:14">
      <c r="N3928" s="43"/>
    </row>
    <row r="3929" spans="14:14">
      <c r="N3929" s="43"/>
    </row>
    <row r="3930" spans="14:14">
      <c r="N3930" s="43"/>
    </row>
    <row r="3931" spans="14:14">
      <c r="N3931" s="43"/>
    </row>
    <row r="3932" spans="14:14">
      <c r="N3932" s="43"/>
    </row>
    <row r="3933" spans="14:14">
      <c r="N3933" s="43"/>
    </row>
    <row r="3934" spans="14:14">
      <c r="N3934" s="43"/>
    </row>
    <row r="3935" spans="14:14">
      <c r="N3935" s="43"/>
    </row>
    <row r="3936" spans="14:14">
      <c r="N3936" s="43"/>
    </row>
    <row r="3937" spans="14:14">
      <c r="N3937" s="43"/>
    </row>
    <row r="3938" spans="14:14">
      <c r="N3938" s="43"/>
    </row>
    <row r="3939" spans="14:14">
      <c r="N3939" s="43"/>
    </row>
    <row r="3940" spans="14:14">
      <c r="N3940" s="43"/>
    </row>
    <row r="3941" spans="14:14">
      <c r="N3941" s="43"/>
    </row>
    <row r="3942" spans="14:14">
      <c r="N3942" s="43"/>
    </row>
    <row r="3943" spans="14:14">
      <c r="N3943" s="43"/>
    </row>
    <row r="3944" spans="14:14">
      <c r="N3944" s="43"/>
    </row>
    <row r="3945" spans="14:14">
      <c r="N3945" s="43"/>
    </row>
    <row r="3946" spans="14:14">
      <c r="N3946" s="43"/>
    </row>
    <row r="3947" spans="14:14">
      <c r="N3947" s="43"/>
    </row>
    <row r="3948" spans="14:14">
      <c r="N3948" s="43"/>
    </row>
    <row r="3949" spans="14:14">
      <c r="N3949" s="43"/>
    </row>
    <row r="3950" spans="14:14">
      <c r="N3950" s="43"/>
    </row>
    <row r="3951" spans="14:14">
      <c r="N3951" s="43"/>
    </row>
    <row r="3952" spans="14:14">
      <c r="N3952" s="43"/>
    </row>
    <row r="3953" spans="14:14">
      <c r="N3953" s="43"/>
    </row>
    <row r="3954" spans="14:14">
      <c r="N3954" s="43"/>
    </row>
    <row r="3955" spans="14:14">
      <c r="N3955" s="43"/>
    </row>
    <row r="3956" spans="14:14">
      <c r="N3956" s="43"/>
    </row>
    <row r="3957" spans="14:14">
      <c r="N3957" s="43"/>
    </row>
    <row r="3958" spans="14:14">
      <c r="N3958" s="43"/>
    </row>
    <row r="3959" spans="14:14">
      <c r="N3959" s="43"/>
    </row>
    <row r="3960" spans="14:14">
      <c r="N3960" s="43"/>
    </row>
    <row r="3961" spans="14:14">
      <c r="N3961" s="43"/>
    </row>
    <row r="3962" spans="14:14">
      <c r="N3962" s="43"/>
    </row>
    <row r="3963" spans="14:14">
      <c r="N3963" s="43"/>
    </row>
    <row r="3964" spans="14:14">
      <c r="N3964" s="43"/>
    </row>
    <row r="3965" spans="14:14">
      <c r="N3965" s="43"/>
    </row>
    <row r="3966" spans="14:14">
      <c r="N3966" s="43"/>
    </row>
    <row r="3967" spans="14:14">
      <c r="N3967" s="43"/>
    </row>
    <row r="3968" spans="14:14">
      <c r="N3968" s="43"/>
    </row>
    <row r="3969" spans="14:14">
      <c r="N3969" s="43"/>
    </row>
    <row r="3970" spans="14:14">
      <c r="N3970" s="43"/>
    </row>
    <row r="3971" spans="14:14">
      <c r="N3971" s="43"/>
    </row>
    <row r="3972" spans="14:14">
      <c r="N3972" s="43"/>
    </row>
    <row r="3973" spans="14:14">
      <c r="N3973" s="43"/>
    </row>
    <row r="3974" spans="14:14">
      <c r="N3974" s="43"/>
    </row>
    <row r="3975" spans="14:14">
      <c r="N3975" s="43"/>
    </row>
    <row r="3976" spans="14:14">
      <c r="N3976" s="43"/>
    </row>
    <row r="3977" spans="14:14">
      <c r="N3977" s="43"/>
    </row>
    <row r="3978" spans="14:14">
      <c r="N3978" s="43"/>
    </row>
    <row r="3979" spans="14:14">
      <c r="N3979" s="43"/>
    </row>
    <row r="3980" spans="14:14">
      <c r="N3980" s="43"/>
    </row>
    <row r="3981" spans="14:14">
      <c r="N3981" s="43"/>
    </row>
    <row r="3982" spans="14:14">
      <c r="N3982" s="43"/>
    </row>
    <row r="3983" spans="14:14">
      <c r="N3983" s="43"/>
    </row>
    <row r="3984" spans="14:14">
      <c r="N3984" s="43"/>
    </row>
    <row r="3985" spans="14:14">
      <c r="N3985" s="43"/>
    </row>
    <row r="3986" spans="14:14">
      <c r="N3986" s="43"/>
    </row>
    <row r="3987" spans="14:14">
      <c r="N3987" s="43"/>
    </row>
    <row r="3988" spans="14:14">
      <c r="N3988" s="43"/>
    </row>
    <row r="3989" spans="14:14">
      <c r="N3989" s="43"/>
    </row>
    <row r="3990" spans="14:14">
      <c r="N3990" s="43"/>
    </row>
    <row r="3991" spans="14:14">
      <c r="N3991" s="43"/>
    </row>
    <row r="3992" spans="14:14">
      <c r="N3992" s="43"/>
    </row>
    <row r="3993" spans="14:14">
      <c r="N3993" s="43"/>
    </row>
    <row r="3994" spans="14:14">
      <c r="N3994" s="43"/>
    </row>
    <row r="3995" spans="14:14">
      <c r="N3995" s="43"/>
    </row>
    <row r="3996" spans="14:14">
      <c r="N3996" s="43"/>
    </row>
    <row r="3997" spans="14:14">
      <c r="N3997" s="43"/>
    </row>
    <row r="3998" spans="14:14">
      <c r="N3998" s="43"/>
    </row>
    <row r="3999" spans="14:14">
      <c r="N3999" s="43"/>
    </row>
    <row r="4000" spans="14:14">
      <c r="N4000" s="43"/>
    </row>
    <row r="4001" spans="14:14">
      <c r="N4001" s="43"/>
    </row>
    <row r="4002" spans="14:14">
      <c r="N4002" s="43"/>
    </row>
    <row r="4003" spans="14:14">
      <c r="N4003" s="43"/>
    </row>
    <row r="4004" spans="14:14">
      <c r="N4004" s="43"/>
    </row>
  </sheetData>
  <pageMargins left="0.7" right="0.7" top="0.75" bottom="0.75" header="0.3" footer="0.3"/>
  <ignoredErrors>
    <ignoredError sqref="O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workbookViewId="0">
      <selection activeCell="C38" sqref="C38"/>
    </sheetView>
  </sheetViews>
  <sheetFormatPr defaultRowHeight="15"/>
  <cols>
    <col min="2" max="2" width="13.140625" customWidth="1"/>
    <col min="3" max="3" width="12.7109375" customWidth="1"/>
    <col min="4" max="4" width="14.42578125" customWidth="1"/>
    <col min="5" max="6" width="20.28515625" customWidth="1"/>
    <col min="7" max="7" width="13.85546875" bestFit="1" customWidth="1"/>
    <col min="8" max="8" width="12.140625" bestFit="1" customWidth="1"/>
    <col min="9" max="9" width="20.28515625" bestFit="1" customWidth="1"/>
  </cols>
  <sheetData>
    <row r="1" spans="1:8">
      <c r="A1" s="66" t="s">
        <v>1098</v>
      </c>
      <c r="B1" s="36" t="s">
        <v>1102</v>
      </c>
      <c r="C1" s="36" t="s">
        <v>1103</v>
      </c>
      <c r="D1" s="36" t="s">
        <v>1104</v>
      </c>
      <c r="E1" s="36" t="s">
        <v>1105</v>
      </c>
      <c r="F1" s="36" t="s">
        <v>1108</v>
      </c>
      <c r="G1" s="36" t="s">
        <v>1106</v>
      </c>
      <c r="H1" s="36"/>
    </row>
    <row r="2" spans="1:8">
      <c r="A2" s="66"/>
      <c r="B2" s="51">
        <f>GETPIVOTDATA("MarketingSpend",$B$4)</f>
        <v>84.04216000000001</v>
      </c>
      <c r="C2" s="55">
        <f>GETPIVOTDATA("Clicks",$B$27)</f>
        <v>4831.7209999999995</v>
      </c>
      <c r="D2" s="35">
        <f>GETPIVOTDATA("PaidCustomer",$B$49)</f>
        <v>276</v>
      </c>
      <c r="E2" s="44">
        <f>GETPIVOTDATA("Sum of ROI",$B$73)</f>
        <v>49.544024526303524</v>
      </c>
      <c r="F2" s="56">
        <f>GETPIVOTDATA("CPA",$B$15)</f>
        <v>22.606340000000003</v>
      </c>
      <c r="G2" s="56">
        <f>GETPIVOTDATA("Revenue",$B$63)</f>
        <v>59.067110000000007</v>
      </c>
      <c r="H2" s="35"/>
    </row>
    <row r="3" spans="1:8">
      <c r="B3" s="67" t="s">
        <v>1099</v>
      </c>
      <c r="C3" s="68"/>
    </row>
    <row r="4" spans="1:8">
      <c r="B4" s="17" t="s">
        <v>1090</v>
      </c>
      <c r="C4" t="s">
        <v>1092</v>
      </c>
    </row>
    <row r="5" spans="1:8">
      <c r="B5" s="18" t="s">
        <v>45</v>
      </c>
      <c r="C5" s="48">
        <v>8.9891100000000019</v>
      </c>
    </row>
    <row r="6" spans="1:8">
      <c r="B6" s="18" t="s">
        <v>25</v>
      </c>
      <c r="C6" s="48">
        <v>13.295150000000003</v>
      </c>
    </row>
    <row r="7" spans="1:8">
      <c r="B7" s="18" t="s">
        <v>15</v>
      </c>
      <c r="C7" s="48">
        <v>14.181700000000001</v>
      </c>
    </row>
    <row r="8" spans="1:8">
      <c r="B8" s="18" t="s">
        <v>40</v>
      </c>
      <c r="C8" s="48">
        <v>14.41484</v>
      </c>
    </row>
    <row r="9" spans="1:8">
      <c r="B9" s="18" t="s">
        <v>32</v>
      </c>
      <c r="C9" s="48">
        <v>14.591580000000002</v>
      </c>
    </row>
    <row r="10" spans="1:8">
      <c r="B10" s="18" t="s">
        <v>28</v>
      </c>
      <c r="C10" s="48">
        <v>18.569780000000002</v>
      </c>
    </row>
    <row r="11" spans="1:8">
      <c r="B11" s="18" t="s">
        <v>1091</v>
      </c>
      <c r="C11" s="48">
        <v>84.04216000000001</v>
      </c>
    </row>
    <row r="15" spans="1:8">
      <c r="B15" s="17" t="s">
        <v>1090</v>
      </c>
      <c r="C15" t="s">
        <v>1093</v>
      </c>
    </row>
    <row r="16" spans="1:8">
      <c r="B16" s="18" t="s">
        <v>45</v>
      </c>
      <c r="C16" s="48">
        <v>2.7330600000000005</v>
      </c>
    </row>
    <row r="17" spans="2:3">
      <c r="B17" s="18" t="s">
        <v>25</v>
      </c>
      <c r="C17" s="48">
        <v>3.0012899999999991</v>
      </c>
    </row>
    <row r="18" spans="2:3">
      <c r="B18" s="18" t="s">
        <v>15</v>
      </c>
      <c r="C18" s="48">
        <v>3.7065200000000003</v>
      </c>
    </row>
    <row r="19" spans="2:3">
      <c r="B19" s="18" t="s">
        <v>40</v>
      </c>
      <c r="C19" s="48">
        <v>3.9091499999999995</v>
      </c>
    </row>
    <row r="20" spans="2:3">
      <c r="B20" s="18" t="s">
        <v>32</v>
      </c>
      <c r="C20" s="48">
        <v>3.9355200000000008</v>
      </c>
    </row>
    <row r="21" spans="2:3">
      <c r="B21" s="18" t="s">
        <v>28</v>
      </c>
      <c r="C21" s="48">
        <v>5.3208000000000002</v>
      </c>
    </row>
    <row r="22" spans="2:3">
      <c r="B22" s="18" t="s">
        <v>1091</v>
      </c>
      <c r="C22" s="48">
        <v>22.606340000000003</v>
      </c>
    </row>
    <row r="23" spans="2:3">
      <c r="B23" s="18"/>
      <c r="C23" s="34"/>
    </row>
    <row r="24" spans="2:3">
      <c r="B24" s="18"/>
      <c r="C24" s="34"/>
    </row>
    <row r="25" spans="2:3">
      <c r="B25" s="69" t="s">
        <v>1100</v>
      </c>
      <c r="C25" s="69"/>
    </row>
    <row r="27" spans="2:3">
      <c r="B27" s="17" t="s">
        <v>1090</v>
      </c>
      <c r="C27" t="s">
        <v>1097</v>
      </c>
    </row>
    <row r="28" spans="2:3">
      <c r="B28" s="18" t="s">
        <v>45</v>
      </c>
      <c r="C28" s="47">
        <v>602.38599999999997</v>
      </c>
    </row>
    <row r="29" spans="2:3">
      <c r="B29" s="18" t="s">
        <v>25</v>
      </c>
      <c r="C29" s="47">
        <v>790.84000000000026</v>
      </c>
    </row>
    <row r="30" spans="2:3">
      <c r="B30" s="18" t="s">
        <v>32</v>
      </c>
      <c r="C30" s="47">
        <v>796.50400000000002</v>
      </c>
    </row>
    <row r="31" spans="2:3">
      <c r="B31" s="18" t="s">
        <v>40</v>
      </c>
      <c r="C31" s="47">
        <v>811.29500000000007</v>
      </c>
    </row>
    <row r="32" spans="2:3">
      <c r="B32" s="18" t="s">
        <v>15</v>
      </c>
      <c r="C32" s="47">
        <v>850.71199999999931</v>
      </c>
    </row>
    <row r="33" spans="2:4">
      <c r="B33" s="18" t="s">
        <v>28</v>
      </c>
      <c r="C33" s="47">
        <v>979.98400000000038</v>
      </c>
    </row>
    <row r="34" spans="2:4">
      <c r="B34" s="18" t="s">
        <v>1091</v>
      </c>
      <c r="C34" s="47">
        <v>4831.7209999999995</v>
      </c>
    </row>
    <row r="37" spans="2:4">
      <c r="B37" s="17" t="s">
        <v>1090</v>
      </c>
      <c r="C37" t="s">
        <v>1115</v>
      </c>
      <c r="D37" t="s">
        <v>1113</v>
      </c>
    </row>
    <row r="38" spans="2:4">
      <c r="B38" s="18" t="s">
        <v>32</v>
      </c>
      <c r="C38" s="34">
        <v>5.2551500993119615E-2</v>
      </c>
      <c r="D38" s="45">
        <v>0.17493927085618846</v>
      </c>
    </row>
    <row r="39" spans="2:4">
      <c r="B39" s="18" t="s">
        <v>15</v>
      </c>
      <c r="C39" s="34">
        <v>3.9897983012021035E-2</v>
      </c>
      <c r="D39" s="45">
        <v>0.17747486704947898</v>
      </c>
    </row>
    <row r="40" spans="2:4">
      <c r="B40" s="18" t="s">
        <v>45</v>
      </c>
      <c r="C40" s="34">
        <v>3.9169697495215129E-2</v>
      </c>
      <c r="D40" s="45">
        <v>0.20508185396143486</v>
      </c>
    </row>
    <row r="41" spans="2:4">
      <c r="B41" s="18" t="s">
        <v>25</v>
      </c>
      <c r="C41" s="34">
        <v>4.8793143840561534E-2</v>
      </c>
      <c r="D41" s="45">
        <v>0.21739598741719829</v>
      </c>
    </row>
    <row r="42" spans="2:4">
      <c r="B42" s="18" t="s">
        <v>40</v>
      </c>
      <c r="C42" s="34">
        <v>3.3248926206121673E-2</v>
      </c>
      <c r="D42" s="45">
        <v>0.22019653220601496</v>
      </c>
    </row>
    <row r="43" spans="2:4">
      <c r="B43" s="18" t="s">
        <v>28</v>
      </c>
      <c r="C43" s="34">
        <v>3.4589335645360313E-2</v>
      </c>
      <c r="D43" s="45">
        <v>0.24684102053855567</v>
      </c>
    </row>
    <row r="44" spans="2:4">
      <c r="B44" s="18" t="s">
        <v>1091</v>
      </c>
      <c r="C44" s="34">
        <v>4.1263022926899054E-2</v>
      </c>
      <c r="D44" s="45">
        <v>0.20794693769475148</v>
      </c>
    </row>
    <row r="48" spans="2:4">
      <c r="B48" s="69" t="s">
        <v>1101</v>
      </c>
      <c r="C48" s="69"/>
    </row>
    <row r="49" spans="2:9">
      <c r="B49" s="17" t="s">
        <v>1090</v>
      </c>
      <c r="C49" t="s">
        <v>1094</v>
      </c>
    </row>
    <row r="50" spans="2:9" ht="15.75" thickBot="1">
      <c r="B50" s="18" t="s">
        <v>25</v>
      </c>
      <c r="C50" s="1">
        <v>37</v>
      </c>
    </row>
    <row r="51" spans="2:9" ht="15.75" thickBot="1">
      <c r="B51" s="18" t="s">
        <v>45</v>
      </c>
      <c r="C51" s="1">
        <v>38</v>
      </c>
      <c r="H51" s="37" t="s">
        <v>1090</v>
      </c>
      <c r="I51" s="38" t="s">
        <v>1094</v>
      </c>
    </row>
    <row r="52" spans="2:9" ht="15.75" thickBot="1">
      <c r="B52" s="18" t="s">
        <v>32</v>
      </c>
      <c r="C52" s="1">
        <v>42</v>
      </c>
      <c r="H52" s="39" t="s">
        <v>25</v>
      </c>
      <c r="I52" s="40">
        <v>37</v>
      </c>
    </row>
    <row r="53" spans="2:9" ht="15.75" thickBot="1">
      <c r="B53" s="18" t="s">
        <v>40</v>
      </c>
      <c r="C53" s="1">
        <v>45</v>
      </c>
      <c r="H53" s="39" t="s">
        <v>45</v>
      </c>
      <c r="I53" s="40">
        <v>38</v>
      </c>
    </row>
    <row r="54" spans="2:9" ht="15.75" thickBot="1">
      <c r="B54" s="18" t="s">
        <v>15</v>
      </c>
      <c r="C54" s="1">
        <v>54</v>
      </c>
      <c r="H54" s="39" t="s">
        <v>32</v>
      </c>
      <c r="I54" s="40">
        <v>42</v>
      </c>
    </row>
    <row r="55" spans="2:9" ht="15.75" thickBot="1">
      <c r="B55" s="18" t="s">
        <v>28</v>
      </c>
      <c r="C55" s="1">
        <v>60</v>
      </c>
      <c r="H55" s="39" t="s">
        <v>40</v>
      </c>
      <c r="I55" s="40">
        <v>45</v>
      </c>
    </row>
    <row r="56" spans="2:9" ht="15.75" thickBot="1">
      <c r="B56" s="18" t="s">
        <v>1091</v>
      </c>
      <c r="C56" s="1">
        <v>276</v>
      </c>
      <c r="H56" s="39" t="s">
        <v>15</v>
      </c>
      <c r="I56" s="40">
        <v>54</v>
      </c>
    </row>
    <row r="57" spans="2:9" ht="15.75" thickBot="1">
      <c r="H57" s="39" t="s">
        <v>28</v>
      </c>
      <c r="I57" s="40">
        <v>60</v>
      </c>
    </row>
    <row r="58" spans="2:9" ht="15.75" thickBot="1">
      <c r="H58" s="41" t="s">
        <v>1091</v>
      </c>
      <c r="I58" s="42">
        <v>276</v>
      </c>
    </row>
    <row r="63" spans="2:9">
      <c r="B63" s="17" t="s">
        <v>1090</v>
      </c>
      <c r="C63" t="s">
        <v>1111</v>
      </c>
    </row>
    <row r="64" spans="2:9">
      <c r="B64" s="18" t="s">
        <v>45</v>
      </c>
      <c r="C64" s="48">
        <v>8.5301600000000004</v>
      </c>
    </row>
    <row r="65" spans="2:4">
      <c r="B65" s="18" t="s">
        <v>32</v>
      </c>
      <c r="C65" s="48">
        <v>8.9098900000000025</v>
      </c>
    </row>
    <row r="66" spans="2:4">
      <c r="B66" s="18" t="s">
        <v>40</v>
      </c>
      <c r="C66" s="48">
        <v>9.1537400000000009</v>
      </c>
    </row>
    <row r="67" spans="2:4">
      <c r="B67" s="18" t="s">
        <v>25</v>
      </c>
      <c r="C67" s="48">
        <v>9.3215699999999995</v>
      </c>
    </row>
    <row r="68" spans="2:4">
      <c r="B68" s="18" t="s">
        <v>28</v>
      </c>
      <c r="C68" s="48">
        <v>11.30939</v>
      </c>
    </row>
    <row r="69" spans="2:4">
      <c r="B69" s="18" t="s">
        <v>15</v>
      </c>
      <c r="C69" s="48">
        <v>11.842360000000003</v>
      </c>
    </row>
    <row r="70" spans="2:4">
      <c r="B70" s="18" t="s">
        <v>1091</v>
      </c>
      <c r="C70" s="48">
        <v>59.067110000000007</v>
      </c>
    </row>
    <row r="71" spans="2:4">
      <c r="D71" s="1"/>
    </row>
    <row r="72" spans="2:4">
      <c r="D72" s="1"/>
    </row>
    <row r="73" spans="2:4">
      <c r="D73" s="1"/>
    </row>
    <row r="74" spans="2:4">
      <c r="B74" s="17" t="s">
        <v>1090</v>
      </c>
      <c r="C74" t="s">
        <v>1107</v>
      </c>
    </row>
    <row r="75" spans="2:4">
      <c r="B75" s="18" t="s">
        <v>25</v>
      </c>
      <c r="C75" s="1">
        <v>33.571088488270263</v>
      </c>
    </row>
    <row r="76" spans="2:4">
      <c r="B76" s="18" t="s">
        <v>40</v>
      </c>
      <c r="C76" s="1">
        <v>-7.252149598135726</v>
      </c>
    </row>
    <row r="77" spans="2:4">
      <c r="B77" s="18" t="s">
        <v>28</v>
      </c>
      <c r="C77" s="1">
        <v>4.8721483464666324</v>
      </c>
    </row>
    <row r="78" spans="2:4">
      <c r="B78" s="18" t="s">
        <v>15</v>
      </c>
      <c r="C78" s="1">
        <v>37.155550866342203</v>
      </c>
    </row>
    <row r="79" spans="2:4">
      <c r="B79" s="18" t="s">
        <v>32</v>
      </c>
      <c r="C79" s="1">
        <v>-54.012769892560215</v>
      </c>
    </row>
    <row r="80" spans="2:4">
      <c r="B80" s="18" t="s">
        <v>45</v>
      </c>
      <c r="C80" s="1">
        <v>35.210156315920365</v>
      </c>
    </row>
    <row r="81" spans="2:3">
      <c r="B81" s="18" t="s">
        <v>1091</v>
      </c>
      <c r="C81" s="1">
        <v>49.544024526303524</v>
      </c>
    </row>
  </sheetData>
  <mergeCells count="4">
    <mergeCell ref="A1:A2"/>
    <mergeCell ref="B3:C3"/>
    <mergeCell ref="B25:C25"/>
    <mergeCell ref="B48:C48"/>
  </mergeCells>
  <pageMargins left="0.7" right="0.7" top="0.75" bottom="0.75" header="0.3" footer="0.3"/>
  <pageSetup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Views>
    <sheetView tabSelected="1" zoomScale="86" zoomScaleNormal="86" workbookViewId="0">
      <selection activeCell="B11" sqref="B11"/>
    </sheetView>
  </sheetViews>
  <sheetFormatPr defaultRowHeight="15"/>
  <sheetData>
    <row r="1" spans="1:27">
      <c r="A1" s="61"/>
      <c r="B1" s="61"/>
      <c r="C1" s="61"/>
      <c r="D1" s="61"/>
      <c r="E1" s="61"/>
      <c r="F1" s="61"/>
      <c r="G1" s="61"/>
      <c r="H1" s="61"/>
      <c r="I1" s="61"/>
      <c r="J1" s="61"/>
      <c r="K1" s="61"/>
      <c r="L1" s="61"/>
      <c r="M1" s="61"/>
      <c r="N1" s="61"/>
      <c r="O1" s="61"/>
      <c r="P1" s="61"/>
      <c r="Q1" s="61"/>
      <c r="R1" s="61"/>
      <c r="S1" s="61"/>
      <c r="T1" s="61"/>
      <c r="U1" s="61"/>
      <c r="V1" s="61"/>
      <c r="W1" s="61"/>
      <c r="X1" s="61"/>
      <c r="Y1" s="61"/>
      <c r="Z1" s="61"/>
      <c r="AA1" s="61"/>
    </row>
    <row r="2" spans="1:27">
      <c r="A2" s="61"/>
      <c r="B2" s="61"/>
      <c r="C2" s="61"/>
      <c r="D2" s="61"/>
      <c r="E2" s="61"/>
      <c r="F2" s="61"/>
      <c r="G2" s="61"/>
      <c r="H2" s="61"/>
      <c r="I2" s="61"/>
      <c r="J2" s="61"/>
      <c r="K2" s="61"/>
      <c r="L2" s="61"/>
      <c r="M2" s="61"/>
      <c r="N2" s="61"/>
      <c r="O2" s="61"/>
      <c r="P2" s="61"/>
      <c r="Q2" s="61"/>
      <c r="R2" s="61"/>
      <c r="S2" s="61"/>
      <c r="T2" s="61"/>
      <c r="U2" s="61"/>
      <c r="V2" s="61"/>
      <c r="W2" s="61"/>
      <c r="X2" s="61"/>
      <c r="Y2" s="61"/>
      <c r="Z2" s="61"/>
      <c r="AA2" s="61"/>
    </row>
    <row r="3" spans="1:27">
      <c r="A3" s="61"/>
      <c r="B3" s="61"/>
      <c r="C3" s="61"/>
      <c r="D3" s="61"/>
      <c r="E3" s="61"/>
      <c r="F3" s="61"/>
      <c r="G3" s="61"/>
      <c r="H3" s="61"/>
      <c r="I3" s="61"/>
      <c r="J3" s="61"/>
      <c r="K3" s="61"/>
      <c r="L3" s="61"/>
      <c r="M3" s="61"/>
      <c r="N3" s="61"/>
      <c r="O3" s="61"/>
      <c r="P3" s="61"/>
      <c r="Q3" s="61"/>
      <c r="R3" s="61"/>
      <c r="S3" s="61"/>
      <c r="T3" s="61"/>
      <c r="U3" s="61"/>
      <c r="V3" s="61"/>
      <c r="W3" s="61"/>
      <c r="X3" s="61"/>
      <c r="Y3" s="61"/>
      <c r="Z3" s="61"/>
      <c r="AA3" s="61"/>
    </row>
    <row r="4" spans="1:27">
      <c r="A4" s="61"/>
      <c r="B4" s="61"/>
      <c r="C4" s="61"/>
      <c r="D4" s="61"/>
      <c r="E4" s="61"/>
      <c r="F4" s="61"/>
      <c r="G4" s="61"/>
      <c r="H4" s="61"/>
      <c r="I4" s="61"/>
      <c r="J4" s="61"/>
      <c r="K4" s="61"/>
      <c r="L4" s="61"/>
      <c r="M4" s="61"/>
      <c r="N4" s="61"/>
      <c r="O4" s="61"/>
      <c r="P4" s="61"/>
      <c r="Q4" s="61"/>
      <c r="R4" s="61"/>
      <c r="S4" s="61"/>
      <c r="T4" s="61"/>
      <c r="U4" s="61"/>
      <c r="V4" s="61"/>
      <c r="W4" s="61"/>
      <c r="X4" s="61"/>
      <c r="Y4" s="62"/>
      <c r="Z4" s="61"/>
      <c r="AA4" s="61"/>
    </row>
    <row r="5" spans="1:27">
      <c r="A5" s="61"/>
      <c r="B5" s="61"/>
      <c r="C5" s="61"/>
      <c r="D5" s="61"/>
      <c r="E5" s="61"/>
      <c r="F5" s="61"/>
      <c r="G5" s="61"/>
      <c r="H5" s="61"/>
      <c r="I5" s="61"/>
      <c r="J5" s="61"/>
      <c r="K5" s="61"/>
      <c r="L5" s="61"/>
      <c r="M5" s="61"/>
      <c r="N5" s="61"/>
      <c r="O5" s="61"/>
      <c r="P5" s="61"/>
      <c r="Q5" s="61"/>
      <c r="R5" s="61"/>
      <c r="S5" s="61"/>
      <c r="T5" s="61"/>
      <c r="U5" s="61"/>
      <c r="V5" s="61"/>
      <c r="W5" s="61"/>
      <c r="X5" s="62"/>
      <c r="Y5" s="61"/>
      <c r="Z5" s="63" t="s">
        <v>1114</v>
      </c>
      <c r="AA5" s="61"/>
    </row>
    <row r="6" spans="1:27">
      <c r="A6" s="61"/>
      <c r="B6" s="61"/>
      <c r="C6" s="61"/>
      <c r="D6" s="61"/>
      <c r="E6" s="61"/>
      <c r="F6" s="61"/>
      <c r="G6" s="61"/>
      <c r="H6" s="61"/>
      <c r="I6" s="61"/>
      <c r="J6" s="61"/>
      <c r="K6" s="61"/>
      <c r="L6" s="61"/>
      <c r="M6" s="61"/>
      <c r="N6" s="61"/>
      <c r="O6" s="61"/>
      <c r="P6" s="61"/>
      <c r="Q6" s="61"/>
      <c r="R6" s="61"/>
      <c r="S6" s="61"/>
      <c r="T6" s="61"/>
      <c r="U6" s="61"/>
      <c r="V6" s="61"/>
      <c r="W6" s="61"/>
      <c r="X6" s="61"/>
      <c r="Y6" s="61"/>
      <c r="Z6" s="61"/>
      <c r="AA6" s="61"/>
    </row>
    <row r="7" spans="1:27">
      <c r="A7" s="61"/>
      <c r="B7" s="61"/>
      <c r="C7" s="61"/>
      <c r="D7" s="61"/>
      <c r="E7" s="61"/>
      <c r="F7" s="61"/>
      <c r="G7" s="61"/>
      <c r="H7" s="61"/>
      <c r="I7" s="61"/>
      <c r="J7" s="61"/>
      <c r="K7" s="61"/>
      <c r="L7" s="61"/>
      <c r="M7" s="61"/>
      <c r="N7" s="61"/>
      <c r="O7" s="61"/>
      <c r="P7" s="61"/>
      <c r="Q7" s="61"/>
      <c r="R7" s="61"/>
      <c r="S7" s="61"/>
      <c r="T7" s="61"/>
      <c r="U7" s="61"/>
      <c r="V7" s="61"/>
      <c r="W7" s="61"/>
      <c r="X7" s="61"/>
      <c r="Y7" s="61"/>
      <c r="Z7" s="61"/>
      <c r="AA7" s="61"/>
    </row>
    <row r="8" spans="1:27">
      <c r="A8" s="61"/>
      <c r="B8" s="61"/>
      <c r="C8" s="61"/>
      <c r="D8" s="61"/>
      <c r="E8" s="61"/>
      <c r="F8" s="61"/>
      <c r="G8" s="61"/>
      <c r="H8" s="61"/>
      <c r="I8" s="61"/>
      <c r="J8" s="61"/>
      <c r="K8" s="61"/>
      <c r="L8" s="61"/>
      <c r="M8" s="61"/>
      <c r="N8" s="61"/>
      <c r="O8" s="61"/>
      <c r="P8" s="61"/>
      <c r="Q8" s="61"/>
      <c r="R8" s="61"/>
      <c r="S8" s="61"/>
      <c r="T8" s="61"/>
      <c r="U8" s="61"/>
      <c r="V8" s="61"/>
      <c r="W8" s="61"/>
      <c r="X8" s="61"/>
      <c r="Y8" s="64"/>
      <c r="Z8" s="61"/>
      <c r="AA8" s="61"/>
    </row>
    <row r="9" spans="1:27">
      <c r="A9" s="61"/>
      <c r="B9" s="61"/>
      <c r="C9" s="61"/>
      <c r="D9" s="61"/>
      <c r="E9" s="61"/>
      <c r="F9" s="61"/>
      <c r="G9" s="61"/>
      <c r="H9" s="61"/>
      <c r="I9" s="61"/>
      <c r="J9" s="61"/>
      <c r="K9" s="61"/>
      <c r="L9" s="61"/>
      <c r="M9" s="61"/>
      <c r="N9" s="61"/>
      <c r="O9" s="61"/>
      <c r="P9" s="61"/>
      <c r="Q9" s="61"/>
      <c r="R9" s="61"/>
      <c r="S9" s="61"/>
      <c r="T9" s="61"/>
      <c r="U9" s="61"/>
      <c r="V9" s="61"/>
      <c r="W9" s="61"/>
      <c r="X9" s="61"/>
      <c r="Y9" s="64"/>
      <c r="Z9" s="61"/>
      <c r="AA9" s="61"/>
    </row>
    <row r="10" spans="1:27">
      <c r="A10" s="61"/>
      <c r="B10" s="61"/>
      <c r="C10" s="61"/>
      <c r="D10" s="61"/>
      <c r="E10" s="61"/>
      <c r="F10" s="61"/>
      <c r="G10" s="61"/>
      <c r="H10" s="61"/>
      <c r="I10" s="61"/>
      <c r="J10" s="61"/>
      <c r="K10" s="61"/>
      <c r="L10" s="61"/>
      <c r="M10" s="61"/>
      <c r="N10" s="61"/>
      <c r="O10" s="61"/>
      <c r="P10" s="61"/>
      <c r="Q10" s="61"/>
      <c r="R10" s="61"/>
      <c r="S10" s="61"/>
      <c r="T10" s="61"/>
      <c r="U10" s="61"/>
      <c r="V10" s="61"/>
      <c r="W10" s="61"/>
      <c r="X10" s="61"/>
      <c r="Y10" s="65"/>
      <c r="Z10" s="61"/>
      <c r="AA10" s="61"/>
    </row>
    <row r="11" spans="1:27">
      <c r="A11" s="61"/>
      <c r="B11" s="61" t="s">
        <v>1116</v>
      </c>
      <c r="C11" s="61"/>
      <c r="D11" s="61"/>
      <c r="E11" s="61"/>
      <c r="F11" s="61"/>
      <c r="G11" s="61"/>
      <c r="H11" s="61"/>
      <c r="I11" s="61"/>
      <c r="J11" s="61"/>
      <c r="K11" s="61"/>
      <c r="L11" s="61"/>
      <c r="M11" s="61"/>
      <c r="N11" s="61"/>
      <c r="O11" s="61"/>
      <c r="P11" s="61"/>
      <c r="Q11" s="61"/>
      <c r="R11" s="61"/>
      <c r="S11" s="61"/>
      <c r="T11" s="61"/>
      <c r="U11" s="61"/>
      <c r="V11" s="61"/>
      <c r="W11" s="61"/>
      <c r="X11" s="61"/>
      <c r="Y11" s="64"/>
      <c r="Z11" s="61"/>
      <c r="AA11" s="61"/>
    </row>
    <row r="12" spans="1:27">
      <c r="A12" s="61"/>
      <c r="B12" s="61"/>
      <c r="C12" s="61"/>
      <c r="D12" s="61"/>
      <c r="E12" s="61"/>
      <c r="F12" s="61"/>
      <c r="G12" s="61"/>
      <c r="H12" s="61"/>
      <c r="I12" s="61"/>
      <c r="J12" s="61"/>
      <c r="K12" s="61"/>
      <c r="L12" s="61"/>
      <c r="M12" s="61"/>
      <c r="N12" s="61"/>
      <c r="O12" s="61"/>
      <c r="P12" s="61"/>
      <c r="Q12" s="61"/>
      <c r="R12" s="61"/>
      <c r="S12" s="61"/>
      <c r="T12" s="61"/>
      <c r="U12" s="61"/>
      <c r="V12" s="61"/>
      <c r="W12" s="61"/>
      <c r="X12" s="61"/>
      <c r="Y12" s="64"/>
      <c r="Z12" s="61"/>
      <c r="AA12" s="61"/>
    </row>
    <row r="13" spans="1:27">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row>
    <row r="14" spans="1:27">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row>
    <row r="15" spans="1:27">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row>
    <row r="16" spans="1:27">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row>
    <row r="17" spans="1:2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row>
    <row r="18" spans="1:27">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row>
    <row r="19" spans="1:27">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row>
    <row r="20" spans="1:27">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row>
    <row r="21" spans="1:27">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row>
    <row r="22" spans="1:27">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row>
    <row r="23" spans="1:27">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row>
    <row r="24" spans="1:27">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row>
    <row r="25" spans="1:27">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row>
    <row r="26" spans="1:27">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row>
    <row r="27" spans="1: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row>
    <row r="28" spans="1:27">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row>
    <row r="29" spans="1:27">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row>
    <row r="30" spans="1:27">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row>
    <row r="31" spans="1:27">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row>
    <row r="32" spans="1:27">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row>
    <row r="33" spans="1:27">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row>
    <row r="34" spans="1:27">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row>
    <row r="35" spans="1:27">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spans="1:27">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spans="1:2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spans="1:27">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spans="1:27">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spans="1:27">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spans="1:27">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selection activeCell="B21" sqref="B21"/>
    </sheetView>
  </sheetViews>
  <sheetFormatPr defaultRowHeight="15"/>
  <cols>
    <col min="1" max="1" width="28.85546875" bestFit="1" customWidth="1"/>
    <col min="2" max="2" width="41.42578125" bestFit="1" customWidth="1"/>
    <col min="3" max="3" width="49.140625" bestFit="1" customWidth="1"/>
    <col min="4" max="4" width="16.5703125" bestFit="1" customWidth="1"/>
    <col min="5" max="5" width="9.7109375" bestFit="1" customWidth="1"/>
    <col min="6" max="6" width="24.5703125" bestFit="1" customWidth="1"/>
    <col min="7" max="7" width="47.28515625" bestFit="1" customWidth="1"/>
  </cols>
  <sheetData>
    <row r="1" spans="1:7">
      <c r="A1" s="2" t="s">
        <v>1034</v>
      </c>
      <c r="B1" s="2" t="s">
        <v>1044</v>
      </c>
      <c r="C1" s="2" t="s">
        <v>1035</v>
      </c>
      <c r="D1" s="2" t="s">
        <v>1045</v>
      </c>
      <c r="E1" s="2" t="s">
        <v>1046</v>
      </c>
      <c r="F1" s="2" t="s">
        <v>1036</v>
      </c>
      <c r="G1" s="2" t="s">
        <v>1037</v>
      </c>
    </row>
    <row r="2" spans="1:7">
      <c r="A2" s="3" t="s">
        <v>0</v>
      </c>
      <c r="B2" s="3">
        <v>1000</v>
      </c>
      <c r="C2" s="3" t="s">
        <v>1065</v>
      </c>
      <c r="D2" s="3">
        <v>0</v>
      </c>
      <c r="E2" s="4">
        <v>0</v>
      </c>
      <c r="F2" s="3" t="s">
        <v>1047</v>
      </c>
      <c r="G2" s="3" t="s">
        <v>1049</v>
      </c>
    </row>
    <row r="3" spans="1:7">
      <c r="A3" s="3" t="s">
        <v>1</v>
      </c>
      <c r="B3" s="3">
        <v>1000</v>
      </c>
      <c r="C3" s="3" t="s">
        <v>1065</v>
      </c>
      <c r="D3" s="3">
        <v>0</v>
      </c>
      <c r="E3" s="4">
        <v>0</v>
      </c>
      <c r="F3" s="3" t="s">
        <v>1047</v>
      </c>
      <c r="G3" s="3" t="s">
        <v>1050</v>
      </c>
    </row>
    <row r="4" spans="1:7">
      <c r="A4" s="3" t="s">
        <v>2</v>
      </c>
      <c r="B4" s="3">
        <v>1000</v>
      </c>
      <c r="C4" s="3" t="s">
        <v>1038</v>
      </c>
      <c r="D4" s="3">
        <v>180</v>
      </c>
      <c r="E4" s="4">
        <f>180/1000</f>
        <v>0.18</v>
      </c>
      <c r="F4" s="3" t="s">
        <v>1039</v>
      </c>
      <c r="G4" s="3" t="s">
        <v>1051</v>
      </c>
    </row>
    <row r="5" spans="1:7">
      <c r="A5" s="3" t="s">
        <v>3</v>
      </c>
      <c r="B5" s="3">
        <v>1000</v>
      </c>
      <c r="C5" s="3" t="s">
        <v>1038</v>
      </c>
      <c r="D5" s="3">
        <v>42</v>
      </c>
      <c r="E5" s="4">
        <f>42/1000</f>
        <v>4.2000000000000003E-2</v>
      </c>
      <c r="F5" s="3" t="s">
        <v>1048</v>
      </c>
      <c r="G5" s="3" t="s">
        <v>1052</v>
      </c>
    </row>
    <row r="6" spans="1:7">
      <c r="A6" s="3" t="s">
        <v>4</v>
      </c>
      <c r="B6" s="3">
        <v>1000</v>
      </c>
      <c r="C6" s="3" t="s">
        <v>1038</v>
      </c>
      <c r="D6" s="3">
        <v>25</v>
      </c>
      <c r="E6" s="4">
        <f>25/1000</f>
        <v>2.5000000000000001E-2</v>
      </c>
      <c r="F6" s="3" t="s">
        <v>1039</v>
      </c>
      <c r="G6" s="3" t="s">
        <v>1053</v>
      </c>
    </row>
    <row r="7" spans="1:7">
      <c r="A7" s="3" t="s">
        <v>5</v>
      </c>
      <c r="B7" s="3">
        <v>1000</v>
      </c>
      <c r="C7" s="3" t="s">
        <v>16</v>
      </c>
      <c r="D7" s="3">
        <v>20</v>
      </c>
      <c r="E7" s="4">
        <f>67/1000</f>
        <v>6.7000000000000004E-2</v>
      </c>
      <c r="F7" s="3" t="s">
        <v>1039</v>
      </c>
      <c r="G7" s="3" t="s">
        <v>1054</v>
      </c>
    </row>
    <row r="8" spans="1:7">
      <c r="A8" s="3" t="s">
        <v>1095</v>
      </c>
      <c r="B8" s="3">
        <v>1000</v>
      </c>
      <c r="C8" s="3" t="s">
        <v>1038</v>
      </c>
      <c r="D8" s="3">
        <v>94</v>
      </c>
      <c r="E8" s="4">
        <f>94/1000</f>
        <v>9.4E-2</v>
      </c>
      <c r="F8" s="3" t="s">
        <v>1039</v>
      </c>
      <c r="G8" s="3" t="s">
        <v>1055</v>
      </c>
    </row>
    <row r="9" spans="1:7" s="7" customFormat="1">
      <c r="A9" s="70" t="s">
        <v>7</v>
      </c>
      <c r="B9" s="71">
        <v>1000</v>
      </c>
      <c r="C9" s="5" t="s">
        <v>1040</v>
      </c>
      <c r="D9" s="5">
        <v>94</v>
      </c>
      <c r="E9" s="6">
        <f>94/1000</f>
        <v>9.4E-2</v>
      </c>
      <c r="F9" s="5" t="s">
        <v>1056</v>
      </c>
      <c r="G9" s="5" t="s">
        <v>1041</v>
      </c>
    </row>
    <row r="10" spans="1:7" s="7" customFormat="1">
      <c r="A10" s="70"/>
      <c r="B10" s="71"/>
      <c r="C10" s="5" t="s">
        <v>1066</v>
      </c>
      <c r="D10" s="5">
        <v>43</v>
      </c>
      <c r="E10" s="6">
        <f>43/1000</f>
        <v>4.2999999999999997E-2</v>
      </c>
      <c r="F10" s="5" t="s">
        <v>1074</v>
      </c>
      <c r="G10" s="5"/>
    </row>
    <row r="11" spans="1:7">
      <c r="A11" s="3" t="s">
        <v>6</v>
      </c>
      <c r="B11" s="3">
        <v>1000</v>
      </c>
      <c r="C11" s="3" t="s">
        <v>1057</v>
      </c>
      <c r="D11" s="3">
        <v>1000</v>
      </c>
      <c r="E11" s="4">
        <v>1</v>
      </c>
      <c r="F11" s="3" t="s">
        <v>1042</v>
      </c>
      <c r="G11" s="3" t="s">
        <v>1058</v>
      </c>
    </row>
    <row r="12" spans="1:7">
      <c r="A12" s="3" t="s">
        <v>8</v>
      </c>
      <c r="B12" s="3">
        <v>1000</v>
      </c>
      <c r="C12" s="3" t="s">
        <v>1038</v>
      </c>
      <c r="D12" s="3">
        <v>38</v>
      </c>
      <c r="E12" s="4">
        <f>38/1000</f>
        <v>3.7999999999999999E-2</v>
      </c>
      <c r="F12" s="3" t="s">
        <v>1048</v>
      </c>
      <c r="G12" s="3" t="s">
        <v>1059</v>
      </c>
    </row>
    <row r="13" spans="1:7">
      <c r="A13" s="3" t="s">
        <v>10</v>
      </c>
      <c r="B13" s="3">
        <v>1000</v>
      </c>
      <c r="C13" s="3" t="s">
        <v>1038</v>
      </c>
      <c r="D13" s="3">
        <v>80</v>
      </c>
      <c r="E13" s="4">
        <f>80/1000</f>
        <v>0.08</v>
      </c>
      <c r="F13" s="3" t="s">
        <v>1043</v>
      </c>
      <c r="G13" s="3" t="s">
        <v>1060</v>
      </c>
    </row>
    <row r="14" spans="1:7">
      <c r="A14" s="3" t="s">
        <v>11</v>
      </c>
      <c r="B14" s="3">
        <v>1000</v>
      </c>
      <c r="C14" s="3" t="s">
        <v>1038</v>
      </c>
      <c r="D14" s="3">
        <v>0</v>
      </c>
      <c r="E14" s="4"/>
      <c r="F14" s="3"/>
      <c r="G14" s="3" t="s">
        <v>1061</v>
      </c>
    </row>
    <row r="15" spans="1:7">
      <c r="A15" s="3" t="s">
        <v>12</v>
      </c>
      <c r="B15" s="3">
        <v>1000</v>
      </c>
      <c r="C15" s="3" t="s">
        <v>1038</v>
      </c>
      <c r="D15" s="3">
        <v>184</v>
      </c>
      <c r="E15" s="4">
        <f>184/1000</f>
        <v>0.184</v>
      </c>
      <c r="F15" s="3" t="s">
        <v>1048</v>
      </c>
      <c r="G15" s="3" t="s">
        <v>1062</v>
      </c>
    </row>
    <row r="16" spans="1:7">
      <c r="A16" s="3" t="s">
        <v>13</v>
      </c>
      <c r="B16" s="3">
        <v>1000</v>
      </c>
      <c r="C16" s="3" t="s">
        <v>1038</v>
      </c>
      <c r="D16" s="3">
        <v>162</v>
      </c>
      <c r="E16" s="4">
        <f>162/1000</f>
        <v>0.16200000000000001</v>
      </c>
      <c r="F16" s="3" t="s">
        <v>1063</v>
      </c>
      <c r="G16" s="3" t="s">
        <v>1064</v>
      </c>
    </row>
    <row r="17" spans="1:3">
      <c r="A17" s="72"/>
      <c r="B17" s="72"/>
    </row>
    <row r="18" spans="1:3">
      <c r="A18" s="13" t="s">
        <v>1075</v>
      </c>
      <c r="B18" s="14" t="s">
        <v>1076</v>
      </c>
    </row>
    <row r="19" spans="1:3">
      <c r="A19" s="3" t="s">
        <v>1077</v>
      </c>
      <c r="B19" s="15" t="s">
        <v>1110</v>
      </c>
      <c r="C19" t="s">
        <v>1085</v>
      </c>
    </row>
    <row r="20" spans="1:3">
      <c r="A20" s="3" t="s">
        <v>1078</v>
      </c>
      <c r="B20" s="15" t="s">
        <v>1109</v>
      </c>
      <c r="C20" t="s">
        <v>1096</v>
      </c>
    </row>
    <row r="21" spans="1:3">
      <c r="A21" s="3" t="s">
        <v>1083</v>
      </c>
      <c r="B21" s="15" t="s">
        <v>1079</v>
      </c>
      <c r="C21" t="s">
        <v>1084</v>
      </c>
    </row>
    <row r="22" spans="1:3">
      <c r="A22" s="3" t="s">
        <v>1080</v>
      </c>
      <c r="B22" s="15" t="s">
        <v>1088</v>
      </c>
    </row>
    <row r="23" spans="1:3">
      <c r="A23" s="3" t="s">
        <v>1081</v>
      </c>
    </row>
    <row r="24" spans="1:3">
      <c r="A24" s="3" t="s">
        <v>1087</v>
      </c>
      <c r="B24" s="15" t="s">
        <v>1089</v>
      </c>
    </row>
  </sheetData>
  <mergeCells count="3">
    <mergeCell ref="A9:A10"/>
    <mergeCell ref="B9:B10"/>
    <mergeCell ref="A17:B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DC42CA-0F60-46EF-97BC-1FE4989B85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GetShop Today Customer Raw Data</vt:lpstr>
      <vt:lpstr>Cleaned</vt:lpstr>
      <vt:lpstr>Pivot Tables</vt:lpstr>
      <vt:lpstr>Dashboard1</vt:lpstr>
      <vt:lpstr>Data Cleaning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Kebodi</dc:creator>
  <cp:lastModifiedBy>Emmanuel Kebodi</cp:lastModifiedBy>
  <dcterms:created xsi:type="dcterms:W3CDTF">2026-02-04T21:12:00Z</dcterms:created>
  <dcterms:modified xsi:type="dcterms:W3CDTF">2026-03-02T15:34:26Z</dcterms:modified>
</cp:coreProperties>
</file>